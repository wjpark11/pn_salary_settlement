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ProjectN\Project\salary_settlement\work\"/>
    </mc:Choice>
  </mc:AlternateContent>
  <xr:revisionPtr revIDLastSave="0" documentId="8_{4D4C0BB1-B7DF-41B4-B5B3-49E54805144B}" xr6:coauthVersionLast="47" xr6:coauthVersionMax="47" xr10:uidLastSave="{00000000-0000-0000-0000-000000000000}"/>
  <bookViews>
    <workbookView xWindow="28680" yWindow="615" windowWidth="29040" windowHeight="16035" tabRatio="783" activeTab="11" xr2:uid="{1D15D7F1-B1E1-4135-B5A0-ED0BD1DD80D9}"/>
  </bookViews>
  <sheets>
    <sheet name="setting" sheetId="9" r:id="rId1"/>
    <sheet name="종합" sheetId="12" r:id="rId2"/>
    <sheet name="개인" sheetId="1" r:id="rId3"/>
    <sheet name="팀" sheetId="8" r:id="rId4"/>
    <sheet name="이체" sheetId="10" r:id="rId5"/>
    <sheet name="mailsend" sheetId="11" r:id="rId6"/>
    <sheet name="members" sheetId="5" r:id="rId7"/>
    <sheet name="unsettled" sheetId="4" r:id="rId8"/>
    <sheet name="training_fee" sheetId="3" r:id="rId9"/>
    <sheet name="bonus" sheetId="6" r:id="rId10"/>
    <sheet name="data" sheetId="2" r:id="rId11"/>
    <sheet name="override" sheetId="7" r:id="rId12"/>
  </sheets>
  <definedNames>
    <definedName name="_xlnm._FilterDatabase" localSheetId="10" hidden="1">data!$A$1:$Q$1</definedName>
    <definedName name="_xlnm._FilterDatabase" localSheetId="1" hidden="1">종합!$A$3:$N$4</definedName>
    <definedName name="_xlpm.now_pos" hidden="1" xlm="1">#NAME?</definedName>
    <definedName name="_xlnm.Print_Area" localSheetId="2">개인!$A$1:$L$13</definedName>
    <definedName name="_xlnm.Print_Area" localSheetId="3">팀!$A$1:$N$11</definedName>
    <definedName name="_xlnm.Print_Titles" localSheetId="2">개인!$12:$12</definedName>
    <definedName name="_xlnm.Print_Titles" localSheetId="3">팀!$10:$10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8" l="1"/>
  <c r="A11" i="8" a="1"/>
  <c r="A11" i="8" s="1"/>
  <c r="A13" i="1" a="1"/>
  <c r="A13" i="1" s="1"/>
  <c r="A2" i="11" a="1"/>
  <c r="A2" i="11" s="1"/>
  <c r="A2" i="10" a="1"/>
  <c r="A2" i="10" s="1"/>
  <c r="B5" i="8" l="1"/>
  <c r="K6" i="1"/>
  <c r="B7" i="1"/>
  <c r="B6" i="1"/>
  <c r="M2" i="12" a="1"/>
  <c r="M2" i="12" s="1"/>
  <c r="L2" i="12" l="1"/>
  <c r="I2" i="12"/>
  <c r="H2" i="12"/>
  <c r="G2" i="12"/>
  <c r="E4" i="12"/>
  <c r="F4" i="12"/>
  <c r="G4" i="12"/>
  <c r="H4" i="12"/>
  <c r="I4" i="12"/>
  <c r="J4" i="12"/>
  <c r="K4" i="12"/>
  <c r="L4" i="12"/>
  <c r="M4" i="12"/>
  <c r="N4" i="12"/>
  <c r="D4" i="12"/>
  <c r="N173" i="9" l="1"/>
  <c r="N172" i="9"/>
  <c r="N171" i="9"/>
  <c r="N170" i="9"/>
  <c r="N169" i="9"/>
  <c r="N168" i="9"/>
  <c r="N167" i="9"/>
  <c r="N166" i="9"/>
  <c r="N165" i="9"/>
  <c r="N164" i="9"/>
  <c r="N163" i="9"/>
  <c r="N162" i="9"/>
  <c r="N161" i="9"/>
  <c r="N160" i="9"/>
  <c r="N159" i="9"/>
  <c r="N158" i="9"/>
  <c r="N157" i="9"/>
  <c r="N156" i="9"/>
  <c r="N155" i="9"/>
  <c r="N154" i="9"/>
  <c r="N153" i="9"/>
  <c r="N152" i="9"/>
  <c r="N151" i="9"/>
  <c r="N150" i="9"/>
  <c r="N149" i="9"/>
  <c r="N148" i="9"/>
  <c r="N147" i="9"/>
  <c r="N146" i="9"/>
  <c r="N145" i="9"/>
  <c r="N144" i="9"/>
  <c r="N143" i="9"/>
  <c r="N142" i="9"/>
  <c r="N141" i="9"/>
  <c r="N140" i="9"/>
  <c r="N139" i="9"/>
  <c r="N138" i="9"/>
  <c r="N137" i="9"/>
  <c r="N136" i="9"/>
  <c r="N135" i="9"/>
  <c r="N134" i="9"/>
  <c r="N133" i="9"/>
  <c r="N132" i="9"/>
  <c r="N131" i="9"/>
  <c r="N130" i="9"/>
  <c r="N129" i="9"/>
  <c r="N128" i="9"/>
  <c r="N127" i="9"/>
  <c r="N126" i="9"/>
  <c r="N125" i="9"/>
  <c r="N124" i="9"/>
  <c r="N123" i="9"/>
  <c r="N122" i="9"/>
  <c r="N121" i="9"/>
  <c r="N120" i="9"/>
  <c r="N119" i="9"/>
  <c r="N118" i="9"/>
  <c r="N117" i="9"/>
  <c r="N116" i="9"/>
  <c r="N115" i="9"/>
  <c r="N114" i="9"/>
  <c r="N113" i="9"/>
  <c r="N112" i="9"/>
  <c r="N111" i="9"/>
  <c r="N110" i="9"/>
  <c r="N109" i="9"/>
  <c r="N108" i="9"/>
  <c r="N107" i="9"/>
  <c r="N106" i="9"/>
  <c r="N105" i="9"/>
  <c r="N104" i="9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N3" i="9"/>
  <c r="N2" i="9"/>
  <c r="F2" i="12"/>
  <c r="K4" i="1" l="1"/>
  <c r="J2" i="12"/>
  <c r="M4" i="1" l="1"/>
  <c r="J4" i="1"/>
  <c r="Q2" i="8" l="1"/>
  <c r="Q3" i="8"/>
  <c r="G8" i="8" l="1"/>
  <c r="G9" i="8"/>
  <c r="E1" i="10"/>
  <c r="E2" i="12"/>
  <c r="D2" i="12"/>
  <c r="K2" i="1" l="1"/>
  <c r="K3" i="1"/>
  <c r="J2" i="1" l="1"/>
  <c r="J3" i="1"/>
  <c r="M3" i="1"/>
  <c r="M2" i="1"/>
  <c r="A1" i="8" l="1"/>
  <c r="A1" i="1" l="1"/>
  <c r="Q4" i="8" l="1" a="1"/>
  <c r="Q4" i="8" s="1"/>
  <c r="I9" i="8" l="1"/>
  <c r="G3" i="8" l="1" a="1"/>
  <c r="G3" i="8" s="1"/>
  <c r="G2" i="8" s="1"/>
  <c r="I3" i="8" l="1" a="1"/>
  <c r="I3" i="8" s="1"/>
  <c r="H8" i="1"/>
  <c r="P3" i="8" l="1" a="1"/>
  <c r="P3" i="8" s="1"/>
  <c r="K2" i="12"/>
  <c r="M4" i="8" a="1"/>
  <c r="M4" i="8" s="1"/>
  <c r="M3" i="8"/>
  <c r="M2" i="8"/>
  <c r="O2" i="8" s="1"/>
  <c r="H9" i="1"/>
  <c r="K5" i="1"/>
  <c r="K7" i="1" l="1"/>
  <c r="O3" i="8"/>
  <c r="O4" i="8"/>
  <c r="M5" i="8"/>
  <c r="O5" i="8" s="1"/>
  <c r="M6" i="1"/>
  <c r="M5" i="1"/>
  <c r="C88" i="11" l="1"/>
  <c r="C89" i="11"/>
  <c r="C84" i="11"/>
  <c r="C85" i="11"/>
  <c r="C86" i="11"/>
  <c r="C87" i="11"/>
  <c r="C9" i="11"/>
  <c r="C17" i="11"/>
  <c r="C25" i="11"/>
  <c r="C33" i="11"/>
  <c r="C41" i="11"/>
  <c r="C49" i="11"/>
  <c r="C57" i="11"/>
  <c r="C65" i="11"/>
  <c r="C73" i="11"/>
  <c r="C81" i="11"/>
  <c r="C10" i="11"/>
  <c r="C18" i="11"/>
  <c r="C26" i="11"/>
  <c r="C34" i="11"/>
  <c r="C42" i="11"/>
  <c r="C50" i="11"/>
  <c r="C58" i="11"/>
  <c r="C66" i="11"/>
  <c r="C74" i="11"/>
  <c r="C82" i="11"/>
  <c r="C3" i="11"/>
  <c r="C11" i="11"/>
  <c r="C19" i="11"/>
  <c r="C27" i="11"/>
  <c r="C35" i="11"/>
  <c r="C43" i="11"/>
  <c r="C51" i="11"/>
  <c r="C59" i="11"/>
  <c r="C67" i="11"/>
  <c r="C75" i="11"/>
  <c r="C83" i="11"/>
  <c r="C4" i="11"/>
  <c r="C12" i="11"/>
  <c r="C20" i="11"/>
  <c r="C28" i="11"/>
  <c r="C36" i="11"/>
  <c r="C44" i="11"/>
  <c r="C52" i="11"/>
  <c r="C60" i="11"/>
  <c r="C68" i="11"/>
  <c r="C76" i="11"/>
  <c r="C32" i="11"/>
  <c r="C56" i="11"/>
  <c r="C5" i="11"/>
  <c r="C13" i="11"/>
  <c r="C21" i="11"/>
  <c r="C29" i="11"/>
  <c r="C37" i="11"/>
  <c r="C45" i="11"/>
  <c r="C53" i="11"/>
  <c r="C61" i="11"/>
  <c r="C69" i="11"/>
  <c r="C77" i="11"/>
  <c r="C16" i="11"/>
  <c r="C40" i="11"/>
  <c r="C64" i="11"/>
  <c r="C80" i="11"/>
  <c r="C6" i="11"/>
  <c r="C14" i="11"/>
  <c r="C22" i="11"/>
  <c r="C30" i="11"/>
  <c r="C38" i="11"/>
  <c r="C46" i="11"/>
  <c r="C54" i="11"/>
  <c r="C62" i="11"/>
  <c r="C70" i="11"/>
  <c r="C78" i="11"/>
  <c r="C8" i="11"/>
  <c r="C48" i="11"/>
  <c r="C7" i="11"/>
  <c r="C15" i="11"/>
  <c r="C23" i="11"/>
  <c r="C31" i="11"/>
  <c r="C39" i="11"/>
  <c r="C47" i="11"/>
  <c r="C55" i="11"/>
  <c r="C63" i="11"/>
  <c r="C71" i="11"/>
  <c r="C79" i="11"/>
  <c r="C24" i="11"/>
  <c r="C72" i="11"/>
  <c r="M7" i="1"/>
  <c r="M6" i="8"/>
  <c r="M7" i="8" s="1"/>
  <c r="K8" i="1"/>
  <c r="K9" i="1" s="1"/>
  <c r="C2" i="11" l="1"/>
  <c r="D2" i="11" a="1"/>
  <c r="D2" i="11" s="1"/>
  <c r="K2" i="10" a="1"/>
  <c r="K2" i="10" s="1"/>
  <c r="I2" i="10" a="1"/>
  <c r="I2" i="10" s="1"/>
  <c r="H2" i="10" a="1"/>
  <c r="H2" i="10" s="1"/>
  <c r="G2" i="10" a="1"/>
  <c r="G2" i="10" s="1"/>
  <c r="E2" i="10" a="1"/>
  <c r="E2" i="10" s="1"/>
  <c r="D2" i="10" a="1"/>
  <c r="D2" i="10" s="1"/>
  <c r="N2" i="12"/>
  <c r="J2" i="10" a="1"/>
  <c r="F90" i="10" s="1"/>
  <c r="O7" i="8"/>
  <c r="O6" i="8"/>
  <c r="F243" i="10" l="1"/>
  <c r="F199" i="10"/>
  <c r="F179" i="10"/>
  <c r="F123" i="10"/>
  <c r="F168" i="10"/>
  <c r="F267" i="10"/>
  <c r="F105" i="10"/>
  <c r="F212" i="10"/>
  <c r="F257" i="10"/>
  <c r="F160" i="10"/>
  <c r="F162" i="10"/>
  <c r="F115" i="10"/>
  <c r="F156" i="10"/>
  <c r="F206" i="10"/>
  <c r="F55" i="10"/>
  <c r="F152" i="10"/>
  <c r="F181" i="10"/>
  <c r="F125" i="10"/>
  <c r="F224" i="10"/>
  <c r="F264" i="10"/>
  <c r="F191" i="10"/>
  <c r="F210" i="10"/>
  <c r="F109" i="10"/>
  <c r="F173" i="10"/>
  <c r="F255" i="10"/>
  <c r="F122" i="10"/>
  <c r="F262" i="10"/>
  <c r="F144" i="10"/>
  <c r="F119" i="10"/>
  <c r="F228" i="10"/>
  <c r="F93" i="10"/>
  <c r="F226" i="10"/>
  <c r="F121" i="10"/>
  <c r="F193" i="10"/>
  <c r="F132" i="10"/>
  <c r="F87" i="10"/>
  <c r="F202" i="10"/>
  <c r="F100" i="10"/>
  <c r="F102" i="10"/>
  <c r="F198" i="10"/>
  <c r="F146" i="10"/>
  <c r="F238" i="10"/>
  <c r="F84" i="10"/>
  <c r="F127" i="10"/>
  <c r="F247" i="10"/>
  <c r="F89" i="10"/>
  <c r="F194" i="10"/>
  <c r="F177" i="10"/>
  <c r="F163" i="10"/>
  <c r="F165" i="10"/>
  <c r="F126" i="10"/>
  <c r="F259" i="10"/>
  <c r="F207" i="10"/>
  <c r="F147" i="10"/>
  <c r="F253" i="10"/>
  <c r="F236" i="10"/>
  <c r="F258" i="10"/>
  <c r="F223" i="10"/>
  <c r="F201" i="10"/>
  <c r="F113" i="10"/>
  <c r="F213" i="10"/>
  <c r="F138" i="10"/>
  <c r="F114" i="10"/>
  <c r="F229" i="10"/>
  <c r="F172" i="10"/>
  <c r="F183" i="10"/>
  <c r="F227" i="10"/>
  <c r="F230" i="10"/>
  <c r="F154" i="10"/>
  <c r="F91" i="10"/>
  <c r="F92" i="10"/>
  <c r="F196" i="10"/>
  <c r="F197" i="10"/>
  <c r="F250" i="10"/>
  <c r="F248" i="10"/>
  <c r="F246" i="10"/>
  <c r="F151" i="10"/>
  <c r="F263" i="10"/>
  <c r="F244" i="10"/>
  <c r="F222" i="10"/>
  <c r="F200" i="10"/>
  <c r="F140" i="10"/>
  <c r="F235" i="10"/>
  <c r="F137" i="10"/>
  <c r="F118" i="10"/>
  <c r="F108" i="10"/>
  <c r="F98" i="10"/>
  <c r="F130" i="10"/>
  <c r="F231" i="10"/>
  <c r="F103" i="10"/>
  <c r="F159" i="10"/>
  <c r="F148" i="10"/>
  <c r="F117" i="10"/>
  <c r="F188" i="10"/>
  <c r="F174" i="10"/>
  <c r="F175" i="10"/>
  <c r="F141" i="10"/>
  <c r="F133" i="10"/>
  <c r="F124" i="10"/>
  <c r="F167" i="10"/>
  <c r="F204" i="10"/>
  <c r="F260" i="10"/>
  <c r="F86" i="10"/>
  <c r="F220" i="10"/>
  <c r="F214" i="10"/>
  <c r="F189" i="10"/>
  <c r="F166" i="10"/>
  <c r="F134" i="10"/>
  <c r="F116" i="10"/>
  <c r="F249" i="10"/>
  <c r="F94" i="10"/>
  <c r="F169" i="10"/>
  <c r="F187" i="10"/>
  <c r="F208" i="10"/>
  <c r="F186" i="10"/>
  <c r="F164" i="10"/>
  <c r="F158" i="10"/>
  <c r="F129" i="10"/>
  <c r="F136" i="10"/>
  <c r="F218" i="10"/>
  <c r="F88" i="10"/>
  <c r="F252" i="10"/>
  <c r="F237" i="10"/>
  <c r="F153" i="10"/>
  <c r="F111" i="10"/>
  <c r="F99" i="10"/>
  <c r="F107" i="10"/>
  <c r="F161" i="10"/>
  <c r="F75" i="10"/>
  <c r="F242" i="10"/>
  <c r="F239" i="10"/>
  <c r="F143" i="10"/>
  <c r="F217" i="10"/>
  <c r="F265" i="10"/>
  <c r="F77" i="10"/>
  <c r="F240" i="10"/>
  <c r="F261" i="10"/>
  <c r="F211" i="10"/>
  <c r="F76" i="10"/>
  <c r="F155" i="10"/>
  <c r="F171" i="10"/>
  <c r="F195" i="10"/>
  <c r="F190" i="10"/>
  <c r="F95" i="10"/>
  <c r="F106" i="10"/>
  <c r="F178" i="10"/>
  <c r="F149" i="10"/>
  <c r="F74" i="10"/>
  <c r="F97" i="10"/>
  <c r="F215" i="10"/>
  <c r="F128" i="10"/>
  <c r="F245" i="10"/>
  <c r="F83" i="10"/>
  <c r="F232" i="10"/>
  <c r="F81" i="10"/>
  <c r="F185" i="10"/>
  <c r="F182" i="10"/>
  <c r="F104" i="10"/>
  <c r="F120" i="10"/>
  <c r="F96" i="10"/>
  <c r="F85" i="10"/>
  <c r="F145" i="10"/>
  <c r="F139" i="10"/>
  <c r="F233" i="10"/>
  <c r="F176" i="10"/>
  <c r="F221" i="10"/>
  <c r="F80" i="10"/>
  <c r="F205" i="10"/>
  <c r="F131" i="10"/>
  <c r="F251" i="10"/>
  <c r="F180" i="10"/>
  <c r="F219" i="10"/>
  <c r="F254" i="10"/>
  <c r="F256" i="10"/>
  <c r="F266" i="10"/>
  <c r="F112" i="10"/>
  <c r="F184" i="10"/>
  <c r="F142" i="10"/>
  <c r="F170" i="10"/>
  <c r="F110" i="10"/>
  <c r="F135" i="10"/>
  <c r="F157" i="10"/>
  <c r="F234" i="10"/>
  <c r="F241" i="10"/>
  <c r="F203" i="10"/>
  <c r="F192" i="10"/>
  <c r="F79" i="10"/>
  <c r="F78" i="10"/>
  <c r="F216" i="10"/>
  <c r="F101" i="10"/>
  <c r="F225" i="10"/>
  <c r="F82" i="10"/>
  <c r="F209" i="10"/>
  <c r="F150" i="10"/>
  <c r="F20" i="10"/>
  <c r="F3" i="10"/>
  <c r="F34" i="10"/>
  <c r="J2" i="10"/>
  <c r="F2" i="10" s="1"/>
  <c r="F46" i="10"/>
  <c r="F4" i="10"/>
  <c r="F64" i="10"/>
  <c r="F56" i="10"/>
  <c r="F61" i="10"/>
  <c r="F52" i="10"/>
  <c r="F27" i="10"/>
  <c r="F19" i="10"/>
  <c r="F11" i="10"/>
  <c r="F68" i="10"/>
  <c r="F33" i="10"/>
  <c r="F54" i="10"/>
  <c r="F42" i="10"/>
  <c r="F49" i="10"/>
  <c r="F71" i="10"/>
  <c r="F47" i="10"/>
  <c r="F38" i="10"/>
  <c r="F16" i="10"/>
  <c r="F15" i="10"/>
  <c r="F73" i="10"/>
  <c r="F60" i="10"/>
  <c r="F69" i="10"/>
  <c r="F14" i="10"/>
  <c r="F59" i="10"/>
  <c r="F22" i="10"/>
  <c r="F67" i="10"/>
  <c r="F41" i="10"/>
  <c r="F51" i="10"/>
  <c r="F65" i="10"/>
  <c r="F58" i="10"/>
  <c r="F32" i="10"/>
  <c r="F13" i="10"/>
  <c r="F7" i="10"/>
  <c r="F12" i="10"/>
  <c r="F44" i="10"/>
  <c r="F21" i="10"/>
  <c r="F66" i="10"/>
  <c r="F40" i="10"/>
  <c r="F30" i="10"/>
  <c r="F28" i="10"/>
  <c r="F25" i="10"/>
  <c r="F10" i="10"/>
  <c r="F62" i="10"/>
  <c r="F36" i="10"/>
  <c r="F43" i="10"/>
  <c r="F26" i="10"/>
  <c r="F31" i="10"/>
  <c r="F53" i="10"/>
  <c r="F45" i="10"/>
  <c r="F18" i="10"/>
  <c r="F17" i="10"/>
  <c r="F23" i="10"/>
  <c r="F35" i="10"/>
  <c r="F63" i="10"/>
  <c r="F6" i="10"/>
  <c r="F29" i="10"/>
  <c r="F57" i="10"/>
  <c r="F50" i="10"/>
  <c r="F72" i="10"/>
  <c r="F5" i="10"/>
  <c r="F39" i="10"/>
  <c r="F70" i="10"/>
  <c r="F8" i="10"/>
  <c r="F24" i="10"/>
  <c r="F48" i="10"/>
  <c r="F9" i="10"/>
  <c r="F37" i="10"/>
  <c r="O1" i="8"/>
  <c r="M8" i="1"/>
  <c r="J1" i="10" l="1"/>
  <c r="K1" i="10" s="1"/>
  <c r="F1" i="10"/>
  <c r="M9" i="1"/>
  <c r="M1" i="1" s="1"/>
  <c r="G1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<sst xmlns="http://schemas.openxmlformats.org/spreadsheetml/2006/main" count="20516" uniqueCount="5159">
  <si>
    <t>일자</t>
    <phoneticPr fontId="1" type="noConversion"/>
  </si>
  <si>
    <t>시리얼</t>
    <phoneticPr fontId="1" type="noConversion"/>
  </si>
  <si>
    <t>시간</t>
    <phoneticPr fontId="1" type="noConversion"/>
  </si>
  <si>
    <t>기관</t>
    <phoneticPr fontId="1" type="noConversion"/>
  </si>
  <si>
    <t>등록상태</t>
    <phoneticPr fontId="1" type="noConversion"/>
  </si>
  <si>
    <t>등록약정액</t>
    <phoneticPr fontId="1" type="noConversion"/>
  </si>
  <si>
    <t>출금액</t>
    <phoneticPr fontId="1" type="noConversion"/>
  </si>
  <si>
    <t>정산급여</t>
    <phoneticPr fontId="1" type="noConversion"/>
  </si>
  <si>
    <t>출금상태</t>
    <phoneticPr fontId="1" type="noConversion"/>
  </si>
  <si>
    <t>나이</t>
    <phoneticPr fontId="1" type="noConversion"/>
  </si>
  <si>
    <t>직책</t>
    <phoneticPr fontId="1" type="noConversion"/>
  </si>
  <si>
    <t>FRID</t>
    <phoneticPr fontId="1" type="noConversion"/>
  </si>
  <si>
    <t>FRName</t>
    <phoneticPr fontId="1" type="noConversion"/>
  </si>
  <si>
    <t>사이트</t>
    <phoneticPr fontId="1" type="noConversion"/>
  </si>
  <si>
    <t>사원번호</t>
  </si>
  <si>
    <t>주민등록번호</t>
  </si>
  <si>
    <t>성명</t>
  </si>
  <si>
    <t>급여통장 은행코드</t>
  </si>
  <si>
    <t>급여통장 은행명</t>
  </si>
  <si>
    <t>계좌번호</t>
  </si>
  <si>
    <t>예금주</t>
  </si>
  <si>
    <t>Email</t>
  </si>
  <si>
    <t>AM0001</t>
  </si>
  <si>
    <t>AM0048</t>
  </si>
  <si>
    <t>BW0001</t>
  </si>
  <si>
    <t>BW0002</t>
  </si>
  <si>
    <t>BW0003</t>
  </si>
  <si>
    <t>HA0001</t>
  </si>
  <si>
    <t>SA0001</t>
  </si>
  <si>
    <t>UQ0001</t>
  </si>
  <si>
    <t>UQ0024</t>
  </si>
  <si>
    <t>UQ0043</t>
  </si>
  <si>
    <t>frid</t>
    <phoneticPr fontId="4" type="noConversion"/>
  </si>
  <si>
    <t>frname</t>
    <phoneticPr fontId="4" type="noConversion"/>
  </si>
  <si>
    <t>days</t>
    <phoneticPr fontId="4" type="noConversion"/>
  </si>
  <si>
    <t>fee</t>
    <phoneticPr fontId="4" type="noConversion"/>
  </si>
  <si>
    <t>FLID</t>
    <phoneticPr fontId="1" type="noConversion"/>
  </si>
  <si>
    <t>FLName</t>
    <phoneticPr fontId="1" type="noConversion"/>
  </si>
  <si>
    <t>Position</t>
    <phoneticPr fontId="1" type="noConversion"/>
  </si>
  <si>
    <t>인정override</t>
    <phoneticPr fontId="1" type="noConversion"/>
  </si>
  <si>
    <t>treecode</t>
    <phoneticPr fontId="1" type="noConversion"/>
  </si>
  <si>
    <t>salarymonth</t>
    <phoneticPr fontId="1" type="noConversion"/>
  </si>
  <si>
    <t>rate</t>
    <phoneticPr fontId="1" type="noConversion"/>
  </si>
  <si>
    <t>FRPosition</t>
    <phoneticPr fontId="1" type="noConversion"/>
  </si>
  <si>
    <t>비율</t>
    <phoneticPr fontId="1" type="noConversion"/>
  </si>
  <si>
    <t>전월모금액</t>
    <phoneticPr fontId="1" type="noConversion"/>
  </si>
  <si>
    <t>IsOverride</t>
    <phoneticPr fontId="1" type="noConversion"/>
  </si>
  <si>
    <t xml:space="preserve">FRID : </t>
    <phoneticPr fontId="1" type="noConversion"/>
  </si>
  <si>
    <t xml:space="preserve">FRName : </t>
    <phoneticPr fontId="1" type="noConversion"/>
  </si>
  <si>
    <t xml:space="preserve">Position : </t>
    <phoneticPr fontId="1" type="noConversion"/>
  </si>
  <si>
    <t xml:space="preserve">오버라이드 : </t>
  </si>
  <si>
    <t xml:space="preserve">Tax(3.3%) : </t>
  </si>
  <si>
    <t xml:space="preserve">실수령액 : </t>
  </si>
  <si>
    <t xml:space="preserve">총 급여 : </t>
    <phoneticPr fontId="1" type="noConversion"/>
  </si>
  <si>
    <t xml:space="preserve">출금완료 : </t>
    <phoneticPr fontId="1" type="noConversion"/>
  </si>
  <si>
    <t xml:space="preserve">진행중 : </t>
    <phoneticPr fontId="1" type="noConversion"/>
  </si>
  <si>
    <t>Email</t>
    <phoneticPr fontId="1" type="noConversion"/>
  </si>
  <si>
    <t>Filename</t>
    <phoneticPr fontId="1" type="noConversion"/>
  </si>
  <si>
    <t>정산사인업</t>
    <phoneticPr fontId="1" type="noConversion"/>
  </si>
  <si>
    <t>정산모금액</t>
    <phoneticPr fontId="1" type="noConversion"/>
  </si>
  <si>
    <t>오버라이드</t>
    <phoneticPr fontId="1" type="noConversion"/>
  </si>
  <si>
    <t>교육비</t>
    <phoneticPr fontId="1" type="noConversion"/>
  </si>
  <si>
    <t>Tax(3.3%)</t>
    <phoneticPr fontId="1" type="noConversion"/>
  </si>
  <si>
    <t>실지급액</t>
    <phoneticPr fontId="1" type="noConversion"/>
  </si>
  <si>
    <t>급여액</t>
    <phoneticPr fontId="1" type="noConversion"/>
  </si>
  <si>
    <t>HA0020</t>
  </si>
  <si>
    <t xml:space="preserve">첫출금 정산급여 : </t>
    <phoneticPr fontId="1" type="noConversion"/>
  </si>
  <si>
    <t xml:space="preserve">오버라이드 비율 : </t>
    <phoneticPr fontId="1" type="noConversion"/>
  </si>
  <si>
    <t xml:space="preserve">인정 오버라이드 : </t>
    <phoneticPr fontId="1" type="noConversion"/>
  </si>
  <si>
    <t xml:space="preserve">인턴제외 전월 모금액 : </t>
    <phoneticPr fontId="1" type="noConversion"/>
  </si>
  <si>
    <t xml:space="preserve">최종 오버라이드 : </t>
    <phoneticPr fontId="1" type="noConversion"/>
  </si>
  <si>
    <t xml:space="preserve">인턴제외 급여계 : </t>
    <phoneticPr fontId="1" type="noConversion"/>
  </si>
  <si>
    <t xml:space="preserve">총 멤버 급여계 : </t>
    <phoneticPr fontId="1" type="noConversion"/>
  </si>
  <si>
    <t>AM0121</t>
  </si>
  <si>
    <t>팀인정월급액</t>
    <phoneticPr fontId="1" type="noConversion"/>
  </si>
  <si>
    <t>정산시점</t>
    <phoneticPr fontId="1" type="noConversion"/>
  </si>
  <si>
    <t>UQ0108</t>
  </si>
  <si>
    <t>UQ0123</t>
  </si>
  <si>
    <t>AM0126</t>
  </si>
  <si>
    <t>FS0001</t>
  </si>
  <si>
    <t>전월미정산</t>
    <phoneticPr fontId="1" type="noConversion"/>
  </si>
  <si>
    <t>최종정산액</t>
    <phoneticPr fontId="1" type="noConversion"/>
  </si>
  <si>
    <t>bonus</t>
    <phoneticPr fontId="4" type="noConversion"/>
  </si>
  <si>
    <t>보너스</t>
    <phoneticPr fontId="1" type="noConversion"/>
  </si>
  <si>
    <t>UQ0157</t>
  </si>
  <si>
    <t>UQ0159</t>
  </si>
  <si>
    <t>HA0033</t>
  </si>
  <si>
    <t>UQ0181</t>
  </si>
  <si>
    <t>AM0140</t>
  </si>
  <si>
    <t>UQ0187</t>
  </si>
  <si>
    <t>UQ0188</t>
  </si>
  <si>
    <t>UQ0189</t>
  </si>
  <si>
    <t>UQ0190</t>
  </si>
  <si>
    <t>HA0034</t>
  </si>
  <si>
    <t>UQ0197</t>
  </si>
  <si>
    <t>UQ0198</t>
  </si>
  <si>
    <t>UQ0199</t>
  </si>
  <si>
    <t>PN</t>
  </si>
  <si>
    <t>조성재</t>
  </si>
  <si>
    <t>은혜리</t>
  </si>
  <si>
    <t>최준혁</t>
  </si>
  <si>
    <t>이유라</t>
  </si>
  <si>
    <t>최양수</t>
  </si>
  <si>
    <t>이영란</t>
  </si>
  <si>
    <t>황정민</t>
  </si>
  <si>
    <t>방민주</t>
  </si>
  <si>
    <t>박재성</t>
  </si>
  <si>
    <t>최지광</t>
  </si>
  <si>
    <t>한규영</t>
  </si>
  <si>
    <t>박은영</t>
  </si>
  <si>
    <t>맹영록</t>
  </si>
  <si>
    <t>UQ0204</t>
  </si>
  <si>
    <t>김명규</t>
  </si>
  <si>
    <t>SD</t>
  </si>
  <si>
    <t>STL</t>
  </si>
  <si>
    <t>권은재</t>
  </si>
  <si>
    <t>TL</t>
  </si>
  <si>
    <t>박혜성</t>
  </si>
  <si>
    <t>LR</t>
  </si>
  <si>
    <t>D</t>
  </si>
  <si>
    <t>김협</t>
  </si>
  <si>
    <t>이유림</t>
  </si>
  <si>
    <t>HA0035</t>
  </si>
  <si>
    <t>천주영</t>
  </si>
  <si>
    <t>INTERN</t>
  </si>
  <si>
    <t>HA0036</t>
  </si>
  <si>
    <t>한수민</t>
  </si>
  <si>
    <t>HA0037</t>
  </si>
  <si>
    <t>윤수아</t>
  </si>
  <si>
    <t>안희용</t>
  </si>
  <si>
    <t>김선기</t>
  </si>
  <si>
    <t>이준한</t>
  </si>
  <si>
    <t>황윤제</t>
  </si>
  <si>
    <t>김민수</t>
  </si>
  <si>
    <t>김종원</t>
  </si>
  <si>
    <t>박준우</t>
  </si>
  <si>
    <t>나태영</t>
  </si>
  <si>
    <t>홍승표</t>
  </si>
  <si>
    <t>황지웅</t>
  </si>
  <si>
    <t>최민재</t>
  </si>
  <si>
    <t>김규태</t>
  </si>
  <si>
    <t>UQ0201</t>
  </si>
  <si>
    <t>김나현</t>
  </si>
  <si>
    <t>UQ0203</t>
  </si>
  <si>
    <t>김예성</t>
  </si>
  <si>
    <t>UQ0205</t>
  </si>
  <si>
    <t>박혜인</t>
  </si>
  <si>
    <t>UQ0206</t>
  </si>
  <si>
    <t>김경민</t>
  </si>
  <si>
    <t>FR</t>
  </si>
  <si>
    <t>UQ0209</t>
  </si>
  <si>
    <t>임대혁</t>
  </si>
  <si>
    <t>UQ0210</t>
  </si>
  <si>
    <t>최유민</t>
  </si>
  <si>
    <t>UQ0207</t>
  </si>
  <si>
    <t>이영숙</t>
  </si>
  <si>
    <t>UQ0208</t>
  </si>
  <si>
    <t>주다희</t>
  </si>
  <si>
    <t>UQ0001</t>
    <phoneticPr fontId="1" type="noConversion"/>
  </si>
  <si>
    <t>UQ0204</t>
    <phoneticPr fontId="1" type="noConversion"/>
  </si>
  <si>
    <t>down_override</t>
    <phoneticPr fontId="1" type="noConversion"/>
  </si>
  <si>
    <t>Unsettled_Salary</t>
    <phoneticPr fontId="1" type="noConversion"/>
  </si>
  <si>
    <t>Memo</t>
    <phoneticPr fontId="1" type="noConversion"/>
  </si>
  <si>
    <t>final_override</t>
    <phoneticPr fontId="1" type="noConversion"/>
  </si>
  <si>
    <t>900717-1351628</t>
  </si>
  <si>
    <t>004</t>
  </si>
  <si>
    <t>국민은행</t>
  </si>
  <si>
    <t>38470104306124</t>
  </si>
  <si>
    <t>tjdwo199@naver.com</t>
  </si>
  <si>
    <t>AM0002</t>
  </si>
  <si>
    <t>880716-1113713</t>
  </si>
  <si>
    <t>정재영</t>
  </si>
  <si>
    <t>07980204172785</t>
  </si>
  <si>
    <t>astharoshe@nate.com</t>
  </si>
  <si>
    <t>AM0003</t>
  </si>
  <si>
    <t>940915-1000000</t>
  </si>
  <si>
    <t>송준용</t>
  </si>
  <si>
    <t>52230101320796</t>
  </si>
  <si>
    <t>forestjy0915@naver.com</t>
  </si>
  <si>
    <t>AM0004</t>
  </si>
  <si>
    <t>901124-1232811</t>
  </si>
  <si>
    <t>문준용</t>
  </si>
  <si>
    <t>20680204209317</t>
  </si>
  <si>
    <t>moonjy44@naver.com</t>
  </si>
  <si>
    <t>AM0005</t>
  </si>
  <si>
    <t>910122-1079111</t>
  </si>
  <si>
    <t>이태훈</t>
  </si>
  <si>
    <t>00280104210932</t>
  </si>
  <si>
    <t>LeeTHEHOON@gmail.com</t>
  </si>
  <si>
    <t>AM0006</t>
  </si>
  <si>
    <t>981115-2325614</t>
  </si>
  <si>
    <t>강아연</t>
  </si>
  <si>
    <t>46680204210456</t>
  </si>
  <si>
    <t>rnfms7854@naver.com</t>
  </si>
  <si>
    <t>AM0007</t>
  </si>
  <si>
    <t>930813-1236517</t>
  </si>
  <si>
    <t>김명재</t>
  </si>
  <si>
    <t>98138334867</t>
  </si>
  <si>
    <t>glhk9950@hanmail.net</t>
  </si>
  <si>
    <t>AM0008</t>
  </si>
  <si>
    <t>971129-2085610</t>
  </si>
  <si>
    <t>임채은</t>
  </si>
  <si>
    <t>89540100027497</t>
  </si>
  <si>
    <t>ce7784@naver.com</t>
  </si>
  <si>
    <t>AM0009</t>
  </si>
  <si>
    <t>970214-2154830</t>
  </si>
  <si>
    <t>김예지</t>
  </si>
  <si>
    <t>91060201200144</t>
  </si>
  <si>
    <t>fndl0214@naver.com</t>
  </si>
  <si>
    <t>AM0010</t>
  </si>
  <si>
    <t>970412-1357313</t>
  </si>
  <si>
    <t>천정배</t>
  </si>
  <si>
    <t>003</t>
  </si>
  <si>
    <t>기업은행</t>
  </si>
  <si>
    <t>06608088101014</t>
  </si>
  <si>
    <t>subject4012@gmail.com</t>
  </si>
  <si>
    <t>AM0011</t>
  </si>
  <si>
    <t>951108-1184614</t>
  </si>
  <si>
    <t>박용수</t>
  </si>
  <si>
    <t>020</t>
  </si>
  <si>
    <t>우리은행</t>
  </si>
  <si>
    <t>22320635102001</t>
  </si>
  <si>
    <t>dath79@naver.com</t>
  </si>
  <si>
    <t>AM0012</t>
  </si>
  <si>
    <t>950726-2459815</t>
  </si>
  <si>
    <t>김미영</t>
  </si>
  <si>
    <t>87030104057264</t>
  </si>
  <si>
    <t>aldud1789@hanmail.net</t>
  </si>
  <si>
    <t>AM0013</t>
  </si>
  <si>
    <t>900730-2267310</t>
  </si>
  <si>
    <t>정유민</t>
  </si>
  <si>
    <t>09890104098722</t>
  </si>
  <si>
    <t>sunkist730@naver.com</t>
  </si>
  <si>
    <t>AM0014</t>
  </si>
  <si>
    <t>960909-2157020</t>
  </si>
  <si>
    <t>박은지</t>
  </si>
  <si>
    <t>28240204146744</t>
  </si>
  <si>
    <t>par090982@naver.com</t>
  </si>
  <si>
    <t>AM0015</t>
  </si>
  <si>
    <t>940227-2150145</t>
  </si>
  <si>
    <t>김소라</t>
  </si>
  <si>
    <t>088</t>
  </si>
  <si>
    <t>신한은행</t>
  </si>
  <si>
    <t>110357082687</t>
  </si>
  <si>
    <t>sora_22@naver.com</t>
  </si>
  <si>
    <t>AM0016</t>
  </si>
  <si>
    <t>910917-1167832</t>
  </si>
  <si>
    <t>배근열</t>
  </si>
  <si>
    <t>110307689770</t>
  </si>
  <si>
    <t>rmsduf22@naver.com</t>
  </si>
  <si>
    <t>AM0017</t>
  </si>
  <si>
    <t>970127-2203716</t>
  </si>
  <si>
    <t>박정선</t>
  </si>
  <si>
    <t>110390684836</t>
  </si>
  <si>
    <t>0__0512@naver.com</t>
  </si>
  <si>
    <t>AM0018</t>
  </si>
  <si>
    <t>921120-1853821</t>
  </si>
  <si>
    <t>김동환</t>
  </si>
  <si>
    <t>85180201591431</t>
  </si>
  <si>
    <t>ehdghks0573@naver.com</t>
  </si>
  <si>
    <t>AM0020</t>
  </si>
  <si>
    <t>980905-1235813</t>
  </si>
  <si>
    <t>김용태</t>
  </si>
  <si>
    <t>93350200438275</t>
  </si>
  <si>
    <t>game0009@naver.com</t>
  </si>
  <si>
    <t>AM0021</t>
  </si>
  <si>
    <t>951112-1194818</t>
  </si>
  <si>
    <t>이준</t>
  </si>
  <si>
    <t>63900201508521</t>
  </si>
  <si>
    <t>leejun1419@naver.com</t>
  </si>
  <si>
    <t>AM0022</t>
  </si>
  <si>
    <t>970719-1216815</t>
  </si>
  <si>
    <t>최영진</t>
  </si>
  <si>
    <t>94160200027537</t>
  </si>
  <si>
    <t>linnill0719@gmail.com</t>
  </si>
  <si>
    <t>AM0023</t>
  </si>
  <si>
    <t>960402-1232824</t>
  </si>
  <si>
    <t>곽수찬</t>
  </si>
  <si>
    <t>16580104331020</t>
  </si>
  <si>
    <t>fctncks@nate.com</t>
  </si>
  <si>
    <t>AM0024</t>
  </si>
  <si>
    <t>940428-2006733</t>
  </si>
  <si>
    <t>정다빈</t>
  </si>
  <si>
    <t>27270104332350</t>
  </si>
  <si>
    <t>ekqls2990@naver.com</t>
  </si>
  <si>
    <t>AM0025</t>
  </si>
  <si>
    <t>940822-1011412</t>
  </si>
  <si>
    <t>박만섭</t>
  </si>
  <si>
    <t>82970200019454</t>
  </si>
  <si>
    <t>akstjq6670@gmail.com</t>
  </si>
  <si>
    <t>AM0026</t>
  </si>
  <si>
    <t>931227-2323423</t>
  </si>
  <si>
    <t>이규민</t>
  </si>
  <si>
    <t>68240101634485</t>
  </si>
  <si>
    <t>ekmin99@naver.com</t>
  </si>
  <si>
    <t>AM0027</t>
  </si>
  <si>
    <t>880219-1025911</t>
  </si>
  <si>
    <t>조상훈</t>
  </si>
  <si>
    <t>59190201289362</t>
  </si>
  <si>
    <t>sanghun52@naver.com</t>
  </si>
  <si>
    <t>AM0028</t>
  </si>
  <si>
    <t>930211-2078311</t>
  </si>
  <si>
    <t>곽희진</t>
  </si>
  <si>
    <t>110459307602</t>
  </si>
  <si>
    <t>ihjk0001@naver.com</t>
  </si>
  <si>
    <t>AM0029</t>
  </si>
  <si>
    <t>940118-2861217</t>
  </si>
  <si>
    <t>최누리</t>
  </si>
  <si>
    <t>081</t>
  </si>
  <si>
    <t>KEB하나은행</t>
  </si>
  <si>
    <t>19491020876807</t>
  </si>
  <si>
    <t>lossangels@naver.com</t>
  </si>
  <si>
    <t>AM0030</t>
  </si>
  <si>
    <t>991209-2081216</t>
  </si>
  <si>
    <t>최수빈</t>
  </si>
  <si>
    <t>47540104138159</t>
  </si>
  <si>
    <t>gu1209@naver.com</t>
  </si>
  <si>
    <t>AM0031</t>
  </si>
  <si>
    <t>940312-1185013</t>
  </si>
  <si>
    <t>김상민</t>
  </si>
  <si>
    <t>011</t>
  </si>
  <si>
    <t>농협은행</t>
  </si>
  <si>
    <t>3560744248823</t>
  </si>
  <si>
    <t>aforxj12@naver.com</t>
  </si>
  <si>
    <t>AM0032</t>
  </si>
  <si>
    <t>961025-2184622</t>
  </si>
  <si>
    <t>정영숙</t>
  </si>
  <si>
    <t>28510204307069</t>
  </si>
  <si>
    <t>wjddudtnr95@naver.com</t>
  </si>
  <si>
    <t>AM0033</t>
  </si>
  <si>
    <t>911111-2055811</t>
  </si>
  <si>
    <t>문효진</t>
  </si>
  <si>
    <t>25340104272217</t>
  </si>
  <si>
    <t>gywls3401@naver.com</t>
  </si>
  <si>
    <t>AM0034</t>
  </si>
  <si>
    <t>860608-2069914</t>
  </si>
  <si>
    <t>함수연</t>
  </si>
  <si>
    <t>84880100071436</t>
  </si>
  <si>
    <t>suyouni86@naver.com</t>
  </si>
  <si>
    <t>AM0035</t>
  </si>
  <si>
    <t>990601-2152329</t>
  </si>
  <si>
    <t>탁민지</t>
  </si>
  <si>
    <t>65940101516305</t>
  </si>
  <si>
    <t>tkm1238@naver.com</t>
  </si>
  <si>
    <t>AM0036</t>
  </si>
  <si>
    <t>990724-2199419</t>
  </si>
  <si>
    <t>전혜원</t>
  </si>
  <si>
    <t>59510101657511</t>
  </si>
  <si>
    <t>hyewon99_724@naver.com</t>
  </si>
  <si>
    <t>AM0037</t>
  </si>
  <si>
    <t>940723-1235014</t>
  </si>
  <si>
    <t>윤정한</t>
  </si>
  <si>
    <t>05360204371339</t>
  </si>
  <si>
    <t>yan7023@naver.com</t>
  </si>
  <si>
    <t>AM0039</t>
  </si>
  <si>
    <t>960906-2500211</t>
  </si>
  <si>
    <t>양선주</t>
  </si>
  <si>
    <t>81140104293856</t>
  </si>
  <si>
    <t>abcds7681@naver.com</t>
  </si>
  <si>
    <t>AM0040</t>
  </si>
  <si>
    <t>911125-1108916</t>
  </si>
  <si>
    <t>이기현</t>
  </si>
  <si>
    <t>56180201430761</t>
  </si>
  <si>
    <t>darkness021@naver.com</t>
  </si>
  <si>
    <t>AM0041</t>
  </si>
  <si>
    <t>981129-1574917</t>
  </si>
  <si>
    <t>여기훈</t>
  </si>
  <si>
    <t>93800200363048</t>
  </si>
  <si>
    <t>778462@naver.com</t>
  </si>
  <si>
    <t>AM0042</t>
  </si>
  <si>
    <t>940722-2581512</t>
  </si>
  <si>
    <t>서가희</t>
  </si>
  <si>
    <t>110504884646</t>
  </si>
  <si>
    <t>tjrkgml18@naver.com</t>
  </si>
  <si>
    <t>AM0043</t>
  </si>
  <si>
    <t>000908-4075810</t>
  </si>
  <si>
    <t>신서연</t>
  </si>
  <si>
    <t>35930204089554</t>
  </si>
  <si>
    <t>0105984@naver.com</t>
  </si>
  <si>
    <t>AM0044</t>
  </si>
  <si>
    <t>990413-2041317</t>
  </si>
  <si>
    <t>배예림</t>
  </si>
  <si>
    <t>42750104075800</t>
  </si>
  <si>
    <t>baeyerem0413@naver.com</t>
  </si>
  <si>
    <t>AM0045</t>
  </si>
  <si>
    <t>990528-2042216</t>
  </si>
  <si>
    <t>이유정</t>
  </si>
  <si>
    <t>46990104277198</t>
  </si>
  <si>
    <t>thkfkd1go@naver.com</t>
  </si>
  <si>
    <t>AM0046</t>
  </si>
  <si>
    <t>961005-1025419</t>
  </si>
  <si>
    <t>정준호</t>
  </si>
  <si>
    <t>49780201534584</t>
  </si>
  <si>
    <t>wjdwnsgh08@naver.com</t>
  </si>
  <si>
    <t>970304-2026113</t>
  </si>
  <si>
    <t>61630104204857</t>
  </si>
  <si>
    <t>dmschfhd97@naver.com</t>
  </si>
  <si>
    <t>AM0049</t>
  </si>
  <si>
    <t>981027-2051418</t>
  </si>
  <si>
    <t>최솔이</t>
  </si>
  <si>
    <t>46190201354347</t>
  </si>
  <si>
    <t>yge05056@naver.com</t>
  </si>
  <si>
    <t>AM0050</t>
  </si>
  <si>
    <t>931203-2241115</t>
  </si>
  <si>
    <t>권솔아</t>
  </si>
  <si>
    <t>09890104102313</t>
  </si>
  <si>
    <t>lovelyblue47@naver.com</t>
  </si>
  <si>
    <t>AM0051</t>
  </si>
  <si>
    <t>891127-1157254</t>
  </si>
  <si>
    <t>김가람</t>
  </si>
  <si>
    <t>09890204238127</t>
  </si>
  <si>
    <t>kgr1127@naver.com</t>
  </si>
  <si>
    <t>AM0052</t>
  </si>
  <si>
    <t>980226-1235017</t>
  </si>
  <si>
    <t>유석민</t>
  </si>
  <si>
    <t>93800200217039</t>
  </si>
  <si>
    <t>tkwk1566@naver.com</t>
  </si>
  <si>
    <t>AM0053</t>
  </si>
  <si>
    <t>970716-1184911</t>
  </si>
  <si>
    <t>채재병</t>
  </si>
  <si>
    <t>97200449301010</t>
  </si>
  <si>
    <t>coty68@nate.com</t>
  </si>
  <si>
    <t>AM0054</t>
  </si>
  <si>
    <t>940504-1143714</t>
  </si>
  <si>
    <t>이재인</t>
  </si>
  <si>
    <t>61670201446466</t>
  </si>
  <si>
    <t>8747239@naver.com</t>
  </si>
  <si>
    <t>AM0055</t>
  </si>
  <si>
    <t>921019-1183618</t>
  </si>
  <si>
    <t>주영석</t>
  </si>
  <si>
    <t>65030204124567</t>
  </si>
  <si>
    <t>dudtjr7141@naver.com</t>
  </si>
  <si>
    <t>AM0057</t>
  </si>
  <si>
    <t>990802-5760013</t>
  </si>
  <si>
    <t>윤금호</t>
  </si>
  <si>
    <t>46991000771305</t>
  </si>
  <si>
    <t>geumho0621@naver.com</t>
  </si>
  <si>
    <t>AM0059</t>
  </si>
  <si>
    <t>930921-2034647</t>
  </si>
  <si>
    <t>송정화</t>
  </si>
  <si>
    <t>26310104477628</t>
  </si>
  <si>
    <t>thdwjdghk93@naver.com</t>
  </si>
  <si>
    <t>AM0061</t>
  </si>
  <si>
    <t>950901-1177513</t>
  </si>
  <si>
    <t>우민식</t>
  </si>
  <si>
    <t>23270204352768</t>
  </si>
  <si>
    <t>alstl@naver.com</t>
  </si>
  <si>
    <t>AM0062</t>
  </si>
  <si>
    <t>931228-1069014</t>
  </si>
  <si>
    <t>손상우</t>
  </si>
  <si>
    <t>71820201193057</t>
  </si>
  <si>
    <t>ssw931228@naver.com</t>
  </si>
  <si>
    <t>AM0063</t>
  </si>
  <si>
    <t>870119-1030626</t>
  </si>
  <si>
    <t>홍현선</t>
  </si>
  <si>
    <t>51260201281172</t>
  </si>
  <si>
    <t>honghong87@hanmail.net</t>
  </si>
  <si>
    <t>AM0065</t>
  </si>
  <si>
    <t>940415-2173639</t>
  </si>
  <si>
    <t>조은지</t>
  </si>
  <si>
    <t>27270204133770</t>
  </si>
  <si>
    <t>roaldmswl@naver.com</t>
  </si>
  <si>
    <t>AM0066</t>
  </si>
  <si>
    <t>970521-2245617</t>
  </si>
  <si>
    <t>조혜민</t>
  </si>
  <si>
    <t>3510168878123</t>
  </si>
  <si>
    <t>zzz5919@naver.com</t>
  </si>
  <si>
    <t>AM0067</t>
  </si>
  <si>
    <t>940922-2187510</t>
  </si>
  <si>
    <t>박명숙</t>
  </si>
  <si>
    <t>21810204434666</t>
  </si>
  <si>
    <t>primaryms94@gmail.com</t>
  </si>
  <si>
    <t>AM0068</t>
  </si>
  <si>
    <t>000222-4234118</t>
  </si>
  <si>
    <t>김누리</t>
  </si>
  <si>
    <t>21100204211503</t>
  </si>
  <si>
    <t>2000snfl@naver.com</t>
  </si>
  <si>
    <t>AM0071</t>
  </si>
  <si>
    <t>000521-3500515</t>
  </si>
  <si>
    <t>오은호</t>
  </si>
  <si>
    <t>50780204078995</t>
  </si>
  <si>
    <t>ok756776@naver.com</t>
  </si>
  <si>
    <t>AM0072</t>
  </si>
  <si>
    <t>960306-2910417</t>
  </si>
  <si>
    <t>이송미</t>
  </si>
  <si>
    <t>56470101500927</t>
  </si>
  <si>
    <t>thdal645@naver.com</t>
  </si>
  <si>
    <t>AM0073</t>
  </si>
  <si>
    <t>940419-1155415</t>
  </si>
  <si>
    <t>김영문</t>
  </si>
  <si>
    <t>07300104250758</t>
  </si>
  <si>
    <t>samyookchaos@naver.com</t>
  </si>
  <si>
    <t>AM0075</t>
  </si>
  <si>
    <t>950817-1170214</t>
  </si>
  <si>
    <t>정영민</t>
  </si>
  <si>
    <t>51550201423133</t>
  </si>
  <si>
    <t>jym9sss@gmail.com</t>
  </si>
  <si>
    <t>AM0076</t>
  </si>
  <si>
    <t>000103-4216420</t>
  </si>
  <si>
    <t>이소윤</t>
  </si>
  <si>
    <t>110511669360</t>
  </si>
  <si>
    <t>lesy0103@naver.com</t>
  </si>
  <si>
    <t>AM0077</t>
  </si>
  <si>
    <t>010522-4233712</t>
  </si>
  <si>
    <t>황선하</t>
  </si>
  <si>
    <t>3561411860793</t>
  </si>
  <si>
    <t>sunha148@naver.com</t>
  </si>
  <si>
    <t>AM0078</t>
  </si>
  <si>
    <t>920325-1057311</t>
  </si>
  <si>
    <t>손현섭</t>
  </si>
  <si>
    <t>110270354093</t>
  </si>
  <si>
    <t>qurtks206@naver.com</t>
  </si>
  <si>
    <t>AM0079</t>
  </si>
  <si>
    <t>010507-4471211</t>
  </si>
  <si>
    <t>최은영</t>
  </si>
  <si>
    <t>3510983960653</t>
  </si>
  <si>
    <t>vhql93@naver.com</t>
  </si>
  <si>
    <t>AM0080</t>
  </si>
  <si>
    <t>961004-2169518</t>
  </si>
  <si>
    <t>윤주연</t>
  </si>
  <si>
    <t>090</t>
  </si>
  <si>
    <t>카카오뱅크</t>
  </si>
  <si>
    <t>3333114672568</t>
  </si>
  <si>
    <t>dbswndus104@naver.com</t>
  </si>
  <si>
    <t>AM0081</t>
  </si>
  <si>
    <t>981026-1158916</t>
  </si>
  <si>
    <t>채수암</t>
  </si>
  <si>
    <t>72050201285052</t>
  </si>
  <si>
    <t>emperor1011@naver.com</t>
  </si>
  <si>
    <t>AM0082</t>
  </si>
  <si>
    <t>970216-2194114</t>
  </si>
  <si>
    <t>김지혜</t>
  </si>
  <si>
    <t>3021054355451</t>
  </si>
  <si>
    <t>kjh394277@gmail.com</t>
  </si>
  <si>
    <t>AM0083</t>
  </si>
  <si>
    <t>990612-2170313</t>
  </si>
  <si>
    <t>정서현</t>
  </si>
  <si>
    <t>80460104281718</t>
  </si>
  <si>
    <t>s990612h@gmail.com</t>
  </si>
  <si>
    <t>AM0084</t>
  </si>
  <si>
    <t>951227-1543111</t>
  </si>
  <si>
    <t>서보현</t>
  </si>
  <si>
    <t>91930201678003</t>
  </si>
  <si>
    <t>qhgus8725@naver.com</t>
  </si>
  <si>
    <t>AM0085</t>
  </si>
  <si>
    <t>950221-1083319</t>
  </si>
  <si>
    <t>두영무</t>
  </si>
  <si>
    <t>86190104115782</t>
  </si>
  <si>
    <t>dudan475@naver.com</t>
  </si>
  <si>
    <t>AM0086</t>
  </si>
  <si>
    <t>920905-2017726</t>
  </si>
  <si>
    <t>이현진</t>
  </si>
  <si>
    <t>81320200036340</t>
  </si>
  <si>
    <t>hj200351@hanmail.net</t>
  </si>
  <si>
    <t>AM0087</t>
  </si>
  <si>
    <t>960216-1011617</t>
  </si>
  <si>
    <t>정지우</t>
  </si>
  <si>
    <t>1002546633335</t>
  </si>
  <si>
    <t>popejoan@naver.com</t>
  </si>
  <si>
    <t>AM0088</t>
  </si>
  <si>
    <t>980225-1196616</t>
  </si>
  <si>
    <t>심기훈</t>
  </si>
  <si>
    <t>20550104149785</t>
  </si>
  <si>
    <t>sgh0225sgh@naver.com</t>
  </si>
  <si>
    <t>AM0089</t>
  </si>
  <si>
    <t>971013-2449333</t>
  </si>
  <si>
    <t>김나희</t>
  </si>
  <si>
    <t>64510204075508</t>
  </si>
  <si>
    <t>ppsop_2@naver.com</t>
  </si>
  <si>
    <t>AM0090</t>
  </si>
  <si>
    <t>940319-1077013</t>
  </si>
  <si>
    <t>김한결</t>
  </si>
  <si>
    <t>50610201448831</t>
  </si>
  <si>
    <t>constantly@kakao.com</t>
  </si>
  <si>
    <t>AM0091</t>
  </si>
  <si>
    <t>920319-1035513</t>
  </si>
  <si>
    <t>신창혁</t>
  </si>
  <si>
    <t>1002147108163</t>
  </si>
  <si>
    <t>apollon929@hotmail.com</t>
  </si>
  <si>
    <t>AM0092</t>
  </si>
  <si>
    <t>981011-2164211</t>
  </si>
  <si>
    <t>황유진</t>
  </si>
  <si>
    <t>21700204603524</t>
  </si>
  <si>
    <t>qhdms0311@naver.com</t>
  </si>
  <si>
    <t>AM0093</t>
  </si>
  <si>
    <t>940128-1152311</t>
  </si>
  <si>
    <t>이재영</t>
  </si>
  <si>
    <t>82991040539007</t>
  </si>
  <si>
    <t>khj3461@nate.com</t>
  </si>
  <si>
    <t>AM0094</t>
  </si>
  <si>
    <t>981206-2164514</t>
  </si>
  <si>
    <t>오영은</t>
  </si>
  <si>
    <t>21810104403377</t>
  </si>
  <si>
    <t>yeesdf100413@naver.com</t>
  </si>
  <si>
    <t>AM0095</t>
  </si>
  <si>
    <t>970617-1182616</t>
  </si>
  <si>
    <t>김대준</t>
  </si>
  <si>
    <t>94160200006224</t>
  </si>
  <si>
    <t>wnsrla7@naver.com</t>
  </si>
  <si>
    <t>AM0096</t>
  </si>
  <si>
    <t>940318-1182926</t>
  </si>
  <si>
    <t>김호림</t>
  </si>
  <si>
    <t>110399011894</t>
  </si>
  <si>
    <t>horim318@naver.com</t>
  </si>
  <si>
    <t>AM0097</t>
  </si>
  <si>
    <t>901128-1241614</t>
  </si>
  <si>
    <t>강대우</t>
  </si>
  <si>
    <t>3520991656293</t>
  </si>
  <si>
    <t>vvkdwvv@gmail.com</t>
  </si>
  <si>
    <t>AM0098</t>
  </si>
  <si>
    <t>970415-2184225</t>
  </si>
  <si>
    <t>이다애</t>
  </si>
  <si>
    <t>06216692401015</t>
  </si>
  <si>
    <t>syjy22kr@gmail.com</t>
  </si>
  <si>
    <t>AM0099</t>
  </si>
  <si>
    <t>890806-1187110</t>
  </si>
  <si>
    <t>정중섭</t>
  </si>
  <si>
    <t>3020735733661</t>
  </si>
  <si>
    <t>beholderjjsf@gmail.com</t>
  </si>
  <si>
    <t>AM0100</t>
  </si>
  <si>
    <t>000108-4035215</t>
  </si>
  <si>
    <t>이영흔</t>
  </si>
  <si>
    <t>58090201534440</t>
  </si>
  <si>
    <t>dudgms0108@gmail.com</t>
  </si>
  <si>
    <t>AM0101</t>
  </si>
  <si>
    <t>981001-2179525</t>
  </si>
  <si>
    <t>이다솜</t>
  </si>
  <si>
    <t>92030201456052</t>
  </si>
  <si>
    <t>dasom2231@naver.com</t>
  </si>
  <si>
    <t>AM0102</t>
  </si>
  <si>
    <t>880129-1156411</t>
  </si>
  <si>
    <t>유창주</t>
  </si>
  <si>
    <t>1002431489401</t>
  </si>
  <si>
    <t>you1004ufo@gmail.com</t>
  </si>
  <si>
    <t>AM0103</t>
  </si>
  <si>
    <t>930728-1471418</t>
  </si>
  <si>
    <t>구태우</t>
  </si>
  <si>
    <t>1002954878161</t>
  </si>
  <si>
    <t>xodn7868@naver.com</t>
  </si>
  <si>
    <t>AM0104</t>
  </si>
  <si>
    <t>960205-1053114</t>
  </si>
  <si>
    <t>최현진</t>
  </si>
  <si>
    <t>110440719066</t>
  </si>
  <si>
    <t>chrzk56@naver.com</t>
  </si>
  <si>
    <t>AM0105</t>
  </si>
  <si>
    <t>980310-2037415</t>
  </si>
  <si>
    <t>김은호</t>
  </si>
  <si>
    <t>74540201230646</t>
  </si>
  <si>
    <t>wivor310@naver.com</t>
  </si>
  <si>
    <t>AM0106</t>
  </si>
  <si>
    <t>910902-1070419</t>
  </si>
  <si>
    <t>박예헌</t>
  </si>
  <si>
    <t>03160104220179</t>
  </si>
  <si>
    <t>parkyehun@naver.com</t>
  </si>
  <si>
    <t>AM0107</t>
  </si>
  <si>
    <t>961014-2052010</t>
  </si>
  <si>
    <t>엄지혜</t>
  </si>
  <si>
    <t>169001-04-215380</t>
  </si>
  <si>
    <t>djawl2019@naver.com</t>
  </si>
  <si>
    <t>AM0108</t>
  </si>
  <si>
    <t>940104-2183718</t>
  </si>
  <si>
    <t>임새롬</t>
  </si>
  <si>
    <t>96336049353</t>
  </si>
  <si>
    <t>dlato94@naver.com</t>
  </si>
  <si>
    <t>AM0109</t>
  </si>
  <si>
    <t>961225-2638017</t>
  </si>
  <si>
    <t>김세미</t>
  </si>
  <si>
    <t>3010149352831</t>
  </si>
  <si>
    <t>rmawk4563@naver.com</t>
  </si>
  <si>
    <t>AM0110</t>
  </si>
  <si>
    <t>980427-1333511</t>
  </si>
  <si>
    <t>권병석</t>
  </si>
  <si>
    <t>97702051201019</t>
  </si>
  <si>
    <t>begin402789@gmail.com</t>
  </si>
  <si>
    <t>AM0111</t>
  </si>
  <si>
    <t>930201-1009516</t>
  </si>
  <si>
    <t>강원석</t>
  </si>
  <si>
    <t>1002560953064</t>
  </si>
  <si>
    <t>adda9nom@gmail.com</t>
  </si>
  <si>
    <t>AM0112</t>
  </si>
  <si>
    <t>940726-1652412</t>
  </si>
  <si>
    <t>3510548987533</t>
  </si>
  <si>
    <t>567875@naver.com</t>
  </si>
  <si>
    <t>AM0113</t>
  </si>
  <si>
    <t>970507-2032120</t>
  </si>
  <si>
    <t>강정민</t>
  </si>
  <si>
    <t>31091000922207</t>
  </si>
  <si>
    <t>zkfkdltk@naver.com</t>
  </si>
  <si>
    <t>AM0114</t>
  </si>
  <si>
    <t>970819-1006317</t>
  </si>
  <si>
    <t>이근성</t>
  </si>
  <si>
    <t>68080201249534</t>
  </si>
  <si>
    <t>rmstjd987@naver.com</t>
  </si>
  <si>
    <t>AM0115</t>
  </si>
  <si>
    <t>980216-2562110</t>
  </si>
  <si>
    <t>홍지우</t>
  </si>
  <si>
    <t>110344833509</t>
  </si>
  <si>
    <t>cghswlsn12@naver.com</t>
  </si>
  <si>
    <t>AM0116</t>
  </si>
  <si>
    <t>930704-1481210</t>
  </si>
  <si>
    <t>임종문</t>
  </si>
  <si>
    <t>3333139385430</t>
  </si>
  <si>
    <t>ikm67@naver.com</t>
  </si>
  <si>
    <t>AM0117</t>
  </si>
  <si>
    <t>860201-1661116</t>
  </si>
  <si>
    <t>조진형</t>
  </si>
  <si>
    <t>36430204243226</t>
  </si>
  <si>
    <t>lovemore82@naver.com</t>
  </si>
  <si>
    <t>AM0118</t>
  </si>
  <si>
    <t>970212-2047028</t>
  </si>
  <si>
    <t>전담비</t>
  </si>
  <si>
    <t>49810201367815</t>
  </si>
  <si>
    <t>wjsekaql212@naver.com</t>
  </si>
  <si>
    <t>AM0119</t>
  </si>
  <si>
    <t>970817-2233319</t>
  </si>
  <si>
    <t>박은비</t>
  </si>
  <si>
    <t>31220204084060</t>
  </si>
  <si>
    <t>snsqldid1234@naver.com</t>
  </si>
  <si>
    <t>AM0120</t>
  </si>
  <si>
    <t>000420-4648811</t>
  </si>
  <si>
    <t>이하루</t>
  </si>
  <si>
    <t>21100104366280</t>
  </si>
  <si>
    <t>ekfn0420@naver.com</t>
  </si>
  <si>
    <t>970808-2038011</t>
  </si>
  <si>
    <t>01250104301356</t>
  </si>
  <si>
    <t>eunjae808@naver.com</t>
  </si>
  <si>
    <t>AM0123</t>
  </si>
  <si>
    <t>911129-1678212</t>
  </si>
  <si>
    <t>서준우</t>
  </si>
  <si>
    <t>61290204072147</t>
  </si>
  <si>
    <t>suhjw2000@naver.com</t>
  </si>
  <si>
    <t>AM0124</t>
  </si>
  <si>
    <t>970319-2031011</t>
  </si>
  <si>
    <t>양효정</t>
  </si>
  <si>
    <t>05360204383464</t>
  </si>
  <si>
    <t>yhj07081@naver.com</t>
  </si>
  <si>
    <t>AM0125</t>
  </si>
  <si>
    <t>950113-1243510</t>
  </si>
  <si>
    <t>김승환</t>
  </si>
  <si>
    <t>84590200018718</t>
  </si>
  <si>
    <t>winhard95@naver.com</t>
  </si>
  <si>
    <t>950418-1114911</t>
  </si>
  <si>
    <t>09208960201018</t>
  </si>
  <si>
    <t>417900aaa@naver.com</t>
  </si>
  <si>
    <t>AM0127</t>
  </si>
  <si>
    <t>811009-2566821</t>
  </si>
  <si>
    <t>박영주</t>
  </si>
  <si>
    <t>39910104405063</t>
  </si>
  <si>
    <t>gagtime3@naver.com</t>
  </si>
  <si>
    <t>AM0128</t>
  </si>
  <si>
    <t>950704-1025719</t>
  </si>
  <si>
    <t>정해만</t>
  </si>
  <si>
    <t>68110201528429</t>
  </si>
  <si>
    <t>haemong_2@naver.com</t>
  </si>
  <si>
    <t>AM0129</t>
  </si>
  <si>
    <t>970314-1047813</t>
  </si>
  <si>
    <t>박형준</t>
  </si>
  <si>
    <t>3333035145903</t>
  </si>
  <si>
    <t>hyang3479@naver.com</t>
  </si>
  <si>
    <t>AM0130</t>
  </si>
  <si>
    <t>000802-4009911</t>
  </si>
  <si>
    <t>정예은</t>
  </si>
  <si>
    <t>110210826526</t>
  </si>
  <si>
    <t>dpamss082@naver.com</t>
  </si>
  <si>
    <t>AM0131</t>
  </si>
  <si>
    <t>930405-2199023</t>
  </si>
  <si>
    <t>노영민</t>
  </si>
  <si>
    <t>39040104017351</t>
  </si>
  <si>
    <t>ks930405@naver.com</t>
  </si>
  <si>
    <t>AM0132</t>
  </si>
  <si>
    <t>000226-4249512</t>
  </si>
  <si>
    <t>박민지</t>
  </si>
  <si>
    <t>3333058496613</t>
  </si>
  <si>
    <t>pmj4249512@naver.com</t>
  </si>
  <si>
    <t>AM0133</t>
  </si>
  <si>
    <t>960513-1419415</t>
  </si>
  <si>
    <t>박병관</t>
  </si>
  <si>
    <t>23270204373196</t>
  </si>
  <si>
    <t>adorable5038@naver.com</t>
  </si>
  <si>
    <t>AM0134</t>
  </si>
  <si>
    <t>980415-1174328</t>
  </si>
  <si>
    <t>신현수</t>
  </si>
  <si>
    <t>1002761533344</t>
  </si>
  <si>
    <t>kmjsdh2@naver.com</t>
  </si>
  <si>
    <t>AM0135</t>
  </si>
  <si>
    <t>980325-1917010</t>
  </si>
  <si>
    <t>신지환</t>
  </si>
  <si>
    <t>미재출</t>
  </si>
  <si>
    <t>gchbin98@naver.com</t>
  </si>
  <si>
    <t>AM0136</t>
  </si>
  <si>
    <t>980301-2095611</t>
  </si>
  <si>
    <t>박윤경</t>
  </si>
  <si>
    <t>3333030714196</t>
  </si>
  <si>
    <t>bigb819@naver.com</t>
  </si>
  <si>
    <t>AM0137</t>
  </si>
  <si>
    <t>920514-1021022</t>
  </si>
  <si>
    <t>백종원</t>
  </si>
  <si>
    <t>94290200106888</t>
  </si>
  <si>
    <t>jwwhddnjs@gmail.com</t>
  </si>
  <si>
    <t>AM0138</t>
  </si>
  <si>
    <t>981219-1143716</t>
  </si>
  <si>
    <t>이희재</t>
  </si>
  <si>
    <t>94160200269528</t>
  </si>
  <si>
    <t>owan1219@naver.com</t>
  </si>
  <si>
    <t>AM0139</t>
  </si>
  <si>
    <t>030208-4069419</t>
  </si>
  <si>
    <t>장주희</t>
  </si>
  <si>
    <t>80910204146365</t>
  </si>
  <si>
    <t>julie82911@gmail.com</t>
  </si>
  <si>
    <t>960125-1032616</t>
  </si>
  <si>
    <t>43890201533685</t>
  </si>
  <si>
    <t>wyeppi@naver.com</t>
  </si>
  <si>
    <t>AM0141</t>
  </si>
  <si>
    <t>010801-4047015</t>
  </si>
  <si>
    <t>김규빈</t>
  </si>
  <si>
    <t>85430100009032</t>
  </si>
  <si>
    <t>bessiekim08@naver.com</t>
  </si>
  <si>
    <t>AM0142</t>
  </si>
  <si>
    <t>980815-1216215</t>
  </si>
  <si>
    <t>이원호</t>
  </si>
  <si>
    <t>1002850130011</t>
  </si>
  <si>
    <t>dldnjsgh7@naver.com</t>
  </si>
  <si>
    <t>AM0143</t>
  </si>
  <si>
    <t>850419-1095618</t>
  </si>
  <si>
    <t>박중현</t>
  </si>
  <si>
    <t>25889105078607</t>
  </si>
  <si>
    <t>conan735@gmail.com</t>
  </si>
  <si>
    <t>AS0003</t>
  </si>
  <si>
    <t>961120-2691214</t>
  </si>
  <si>
    <t>임하늘</t>
  </si>
  <si>
    <t>63490204136894</t>
  </si>
  <si>
    <t>vkfm456@naver.com</t>
  </si>
  <si>
    <t>AS0004</t>
  </si>
  <si>
    <t>901015-2222222</t>
  </si>
  <si>
    <t>홍은비</t>
  </si>
  <si>
    <t>02820204077501</t>
  </si>
  <si>
    <t>eup2@naver.com</t>
  </si>
  <si>
    <t>AS0005</t>
  </si>
  <si>
    <t>911107-3333333</t>
  </si>
  <si>
    <t>조지원</t>
  </si>
  <si>
    <t>63810204093245</t>
  </si>
  <si>
    <t>미등록</t>
  </si>
  <si>
    <t>no-data</t>
  </si>
  <si>
    <t>AS0006</t>
  </si>
  <si>
    <t>951225-2703117</t>
  </si>
  <si>
    <t>장민희</t>
  </si>
  <si>
    <t>64590204329975</t>
  </si>
  <si>
    <t>alsgmlsun@naver.com</t>
  </si>
  <si>
    <t>AS0007</t>
  </si>
  <si>
    <t>000302-4672319</t>
  </si>
  <si>
    <t>68020104184589</t>
  </si>
  <si>
    <t>kyj9523@naver.com</t>
  </si>
  <si>
    <t>AS0008</t>
  </si>
  <si>
    <t>900111-2199319</t>
  </si>
  <si>
    <t>원소연</t>
  </si>
  <si>
    <t>110493173298</t>
  </si>
  <si>
    <t>hyejinwon111@gmail.com</t>
  </si>
  <si>
    <t>AS0010</t>
  </si>
  <si>
    <t>920130-2768318</t>
  </si>
  <si>
    <t>박소윤</t>
  </si>
  <si>
    <t>031</t>
  </si>
  <si>
    <t>대구은행</t>
  </si>
  <si>
    <t>508120914325</t>
  </si>
  <si>
    <t>hwsoyun@naver.com</t>
  </si>
  <si>
    <t>AS0011</t>
  </si>
  <si>
    <t>950208-1698417</t>
  </si>
  <si>
    <t>권배성</t>
  </si>
  <si>
    <t>72720200167998</t>
  </si>
  <si>
    <t>ds0264@naver.com</t>
  </si>
  <si>
    <t>AS0012</t>
  </si>
  <si>
    <t>940404-2692714</t>
  </si>
  <si>
    <t>배효은</t>
  </si>
  <si>
    <t>60220204145785</t>
  </si>
  <si>
    <t>dmszzang2@nate.com</t>
  </si>
  <si>
    <t>AS0013</t>
  </si>
  <si>
    <t>871028-1685611</t>
  </si>
  <si>
    <t>정기화</t>
  </si>
  <si>
    <t>199070071771</t>
  </si>
  <si>
    <t>AS0014</t>
  </si>
  <si>
    <t>941019-1703010</t>
  </si>
  <si>
    <t>김영균</t>
  </si>
  <si>
    <t>02820204052245</t>
  </si>
  <si>
    <t>omo941019@nate.com</t>
  </si>
  <si>
    <t>AS0016</t>
  </si>
  <si>
    <t>961007-1691917</t>
  </si>
  <si>
    <t>박준호</t>
  </si>
  <si>
    <t>95397035271</t>
  </si>
  <si>
    <t>qwe3042@naver.com</t>
  </si>
  <si>
    <t>AS0017</t>
  </si>
  <si>
    <t>951102-2768310</t>
  </si>
  <si>
    <t>문정윤</t>
  </si>
  <si>
    <t>80130101634059</t>
  </si>
  <si>
    <t>cn1155@naver.com</t>
  </si>
  <si>
    <t>AS0018</t>
  </si>
  <si>
    <t>970905-2692332</t>
  </si>
  <si>
    <t>박소현</t>
  </si>
  <si>
    <t>61290204179710</t>
  </si>
  <si>
    <t>qkrthgus200@naver.com</t>
  </si>
  <si>
    <t>AS0019</t>
  </si>
  <si>
    <t>000518-3333615</t>
  </si>
  <si>
    <t>권석준</t>
  </si>
  <si>
    <t>110484782682</t>
  </si>
  <si>
    <t>hjg4814@gmail.com</t>
  </si>
  <si>
    <t>AS0020</t>
  </si>
  <si>
    <t>950116-1685611</t>
  </si>
  <si>
    <t>정현욱</t>
  </si>
  <si>
    <t>61740104332289</t>
  </si>
  <si>
    <t>j950116@nate.com</t>
  </si>
  <si>
    <t>AS0021</t>
  </si>
  <si>
    <t>910515-1670921</t>
  </si>
  <si>
    <t>이윤건</t>
  </si>
  <si>
    <t>110475170214</t>
  </si>
  <si>
    <t>leeyg7767@naver.com</t>
  </si>
  <si>
    <t>AS0022</t>
  </si>
  <si>
    <t>920814-1675815</t>
  </si>
  <si>
    <t>김정호</t>
  </si>
  <si>
    <t>045</t>
  </si>
  <si>
    <t>새마을금고중앙회</t>
  </si>
  <si>
    <t>9003242501991</t>
  </si>
  <si>
    <t>rlawjdgh07@naver.com</t>
  </si>
  <si>
    <t>AS0023</t>
  </si>
  <si>
    <t>931224-1692516</t>
  </si>
  <si>
    <t>이재형</t>
  </si>
  <si>
    <t>67500104187867</t>
  </si>
  <si>
    <t>jea1853@naver.com</t>
  </si>
  <si>
    <t>AS0024</t>
  </si>
  <si>
    <t>960531-2696812</t>
  </si>
  <si>
    <t>김효명</t>
  </si>
  <si>
    <t>64200204203742</t>
  </si>
  <si>
    <t>hyom960531@naver.com</t>
  </si>
  <si>
    <t>AS0025</t>
  </si>
  <si>
    <t>951228-2928114</t>
  </si>
  <si>
    <t>이주현</t>
  </si>
  <si>
    <t>64590204297449</t>
  </si>
  <si>
    <t>ju942@naver.com</t>
  </si>
  <si>
    <t>AS0026</t>
  </si>
  <si>
    <t>911030-1686010</t>
  </si>
  <si>
    <t>정정우</t>
  </si>
  <si>
    <t/>
  </si>
  <si>
    <t>rhdiadl@gmail.com</t>
  </si>
  <si>
    <t>AS0028</t>
  </si>
  <si>
    <t>930630-1683115</t>
  </si>
  <si>
    <t>이예찬</t>
  </si>
  <si>
    <t>80130201611345</t>
  </si>
  <si>
    <t>dldpcks3082@gmail.com</t>
  </si>
  <si>
    <t>AT0001</t>
  </si>
  <si>
    <t>791203-1697218</t>
  </si>
  <si>
    <t>손무진</t>
  </si>
  <si>
    <t>24820204022574</t>
  </si>
  <si>
    <t>worldcrew@naver.com</t>
  </si>
  <si>
    <t>AT0003</t>
  </si>
  <si>
    <t>890824-1851618</t>
  </si>
  <si>
    <t>김정민</t>
  </si>
  <si>
    <t>55400201404025</t>
  </si>
  <si>
    <t>ULBOOO@naver.com</t>
  </si>
  <si>
    <t>AT0004</t>
  </si>
  <si>
    <t>920419-1922013</t>
  </si>
  <si>
    <t>이은총</t>
  </si>
  <si>
    <t>94780101409186</t>
  </si>
  <si>
    <t>esse4500@hanmail.net</t>
  </si>
  <si>
    <t>AT0005</t>
  </si>
  <si>
    <t>950423-1112111</t>
  </si>
  <si>
    <t>김주영</t>
  </si>
  <si>
    <t>94780101409467</t>
  </si>
  <si>
    <t>djaldk07@naver.com</t>
  </si>
  <si>
    <t>AT0007</t>
  </si>
  <si>
    <t>950425-2093219</t>
  </si>
  <si>
    <t>김가혜</t>
  </si>
  <si>
    <t>94780201581869</t>
  </si>
  <si>
    <t>rkgp7229@naver.com</t>
  </si>
  <si>
    <t>AT0008</t>
  </si>
  <si>
    <t>850514-1082113</t>
  </si>
  <si>
    <t>오광석</t>
  </si>
  <si>
    <t>9003250580486</t>
  </si>
  <si>
    <t>pixeet360@gmail.com</t>
  </si>
  <si>
    <t>AT0009</t>
  </si>
  <si>
    <t>920715-2246923</t>
  </si>
  <si>
    <t>원다혜</t>
  </si>
  <si>
    <t>69920101298133</t>
  </si>
  <si>
    <t>hknn9397@naver.com</t>
  </si>
  <si>
    <t>AT0011</t>
  </si>
  <si>
    <t>951107-2279517</t>
  </si>
  <si>
    <t>양혜원</t>
  </si>
  <si>
    <t>30410204148570</t>
  </si>
  <si>
    <t>yhw1107@naver.com</t>
  </si>
  <si>
    <t>AT0012</t>
  </si>
  <si>
    <t>920411-1118127</t>
  </si>
  <si>
    <t>이동욱</t>
  </si>
  <si>
    <t>55660201665488</t>
  </si>
  <si>
    <t>dnrdl1590@naver.com</t>
  </si>
  <si>
    <t>AT0013</t>
  </si>
  <si>
    <t>760505-2123819</t>
  </si>
  <si>
    <t>권이서</t>
  </si>
  <si>
    <t>27540104048667</t>
  </si>
  <si>
    <t>Leeseo6281@gmail.com</t>
  </si>
  <si>
    <t>AT0015</t>
  </si>
  <si>
    <t>850321-1109818</t>
  </si>
  <si>
    <t>송우대</t>
  </si>
  <si>
    <t>10430104444732</t>
  </si>
  <si>
    <t>marssong@nate.com</t>
  </si>
  <si>
    <t>AT0019</t>
  </si>
  <si>
    <t>961120-1093611</t>
  </si>
  <si>
    <t>김성현</t>
  </si>
  <si>
    <t>10430104448251</t>
  </si>
  <si>
    <t>lissl8310@naver.com</t>
  </si>
  <si>
    <t>AT0021</t>
  </si>
  <si>
    <t>930712-1120910</t>
  </si>
  <si>
    <t>전용재</t>
  </si>
  <si>
    <t>10430104449117</t>
  </si>
  <si>
    <t>pl252525@naver.com</t>
  </si>
  <si>
    <t>AT0022</t>
  </si>
  <si>
    <t>980812-2109315</t>
  </si>
  <si>
    <t>박미연</t>
  </si>
  <si>
    <t>aldustks@naver.com</t>
  </si>
  <si>
    <t>AT0023</t>
  </si>
  <si>
    <t>930109-1104110</t>
  </si>
  <si>
    <t>공동혁</t>
  </si>
  <si>
    <t>ehdel405@naver.com</t>
  </si>
  <si>
    <t>BI0001</t>
  </si>
  <si>
    <t>860217-1079919</t>
  </si>
  <si>
    <t>백승천</t>
  </si>
  <si>
    <t>24110104019385</t>
  </si>
  <si>
    <t>bscmail@naver.com</t>
  </si>
  <si>
    <t>BI0002</t>
  </si>
  <si>
    <t>930108-2646511</t>
  </si>
  <si>
    <t>장미</t>
  </si>
  <si>
    <t>70360200058498</t>
  </si>
  <si>
    <t>jluv3310@naver.com</t>
  </si>
  <si>
    <t>BI0003</t>
  </si>
  <si>
    <t>960607-2068014</t>
  </si>
  <si>
    <t>안혜현</t>
  </si>
  <si>
    <t>10430204320064</t>
  </si>
  <si>
    <t>anaomi@naver.com</t>
  </si>
  <si>
    <t>BI0004</t>
  </si>
  <si>
    <t>920317-1069211</t>
  </si>
  <si>
    <t>이성훈</t>
  </si>
  <si>
    <t>110277227740</t>
  </si>
  <si>
    <t>qwe3397@naver.com</t>
  </si>
  <si>
    <t>BI0005</t>
  </si>
  <si>
    <t>881004-2052417</t>
  </si>
  <si>
    <t>허정원</t>
  </si>
  <si>
    <t>02510204214361</t>
  </si>
  <si>
    <t>zytasd@naver.com</t>
  </si>
  <si>
    <t>BI0006</t>
  </si>
  <si>
    <t>940311-2150919</t>
  </si>
  <si>
    <t>김찬희</t>
  </si>
  <si>
    <t>1002556497381</t>
  </si>
  <si>
    <t>ckslaofur7@naver.com</t>
  </si>
  <si>
    <t>650608-2640012</t>
  </si>
  <si>
    <t>09050204066948</t>
  </si>
  <si>
    <t>gracelyr7@hanmail.net</t>
  </si>
  <si>
    <t>640125-1149618</t>
  </si>
  <si>
    <t>59220101667164</t>
  </si>
  <si>
    <t>graceahy7@gmail.com</t>
  </si>
  <si>
    <t>650707-1149621</t>
  </si>
  <si>
    <t>28240104089062</t>
  </si>
  <si>
    <t>sunki0529@daum.net</t>
  </si>
  <si>
    <t>680321-1802425</t>
  </si>
  <si>
    <t>023</t>
  </si>
  <si>
    <t>SC제일은행</t>
  </si>
  <si>
    <t>20620268037</t>
  </si>
  <si>
    <t>chaiwoon@naver.com</t>
  </si>
  <si>
    <t>FS0002</t>
  </si>
  <si>
    <t>890624-1090228</t>
  </si>
  <si>
    <t>김태현</t>
  </si>
  <si>
    <t>56180101490799</t>
  </si>
  <si>
    <t>taehyun7357@gmail.com</t>
  </si>
  <si>
    <t>FS0003</t>
  </si>
  <si>
    <t>690328-1767918</t>
  </si>
  <si>
    <t>김기수</t>
  </si>
  <si>
    <t>110176285100</t>
  </si>
  <si>
    <t>nokzook@naver.com</t>
  </si>
  <si>
    <t>FS0004</t>
  </si>
  <si>
    <t>810614-1124117</t>
  </si>
  <si>
    <t>임태하</t>
  </si>
  <si>
    <t>95910101345623</t>
  </si>
  <si>
    <t>hikkary8877@gmail.com</t>
  </si>
  <si>
    <t>FS0005</t>
  </si>
  <si>
    <t>820223-1124412</t>
  </si>
  <si>
    <t>이정훈</t>
  </si>
  <si>
    <t>3010295407351</t>
  </si>
  <si>
    <t>dnsgkd011@naver.com</t>
  </si>
  <si>
    <t>FS0006</t>
  </si>
  <si>
    <t>830325-1691417</t>
  </si>
  <si>
    <t>도병갑</t>
  </si>
  <si>
    <t>631210355547</t>
  </si>
  <si>
    <t>gavi2108@naver.com</t>
  </si>
  <si>
    <t>FS0007</t>
  </si>
  <si>
    <t>820802-1055818</t>
  </si>
  <si>
    <t>이청목</t>
  </si>
  <si>
    <t>28800204342841</t>
  </si>
  <si>
    <t>mok828@naver.com</t>
  </si>
  <si>
    <t>910808-2157831</t>
  </si>
  <si>
    <t>53330101163722</t>
  </si>
  <si>
    <t>lula88@naver.com</t>
  </si>
  <si>
    <t>HA0002</t>
  </si>
  <si>
    <t>941015-2785712</t>
  </si>
  <si>
    <t>김석주</t>
  </si>
  <si>
    <t>82240104147977</t>
  </si>
  <si>
    <t>ksyksj012@naver.com</t>
  </si>
  <si>
    <t>HA0003</t>
  </si>
  <si>
    <t>880502-1743111</t>
  </si>
  <si>
    <t>공태환</t>
  </si>
  <si>
    <t>99505212851</t>
  </si>
  <si>
    <t>exitcode@naver.com</t>
  </si>
  <si>
    <t>HA0004</t>
  </si>
  <si>
    <t>930506-1081427</t>
  </si>
  <si>
    <t>우제인</t>
  </si>
  <si>
    <t>60860101330134</t>
  </si>
  <si>
    <t>ji01200@naver.com</t>
  </si>
  <si>
    <t>HA0005</t>
  </si>
  <si>
    <t>930104-1150316</t>
  </si>
  <si>
    <t>서주영</t>
  </si>
  <si>
    <t>45960201469860</t>
  </si>
  <si>
    <t>wndudvh@hanmail.net</t>
  </si>
  <si>
    <t>HA0006</t>
  </si>
  <si>
    <t>000111-4212621</t>
  </si>
  <si>
    <t>박민주</t>
  </si>
  <si>
    <t>67520100113406</t>
  </si>
  <si>
    <t>minjoo0111@naver.com</t>
  </si>
  <si>
    <t>HA0007</t>
  </si>
  <si>
    <t>941028-2074314</t>
  </si>
  <si>
    <t>38360204161448</t>
  </si>
  <si>
    <t>pmadeleine@naver.com</t>
  </si>
  <si>
    <t>HA0008</t>
  </si>
  <si>
    <t>960805-2019612</t>
  </si>
  <si>
    <t>박인성</t>
  </si>
  <si>
    <t>24530104523747</t>
  </si>
  <si>
    <t>qkr03127@naver.com</t>
  </si>
  <si>
    <t>HA0009</t>
  </si>
  <si>
    <t>920404-2164518</t>
  </si>
  <si>
    <t>김선유</t>
  </si>
  <si>
    <t>68110101454873</t>
  </si>
  <si>
    <t>ssunmyong@naver.com</t>
  </si>
  <si>
    <t>HA0010</t>
  </si>
  <si>
    <t>960610-1042811</t>
  </si>
  <si>
    <t>박민우</t>
  </si>
  <si>
    <t>67360204072863</t>
  </si>
  <si>
    <t>qkrwlsrb95@naver.com</t>
  </si>
  <si>
    <t>HA0011</t>
  </si>
  <si>
    <t>980130-1360516</t>
  </si>
  <si>
    <t>김석진</t>
  </si>
  <si>
    <t>01030149332</t>
  </si>
  <si>
    <t>gusdl8994@naver.com</t>
  </si>
  <si>
    <t>HA0012</t>
  </si>
  <si>
    <t>940416-1173918</t>
  </si>
  <si>
    <t>김도현</t>
  </si>
  <si>
    <t>91350101070527</t>
  </si>
  <si>
    <t>thehyn0416@naver.com</t>
  </si>
  <si>
    <t>HA0013</t>
  </si>
  <si>
    <t>970303-1170511</t>
  </si>
  <si>
    <t>안진오</t>
  </si>
  <si>
    <t>94290200053966</t>
  </si>
  <si>
    <t>dkswlsdhsla@naver.com</t>
  </si>
  <si>
    <t>HA0014</t>
  </si>
  <si>
    <t>970114-1196210</t>
  </si>
  <si>
    <t>강한별</t>
  </si>
  <si>
    <t>94320200139021</t>
  </si>
  <si>
    <t>rkdgksqufrnt@naver.com</t>
  </si>
  <si>
    <t>HA0015</t>
  </si>
  <si>
    <t>970908-2247417</t>
  </si>
  <si>
    <t>이해나라</t>
  </si>
  <si>
    <t>23010204345281</t>
  </si>
  <si>
    <t>haenara@icloud.com</t>
  </si>
  <si>
    <t>HA0016</t>
  </si>
  <si>
    <t>960114-1173220</t>
  </si>
  <si>
    <t>권희철</t>
  </si>
  <si>
    <t>11218535201017</t>
  </si>
  <si>
    <t>huicheol@naver.com</t>
  </si>
  <si>
    <t>HA0017</t>
  </si>
  <si>
    <t>970403-1246913</t>
  </si>
  <si>
    <t>정정규</t>
  </si>
  <si>
    <t>23301956017896</t>
  </si>
  <si>
    <t>mlnl115@naver.com</t>
  </si>
  <si>
    <t>HA0018</t>
  </si>
  <si>
    <t>581221-1472412</t>
  </si>
  <si>
    <t>이운형</t>
  </si>
  <si>
    <t>09890204241936</t>
  </si>
  <si>
    <t>luh58@naver.com</t>
  </si>
  <si>
    <t>HA0019</t>
  </si>
  <si>
    <t>610201-2542638</t>
  </si>
  <si>
    <t>김혜옥</t>
  </si>
  <si>
    <t>09890104105369</t>
  </si>
  <si>
    <t>kho7474@naver.com</t>
  </si>
  <si>
    <t>870822-1037918</t>
  </si>
  <si>
    <t>51130101410279</t>
  </si>
  <si>
    <t>choic0909@naver.com</t>
  </si>
  <si>
    <t>HA0021</t>
  </si>
  <si>
    <t>961017-1035312</t>
  </si>
  <si>
    <t>박준영</t>
  </si>
  <si>
    <t>83890204368606</t>
  </si>
  <si>
    <t>pjy9696@gmail.com</t>
  </si>
  <si>
    <t>HA0022</t>
  </si>
  <si>
    <t>900726-2055118</t>
  </si>
  <si>
    <t>54300201217128</t>
  </si>
  <si>
    <t>jdlwngus@naver.com</t>
  </si>
  <si>
    <t>HA0023</t>
  </si>
  <si>
    <t>891028-1075114</t>
  </si>
  <si>
    <t>송재걸</t>
  </si>
  <si>
    <t>23300104365919</t>
  </si>
  <si>
    <t>petersong8536@gmail.com</t>
  </si>
  <si>
    <t>HA0024</t>
  </si>
  <si>
    <t>930410-1559016</t>
  </si>
  <si>
    <t>김형준</t>
  </si>
  <si>
    <t>110433410252</t>
  </si>
  <si>
    <t>papyano@naver.com</t>
  </si>
  <si>
    <t>HA0025</t>
  </si>
  <si>
    <t>970618-1067811</t>
  </si>
  <si>
    <t>허원영</t>
  </si>
  <si>
    <t>93800200119753</t>
  </si>
  <si>
    <t>dnjsdudgj@daum.net</t>
  </si>
  <si>
    <t>HA0026</t>
  </si>
  <si>
    <t>961024-2066716</t>
  </si>
  <si>
    <t>전미희</t>
  </si>
  <si>
    <t>82370204153127</t>
  </si>
  <si>
    <t>gmh10@naver.com</t>
  </si>
  <si>
    <t>HA0027</t>
  </si>
  <si>
    <t>960524-1167713</t>
  </si>
  <si>
    <t>김채운</t>
  </si>
  <si>
    <t>3333157987144</t>
  </si>
  <si>
    <t>wlsthfkd96@naver.com</t>
  </si>
  <si>
    <t>HA0028</t>
  </si>
  <si>
    <t>980609-1854310</t>
  </si>
  <si>
    <t>정인규</t>
  </si>
  <si>
    <t>86020201537585</t>
  </si>
  <si>
    <t>wjddlsrb456@nate.com</t>
  </si>
  <si>
    <t>HA0029</t>
  </si>
  <si>
    <t>981226-1025011</t>
  </si>
  <si>
    <t>차수연</t>
  </si>
  <si>
    <t>93800200305536</t>
  </si>
  <si>
    <t>cktndus32@naver.com</t>
  </si>
  <si>
    <t>HA0030</t>
  </si>
  <si>
    <t>930916-1178519</t>
  </si>
  <si>
    <t>공세명</t>
  </si>
  <si>
    <t>35112145520</t>
  </si>
  <si>
    <t>anticgear@naver.com</t>
  </si>
  <si>
    <t>HA0031</t>
  </si>
  <si>
    <t>010411-4057432</t>
  </si>
  <si>
    <t>고수빈</t>
  </si>
  <si>
    <t>3521679155093</t>
  </si>
  <si>
    <t>4057ko@gmail.com</t>
  </si>
  <si>
    <t>HA0032</t>
  </si>
  <si>
    <t>971002-1031019</t>
  </si>
  <si>
    <t>정두하</t>
  </si>
  <si>
    <t>110426766705</t>
  </si>
  <si>
    <t>wjdengk01234@naver.com</t>
  </si>
  <si>
    <t>970205-1209919</t>
  </si>
  <si>
    <t>94290200084892</t>
  </si>
  <si>
    <t>kimhyeop9004@naver.com</t>
  </si>
  <si>
    <t>980201-2927214</t>
  </si>
  <si>
    <t>87960201215034</t>
  </si>
  <si>
    <t>yurim744@gmail.com</t>
  </si>
  <si>
    <t>020514-4047721</t>
  </si>
  <si>
    <t>02510204228896</t>
  </si>
  <si>
    <t>zooy5014@naver.com</t>
  </si>
  <si>
    <t>950419-2183415</t>
  </si>
  <si>
    <t>26990104206518</t>
  </si>
  <si>
    <t>dbsgktnals@naver.com</t>
  </si>
  <si>
    <t>990412-2261222</t>
  </si>
  <si>
    <t>미제출</t>
  </si>
  <si>
    <t>yyysua@naver.com</t>
  </si>
  <si>
    <t>HQ0002</t>
  </si>
  <si>
    <t>890623-1114417</t>
  </si>
  <si>
    <t>조현준</t>
  </si>
  <si>
    <t>13310204081235</t>
  </si>
  <si>
    <t>shinhwa8535@naver.com</t>
  </si>
  <si>
    <t>HQ1772</t>
  </si>
  <si>
    <t>830615-1460322</t>
  </si>
  <si>
    <t>이명재</t>
  </si>
  <si>
    <t>IL0001</t>
  </si>
  <si>
    <t>920111-2020324</t>
  </si>
  <si>
    <t>조혜수</t>
  </si>
  <si>
    <t>32470104259536</t>
  </si>
  <si>
    <t>xhtns21@naver.com</t>
  </si>
  <si>
    <t>IL0002</t>
  </si>
  <si>
    <t>850802-1076311</t>
  </si>
  <si>
    <t>이승지</t>
  </si>
  <si>
    <t>23270104606110</t>
  </si>
  <si>
    <t>fenixs2000@nate.com</t>
  </si>
  <si>
    <t>IL0004</t>
  </si>
  <si>
    <t>950912-2157224</t>
  </si>
  <si>
    <t>박지영</t>
  </si>
  <si>
    <t>44370204086694</t>
  </si>
  <si>
    <t>pgy0790@naver.com</t>
  </si>
  <si>
    <t>IL0008</t>
  </si>
  <si>
    <t>910516-1162810</t>
  </si>
  <si>
    <t>조영석</t>
  </si>
  <si>
    <t>78160100138089</t>
  </si>
  <si>
    <t>home5638@naver.com</t>
  </si>
  <si>
    <t>IL0009</t>
  </si>
  <si>
    <t>921024-2150124</t>
  </si>
  <si>
    <t>김해솔</t>
  </si>
  <si>
    <t>24110204148145</t>
  </si>
  <si>
    <t>haesol9210@naver.com</t>
  </si>
  <si>
    <t>IL0010</t>
  </si>
  <si>
    <t>960930-2154611</t>
  </si>
  <si>
    <t>남나현</t>
  </si>
  <si>
    <t>66040201485103</t>
  </si>
  <si>
    <t>skgus930@naver.com</t>
  </si>
  <si>
    <t>IL0011</t>
  </si>
  <si>
    <t>880624-1057416</t>
  </si>
  <si>
    <t>김민중</t>
  </si>
  <si>
    <t>49810201305970</t>
  </si>
  <si>
    <t>kmj8806@empas.com</t>
  </si>
  <si>
    <t>IL0013</t>
  </si>
  <si>
    <t>951006-2041618</t>
  </si>
  <si>
    <t>하준영</t>
  </si>
  <si>
    <t>77880204160627</t>
  </si>
  <si>
    <t>jy951006@naver.com</t>
  </si>
  <si>
    <t>IL0014</t>
  </si>
  <si>
    <t>840704-1183111</t>
  </si>
  <si>
    <t>이동현</t>
  </si>
  <si>
    <t>27380204198961</t>
  </si>
  <si>
    <t>dblackshirt@naver.com</t>
  </si>
  <si>
    <t>PA0001</t>
  </si>
  <si>
    <t>841218-1101110</t>
  </si>
  <si>
    <t>이왕수</t>
  </si>
  <si>
    <t>61870104218713</t>
  </si>
  <si>
    <t>kingwaters@hanmail.net</t>
  </si>
  <si>
    <t>PA0002</t>
  </si>
  <si>
    <t>941013-2768315</t>
  </si>
  <si>
    <t>김도은</t>
  </si>
  <si>
    <t>59600204051068</t>
  </si>
  <si>
    <t>anf1311@naver.com</t>
  </si>
  <si>
    <t>PA0004</t>
  </si>
  <si>
    <t>910311-1901114</t>
  </si>
  <si>
    <t>김혁</t>
  </si>
  <si>
    <t>3521039631173</t>
  </si>
  <si>
    <t>kmi8910@naver.com</t>
  </si>
  <si>
    <t>PA0005</t>
  </si>
  <si>
    <t>941012-2685411</t>
  </si>
  <si>
    <t>이정아</t>
  </si>
  <si>
    <t>97170100008130</t>
  </si>
  <si>
    <t>Wjddk5806@naver.com</t>
  </si>
  <si>
    <t>PA0006</t>
  </si>
  <si>
    <t>970108-2126215</t>
  </si>
  <si>
    <t>한지은</t>
  </si>
  <si>
    <t>83270101390247</t>
  </si>
  <si>
    <t>jieun2342@nate.com</t>
  </si>
  <si>
    <t>PA0007</t>
  </si>
  <si>
    <t>970120-2093411</t>
  </si>
  <si>
    <t>임지수</t>
  </si>
  <si>
    <t>10430104445630</t>
  </si>
  <si>
    <t>dlawltn48@naver.com</t>
  </si>
  <si>
    <t>PA0008</t>
  </si>
  <si>
    <t>970428-1106211</t>
  </si>
  <si>
    <t>김금성</t>
  </si>
  <si>
    <t>10430104446976</t>
  </si>
  <si>
    <t>kks042842@naver.com</t>
  </si>
  <si>
    <t>PA0009</t>
  </si>
  <si>
    <t>921028-1114811</t>
  </si>
  <si>
    <t>정은룡</t>
  </si>
  <si>
    <t>118802025491</t>
  </si>
  <si>
    <t>dmsfyd9966@naver.com</t>
  </si>
  <si>
    <t>PA0010</t>
  </si>
  <si>
    <t>760108-1671010</t>
  </si>
  <si>
    <t>박재우</t>
  </si>
  <si>
    <t>61740104334577</t>
  </si>
  <si>
    <t>nanwoos@naver.com</t>
  </si>
  <si>
    <t>PA0011</t>
  </si>
  <si>
    <t>000715-4794515</t>
  </si>
  <si>
    <t>이지현</t>
  </si>
  <si>
    <t>61740204129132</t>
  </si>
  <si>
    <t>wlrhd5528@naver.com</t>
  </si>
  <si>
    <t>PA0012</t>
  </si>
  <si>
    <t>960905-1794318</t>
  </si>
  <si>
    <t>이재혁</t>
  </si>
  <si>
    <t>30410204206982</t>
  </si>
  <si>
    <t>tmd03178@naver.com</t>
  </si>
  <si>
    <t>PA0013</t>
  </si>
  <si>
    <t>901003-2101311</t>
  </si>
  <si>
    <t>안미현</t>
  </si>
  <si>
    <t>13730104261483</t>
  </si>
  <si>
    <t>loveme6869@naver.com</t>
  </si>
  <si>
    <t>PA0014</t>
  </si>
  <si>
    <t>990607-2114135</t>
  </si>
  <si>
    <t>황지은</t>
  </si>
  <si>
    <t>10430104453035</t>
  </si>
  <si>
    <t>wldmsqk123@naver.com</t>
  </si>
  <si>
    <t>PA0015</t>
  </si>
  <si>
    <t>960110-1929431</t>
  </si>
  <si>
    <t>이준태</t>
  </si>
  <si>
    <t>25210204117703</t>
  </si>
  <si>
    <t>47470303@naveer.com</t>
  </si>
  <si>
    <t>PA0016</t>
  </si>
  <si>
    <t>000726-3678116</t>
  </si>
  <si>
    <t>정현규</t>
  </si>
  <si>
    <t>81070101302691</t>
  </si>
  <si>
    <t>son1234388@gmail.com</t>
  </si>
  <si>
    <t>PA0017</t>
  </si>
  <si>
    <t>951209-2865513</t>
  </si>
  <si>
    <t>장두빈</t>
  </si>
  <si>
    <t>84370201475316</t>
  </si>
  <si>
    <t>wkdenqls321@naver.com</t>
  </si>
  <si>
    <t>PA0018</t>
  </si>
  <si>
    <t>990325-1693120</t>
  </si>
  <si>
    <t>조세욱</t>
  </si>
  <si>
    <t>82040201267929</t>
  </si>
  <si>
    <t>dreamon0325@naver.com</t>
  </si>
  <si>
    <t>PA0020</t>
  </si>
  <si>
    <t>970308-2094516</t>
  </si>
  <si>
    <t>정다슬</t>
  </si>
  <si>
    <t>56210201400765</t>
  </si>
  <si>
    <t>tmf3801@naver.com</t>
  </si>
  <si>
    <t>PA0021</t>
  </si>
  <si>
    <t>841223-1697219</t>
  </si>
  <si>
    <t>차성원</t>
  </si>
  <si>
    <t>81360201137707</t>
  </si>
  <si>
    <t>gtoi2000@naver.com</t>
  </si>
  <si>
    <t>PA0022</t>
  </si>
  <si>
    <t>890303-1109911</t>
  </si>
  <si>
    <t>하현봉</t>
  </si>
  <si>
    <t>65320204097390</t>
  </si>
  <si>
    <t>hhb33@naver.com</t>
  </si>
  <si>
    <t>PA0023</t>
  </si>
  <si>
    <t>931011-2110011</t>
  </si>
  <si>
    <t>황경희</t>
  </si>
  <si>
    <t>84370201381945</t>
  </si>
  <si>
    <t>qjaok3001@naver.com</t>
  </si>
  <si>
    <t>PA0024</t>
  </si>
  <si>
    <t>940209-1696814</t>
  </si>
  <si>
    <t>박재호</t>
  </si>
  <si>
    <t>80130101705452</t>
  </si>
  <si>
    <t>oplove123@naver.com</t>
  </si>
  <si>
    <t>PA0025</t>
  </si>
  <si>
    <t>930414-2100415</t>
  </si>
  <si>
    <t>한지수</t>
  </si>
  <si>
    <t>10430104454719</t>
  </si>
  <si>
    <t>wltn7921@hanmail.net</t>
  </si>
  <si>
    <t>PA0026</t>
  </si>
  <si>
    <t>900613-2127514</t>
  </si>
  <si>
    <t>오지수</t>
  </si>
  <si>
    <t>032</t>
  </si>
  <si>
    <t>부산은행</t>
  </si>
  <si>
    <t>1122059868401</t>
  </si>
  <si>
    <t>jiya0613@naver.com</t>
  </si>
  <si>
    <t>PA0028</t>
  </si>
  <si>
    <t>880420-1845711</t>
  </si>
  <si>
    <t>김지관</t>
  </si>
  <si>
    <t>92390755260</t>
  </si>
  <si>
    <t>habitmap@naver.com</t>
  </si>
  <si>
    <t>PA0029</t>
  </si>
  <si>
    <t>881229-1901816</t>
  </si>
  <si>
    <t>김현욱</t>
  </si>
  <si>
    <t>43404149401018</t>
  </si>
  <si>
    <t>parkcanho@naver.com</t>
  </si>
  <si>
    <t>PA0030</t>
  </si>
  <si>
    <t>941015-2927210</t>
  </si>
  <si>
    <t>임소라</t>
  </si>
  <si>
    <t>59730204148178</t>
  </si>
  <si>
    <t>thfdk0123@naver.com</t>
  </si>
  <si>
    <t>PA0031</t>
  </si>
  <si>
    <t>920406-1094611</t>
  </si>
  <si>
    <t>최동욱</t>
  </si>
  <si>
    <t>10430104458816</t>
  </si>
  <si>
    <t>ruqsl9961@naver.com</t>
  </si>
  <si>
    <t>PA0032</t>
  </si>
  <si>
    <t>920127-2676716</t>
  </si>
  <si>
    <t>정정화</t>
  </si>
  <si>
    <t>27560104355710</t>
  </si>
  <si>
    <t>qwertz0810@naver.com</t>
  </si>
  <si>
    <t>PA0033</t>
  </si>
  <si>
    <t>970731-1785419</t>
  </si>
  <si>
    <t>예성민</t>
  </si>
  <si>
    <t>94030200036486</t>
  </si>
  <si>
    <t>ysm8301@naver.com</t>
  </si>
  <si>
    <t>PA0034</t>
  </si>
  <si>
    <t>950103-1822229</t>
  </si>
  <si>
    <t>박세영</t>
  </si>
  <si>
    <t>65140104223886</t>
  </si>
  <si>
    <t>2245402@naver.com</t>
  </si>
  <si>
    <t>PA0035</t>
  </si>
  <si>
    <t>950619-2692117</t>
  </si>
  <si>
    <t>양선진</t>
  </si>
  <si>
    <t>63490104314822</t>
  </si>
  <si>
    <t>tjswls3226@naver.com</t>
  </si>
  <si>
    <t>PA0037</t>
  </si>
  <si>
    <t>930222-1696421</t>
  </si>
  <si>
    <t>이동환</t>
  </si>
  <si>
    <t>110370254107</t>
  </si>
  <si>
    <t>dlehdghks356@naver.com</t>
  </si>
  <si>
    <t>PA0038</t>
  </si>
  <si>
    <t>000822-4740311</t>
  </si>
  <si>
    <t>허유정</t>
  </si>
  <si>
    <t>83270101383159</t>
  </si>
  <si>
    <t>hyj2309@naver.com</t>
  </si>
  <si>
    <t>PA0039</t>
  </si>
  <si>
    <t>011012-4698314</t>
  </si>
  <si>
    <t>이다은</t>
  </si>
  <si>
    <t>1002956844998</t>
  </si>
  <si>
    <t>wer122i3ll@naver.com</t>
  </si>
  <si>
    <t>PA0040</t>
  </si>
  <si>
    <t>901011-1675812</t>
  </si>
  <si>
    <t>엄제윤</t>
  </si>
  <si>
    <t>42950201264774</t>
  </si>
  <si>
    <t>jeyun11@nate.com</t>
  </si>
  <si>
    <t>PA0041</t>
  </si>
  <si>
    <t>930407-1850321</t>
  </si>
  <si>
    <t>이현규</t>
  </si>
  <si>
    <t>10430104461216</t>
  </si>
  <si>
    <t>s6254130@naver.com</t>
  </si>
  <si>
    <t>PA0042</t>
  </si>
  <si>
    <t>971108-2588324</t>
  </si>
  <si>
    <t>강현지</t>
  </si>
  <si>
    <t>58030204194696</t>
  </si>
  <si>
    <t>dama2010@daum.net</t>
  </si>
  <si>
    <t>PA0044</t>
  </si>
  <si>
    <t>980123-2683210</t>
  </si>
  <si>
    <t>이혜주</t>
  </si>
  <si>
    <t>61920204169932</t>
  </si>
  <si>
    <t>hopeful_79@naver.com</t>
  </si>
  <si>
    <t>PA0046</t>
  </si>
  <si>
    <t>940527-2797911</t>
  </si>
  <si>
    <t>도현정</t>
  </si>
  <si>
    <t>73820200161589</t>
  </si>
  <si>
    <t>eoqkr@naver.com</t>
  </si>
  <si>
    <t>PA0047</t>
  </si>
  <si>
    <t>920328-1726126</t>
  </si>
  <si>
    <t>김상훈</t>
  </si>
  <si>
    <t>42402151901016</t>
  </si>
  <si>
    <t>gpdl132@naver.com</t>
  </si>
  <si>
    <t>PA0048</t>
  </si>
  <si>
    <t>950529-1673616</t>
  </si>
  <si>
    <t>김동규</t>
  </si>
  <si>
    <t>80390201284727</t>
  </si>
  <si>
    <t>dst02262@naver.com</t>
  </si>
  <si>
    <t>PA0050</t>
  </si>
  <si>
    <t>000614-4684724</t>
  </si>
  <si>
    <t>조수빈</t>
  </si>
  <si>
    <t>508126436331</t>
  </si>
  <si>
    <t>whtnqls0909@naver.com</t>
  </si>
  <si>
    <t>PA0052</t>
  </si>
  <si>
    <t>990212-2805014</t>
  </si>
  <si>
    <t>임세영</t>
  </si>
  <si>
    <t>19613162074</t>
  </si>
  <si>
    <t>dkfl657@naver.com</t>
  </si>
  <si>
    <t>PA0053</t>
  </si>
  <si>
    <t>950213-2690311</t>
  </si>
  <si>
    <t>최세희</t>
  </si>
  <si>
    <t>80710101445088</t>
  </si>
  <si>
    <t>tpgml2905@daum.net</t>
  </si>
  <si>
    <t>PA0054</t>
  </si>
  <si>
    <t>630410-2691325</t>
  </si>
  <si>
    <t>이승주</t>
  </si>
  <si>
    <t>508112813906</t>
  </si>
  <si>
    <t>woqjftmdwn7@naver.com</t>
  </si>
  <si>
    <t>PA0055</t>
  </si>
  <si>
    <t>690913-2796117</t>
  </si>
  <si>
    <t>최정희</t>
  </si>
  <si>
    <t>017080550245</t>
  </si>
  <si>
    <t>chjee0913@naver.com</t>
  </si>
  <si>
    <t>PA0057</t>
  </si>
  <si>
    <t>720815-1144011</t>
  </si>
  <si>
    <t>최성철</t>
  </si>
  <si>
    <t>53910101255324</t>
  </si>
  <si>
    <t>tetee@naver.com</t>
  </si>
  <si>
    <t>PA0058</t>
  </si>
  <si>
    <t>921125-1698019</t>
  </si>
  <si>
    <t>박현우</t>
  </si>
  <si>
    <t>61740104260339</t>
  </si>
  <si>
    <t>gus0971@naver.com</t>
  </si>
  <si>
    <t>PH0001</t>
  </si>
  <si>
    <t>771003-1558813</t>
  </si>
  <si>
    <t>정충석</t>
  </si>
  <si>
    <t>754202-04-034362</t>
  </si>
  <si>
    <t>oneseein77@nate.com</t>
  </si>
  <si>
    <t>RN0001</t>
  </si>
  <si>
    <t>900712-2124514</t>
  </si>
  <si>
    <t>백윤미</t>
  </si>
  <si>
    <t>94780101409199</t>
  </si>
  <si>
    <t>ziziziah@hanmail.net</t>
  </si>
  <si>
    <t>RN0003</t>
  </si>
  <si>
    <t>960723-2901715</t>
  </si>
  <si>
    <t>김현혜</t>
  </si>
  <si>
    <t>10430104443988</t>
  </si>
  <si>
    <t>doublehh6376@naver.com</t>
  </si>
  <si>
    <t>RN0004</t>
  </si>
  <si>
    <t>980719-2157215</t>
  </si>
  <si>
    <t>장희정</t>
  </si>
  <si>
    <t>10430104445049</t>
  </si>
  <si>
    <t>gmlwjd980719@naver.com</t>
  </si>
  <si>
    <t>RN0008</t>
  </si>
  <si>
    <t>960717-2124815</t>
  </si>
  <si>
    <t>정소이</t>
  </si>
  <si>
    <t>56050202102057</t>
  </si>
  <si>
    <t>zzzkzz@naver.com</t>
  </si>
  <si>
    <t>RN0036</t>
  </si>
  <si>
    <t>900831-1823016</t>
  </si>
  <si>
    <t>강병진</t>
  </si>
  <si>
    <t>3521704138103</t>
  </si>
  <si>
    <t>puyt114@naver.com</t>
  </si>
  <si>
    <t>RN0043</t>
  </si>
  <si>
    <t>980123-2698220</t>
  </si>
  <si>
    <t>김수빈</t>
  </si>
  <si>
    <t>41208597701012</t>
  </si>
  <si>
    <t>tsk04099@naver.com</t>
  </si>
  <si>
    <t>RN0045</t>
  </si>
  <si>
    <t>961213-2861520</t>
  </si>
  <si>
    <t>최지이</t>
  </si>
  <si>
    <t>10430104463195</t>
  </si>
  <si>
    <t>chlwldl37@naver.com</t>
  </si>
  <si>
    <t>RN0049</t>
  </si>
  <si>
    <t>940622-2117612</t>
  </si>
  <si>
    <t>정미숙</t>
  </si>
  <si>
    <t>96010201464929</t>
  </si>
  <si>
    <t>ekfr4353@naver.com</t>
  </si>
  <si>
    <t>RN0051</t>
  </si>
  <si>
    <t>890704-1102115</t>
  </si>
  <si>
    <t>이성철</t>
  </si>
  <si>
    <t>95750101501935</t>
  </si>
  <si>
    <t>gocan131@naver.com</t>
  </si>
  <si>
    <t>RN0056</t>
  </si>
  <si>
    <t>980312-2691029</t>
  </si>
  <si>
    <t>김규리</t>
  </si>
  <si>
    <t>110481260234</t>
  </si>
  <si>
    <t>gyumd2@naver.com</t>
  </si>
  <si>
    <t>RN0061</t>
  </si>
  <si>
    <t>960312-2108914</t>
  </si>
  <si>
    <t>윤유진</t>
  </si>
  <si>
    <t>94520101381866</t>
  </si>
  <si>
    <t>yunjin3598@naver.com</t>
  </si>
  <si>
    <t>RN0062</t>
  </si>
  <si>
    <t>950622-2920515</t>
  </si>
  <si>
    <t>백은지</t>
  </si>
  <si>
    <t>10430104469311</t>
  </si>
  <si>
    <t>bej4146@naver.com</t>
  </si>
  <si>
    <t>RN0063</t>
  </si>
  <si>
    <t>930714-1842515</t>
  </si>
  <si>
    <t>장현빈</t>
  </si>
  <si>
    <t>55370201554787</t>
  </si>
  <si>
    <t>qweasd9876555@gmail.com</t>
  </si>
  <si>
    <t>RN0064</t>
  </si>
  <si>
    <t>940124-1127720</t>
  </si>
  <si>
    <t>조해준</t>
  </si>
  <si>
    <t>84370201433138</t>
  </si>
  <si>
    <t>pdu01072@naver.com</t>
  </si>
  <si>
    <t>RN0065</t>
  </si>
  <si>
    <t>961102-1103318</t>
  </si>
  <si>
    <t>강도연</t>
  </si>
  <si>
    <t>31220204085971</t>
  </si>
  <si>
    <t>vndqoreh11@gmail.com</t>
  </si>
  <si>
    <t>RN0066</t>
  </si>
  <si>
    <t>930123-1861416</t>
  </si>
  <si>
    <t>허동호</t>
  </si>
  <si>
    <t>67180204212023</t>
  </si>
  <si>
    <t>Govl15461@gmail.com</t>
  </si>
  <si>
    <t>RN0067</t>
  </si>
  <si>
    <t>960102-2901816</t>
  </si>
  <si>
    <t>김민서</t>
  </si>
  <si>
    <t>1122081445408</t>
  </si>
  <si>
    <t>kminseo6952@naver.com</t>
  </si>
  <si>
    <t>RN0068</t>
  </si>
  <si>
    <t>950618-1199016</t>
  </si>
  <si>
    <t>정영천</t>
  </si>
  <si>
    <t>57150201276047</t>
  </si>
  <si>
    <t>skskgkek1@naver.com</t>
  </si>
  <si>
    <t>RN0069</t>
  </si>
  <si>
    <t>950601-1070717</t>
  </si>
  <si>
    <t>송근하</t>
  </si>
  <si>
    <t>110413760551</t>
  </si>
  <si>
    <t>ss950601@naver.com</t>
  </si>
  <si>
    <t>RN0070</t>
  </si>
  <si>
    <t>920810-1253716</t>
  </si>
  <si>
    <t>박민환</t>
  </si>
  <si>
    <t>47810204350494</t>
  </si>
  <si>
    <t>pmh_@naver.com</t>
  </si>
  <si>
    <t>RN0071</t>
  </si>
  <si>
    <t>000328-4125817</t>
  </si>
  <si>
    <t>이지민</t>
  </si>
  <si>
    <t>10430204326615</t>
  </si>
  <si>
    <t>joo_2000@naver.com</t>
  </si>
  <si>
    <t>RN0072</t>
  </si>
  <si>
    <t>990121-1400911</t>
  </si>
  <si>
    <t>이호진</t>
  </si>
  <si>
    <t>93930200556849</t>
  </si>
  <si>
    <t>ghvlf97@naver.com</t>
  </si>
  <si>
    <t>RN0073</t>
  </si>
  <si>
    <t>950627-1209111</t>
  </si>
  <si>
    <t>김현호</t>
  </si>
  <si>
    <t>31350204136058</t>
  </si>
  <si>
    <t>victzy95@naver.com</t>
  </si>
  <si>
    <t>RN0074</t>
  </si>
  <si>
    <t>940809-1860422</t>
  </si>
  <si>
    <t>강태인</t>
  </si>
  <si>
    <t>47380204106191</t>
  </si>
  <si>
    <t>gee5ism@naver.com</t>
  </si>
  <si>
    <t>RN0075</t>
  </si>
  <si>
    <t>990704-1102017</t>
  </si>
  <si>
    <t>강수겸</t>
  </si>
  <si>
    <t>13730104293598</t>
  </si>
  <si>
    <t>a110201769@gmail.com</t>
  </si>
  <si>
    <t>RN0076</t>
  </si>
  <si>
    <t>910717-2199610</t>
  </si>
  <si>
    <t>임슬기</t>
  </si>
  <si>
    <t>63120204120168</t>
  </si>
  <si>
    <t>dbsgkrhkdvos@naver.com</t>
  </si>
  <si>
    <t>RN0077</t>
  </si>
  <si>
    <t>000904-3163325</t>
  </si>
  <si>
    <t>정태성</t>
  </si>
  <si>
    <t>94900200173649</t>
  </si>
  <si>
    <t>zero7794@naver.com</t>
  </si>
  <si>
    <t>RN0078</t>
  </si>
  <si>
    <t>960822-2012621</t>
  </si>
  <si>
    <t>윤은경</t>
  </si>
  <si>
    <t>66950104299882</t>
  </si>
  <si>
    <t>dbsdmsrud13@naver.com</t>
  </si>
  <si>
    <t>RN0079</t>
  </si>
  <si>
    <t>980814-1478817</t>
  </si>
  <si>
    <t>가은성</t>
  </si>
  <si>
    <t>93770200258879</t>
  </si>
  <si>
    <t>9030073@naver.com</t>
  </si>
  <si>
    <t>RN0080</t>
  </si>
  <si>
    <t>990802-2114117</t>
  </si>
  <si>
    <t>구지현</t>
  </si>
  <si>
    <t>83360200067232</t>
  </si>
  <si>
    <t>gjh1922@naver.com</t>
  </si>
  <si>
    <t>RN0081</t>
  </si>
  <si>
    <t>940301-1740621</t>
  </si>
  <si>
    <t>김종걸</t>
  </si>
  <si>
    <t>56500201476204</t>
  </si>
  <si>
    <t>jonggeolk2@naver.com</t>
  </si>
  <si>
    <t>RN0082</t>
  </si>
  <si>
    <t>971226-2124919</t>
  </si>
  <si>
    <t>임수림</t>
  </si>
  <si>
    <t>10690104026785</t>
  </si>
  <si>
    <t>mayby_1225@naver.com</t>
  </si>
  <si>
    <t>860128-1698014</t>
  </si>
  <si>
    <t>90050051269</t>
  </si>
  <si>
    <t>iamhwangjae@nate.com</t>
  </si>
  <si>
    <t>SA0004</t>
  </si>
  <si>
    <t>980717-2169712</t>
  </si>
  <si>
    <t>이주희</t>
  </si>
  <si>
    <t>73060104075065</t>
  </si>
  <si>
    <t>lee5753747@gmail.com</t>
  </si>
  <si>
    <t>SA0005</t>
  </si>
  <si>
    <t>940730-1066518</t>
  </si>
  <si>
    <t>조기종</t>
  </si>
  <si>
    <t>06200204234687</t>
  </si>
  <si>
    <t>whrlwhd13579@naver.com</t>
  </si>
  <si>
    <t>SA0006</t>
  </si>
  <si>
    <t>930126-2213412</t>
  </si>
  <si>
    <t>이아랑</t>
  </si>
  <si>
    <t>45830201270364</t>
  </si>
  <si>
    <t>gina9301@nate.com</t>
  </si>
  <si>
    <t>SA0007</t>
  </si>
  <si>
    <t>920109-1144511</t>
  </si>
  <si>
    <t>신종빈</t>
  </si>
  <si>
    <t>98720200005122</t>
  </si>
  <si>
    <t>ecc0109@naver.com</t>
  </si>
  <si>
    <t>SA0009</t>
  </si>
  <si>
    <t>921123-1002312</t>
  </si>
  <si>
    <t>백우빈</t>
  </si>
  <si>
    <t>60570201455006</t>
  </si>
  <si>
    <t>jinahlovely@gmail.com</t>
  </si>
  <si>
    <t>SA0010</t>
  </si>
  <si>
    <t>990118-2842118</t>
  </si>
  <si>
    <t>이수아</t>
  </si>
  <si>
    <t>69760201260636</t>
  </si>
  <si>
    <t>suaxhrl9960@naver.com</t>
  </si>
  <si>
    <t>SA0011</t>
  </si>
  <si>
    <t>820827-1637216</t>
  </si>
  <si>
    <t>신광호</t>
  </si>
  <si>
    <t>3020825547521</t>
  </si>
  <si>
    <t>sluger82@naver.com</t>
  </si>
  <si>
    <t>SA0012</t>
  </si>
  <si>
    <t>971211-1779410</t>
  </si>
  <si>
    <t>전호진</t>
  </si>
  <si>
    <t>94030200186956</t>
  </si>
  <si>
    <t>koren3249@naver.com</t>
  </si>
  <si>
    <t>SA0014</t>
  </si>
  <si>
    <t>941020-1034715</t>
  </si>
  <si>
    <t>강대한</t>
  </si>
  <si>
    <t>49780101553638</t>
  </si>
  <si>
    <t>aaa1020aa@naver.com</t>
  </si>
  <si>
    <t>SA0016</t>
  </si>
  <si>
    <t>870209-1168023</t>
  </si>
  <si>
    <t>도은우</t>
  </si>
  <si>
    <t>03900104325007</t>
  </si>
  <si>
    <t>newdo29@naver.com</t>
  </si>
  <si>
    <t>SA0018</t>
  </si>
  <si>
    <t>970522-1222513</t>
  </si>
  <si>
    <t>심수영</t>
  </si>
  <si>
    <t>35260201191503</t>
  </si>
  <si>
    <t>tk922sim@naver.com</t>
  </si>
  <si>
    <t>SA0021</t>
  </si>
  <si>
    <t>950509-1010818</t>
  </si>
  <si>
    <t>김기원</t>
  </si>
  <si>
    <t>09890104100616</t>
  </si>
  <si>
    <t>eovy982@hanmail.net</t>
  </si>
  <si>
    <t>TM0001</t>
  </si>
  <si>
    <t>790816-2233217</t>
  </si>
  <si>
    <t>김민경</t>
  </si>
  <si>
    <t>42750204009273</t>
  </si>
  <si>
    <t>dororock@naver.com</t>
  </si>
  <si>
    <t>TM0002</t>
  </si>
  <si>
    <t>880112-2932733</t>
  </si>
  <si>
    <t>고은혜</t>
  </si>
  <si>
    <t>heygrasia@hanmail.net</t>
  </si>
  <si>
    <t>TM0003</t>
  </si>
  <si>
    <t>940515-2748413</t>
  </si>
  <si>
    <t>백지원</t>
  </si>
  <si>
    <t>508127765282</t>
  </si>
  <si>
    <t>jadoo_wony@naver.com</t>
  </si>
  <si>
    <t>TM0004</t>
  </si>
  <si>
    <t>971104-2841711</t>
  </si>
  <si>
    <t>김유림</t>
  </si>
  <si>
    <t>3025846567911</t>
  </si>
  <si>
    <t>yr1104@naver.com</t>
  </si>
  <si>
    <t>TM0005</t>
  </si>
  <si>
    <t>960917-1698211</t>
  </si>
  <si>
    <t>남경완</t>
  </si>
  <si>
    <t>ruddhks203@naver.com</t>
  </si>
  <si>
    <t>TM0006</t>
  </si>
  <si>
    <t>010906-4055215</t>
  </si>
  <si>
    <t>신지혜</t>
  </si>
  <si>
    <t>48404515902013</t>
  </si>
  <si>
    <t>sjih0906@naver.com</t>
  </si>
  <si>
    <t>TM0007</t>
  </si>
  <si>
    <t>930915-1057413</t>
  </si>
  <si>
    <t>김태용</t>
  </si>
  <si>
    <t>83760104281149</t>
  </si>
  <si>
    <t>whs9916@naver.com</t>
  </si>
  <si>
    <t>TM0008</t>
  </si>
  <si>
    <t>930912-2482111</t>
  </si>
  <si>
    <t>조민영</t>
  </si>
  <si>
    <t>1002450141086</t>
  </si>
  <si>
    <t>whqlsdud1347@naver.com</t>
  </si>
  <si>
    <t>TM0009</t>
  </si>
  <si>
    <t>930616-1156233</t>
  </si>
  <si>
    <t>홍기현</t>
  </si>
  <si>
    <t>110366226256</t>
  </si>
  <si>
    <t>asdfzxcv901@naver.com</t>
  </si>
  <si>
    <t>TM0010</t>
  </si>
  <si>
    <t>000217-4560315</t>
  </si>
  <si>
    <t>허신영</t>
  </si>
  <si>
    <t>3333081347417</t>
  </si>
  <si>
    <t>milly1@naver.com</t>
  </si>
  <si>
    <t>TM0011</t>
  </si>
  <si>
    <t>931020-2200245</t>
  </si>
  <si>
    <t>이성익</t>
  </si>
  <si>
    <t>3333147102678</t>
  </si>
  <si>
    <t>forblem_0423@naver.com</t>
  </si>
  <si>
    <t>TM0012</t>
  </si>
  <si>
    <t>950621-2121717</t>
  </si>
  <si>
    <t>최은혜</t>
  </si>
  <si>
    <t>3521429504753</t>
  </si>
  <si>
    <t>dsaew45@naver.com</t>
  </si>
  <si>
    <t>TM0013</t>
  </si>
  <si>
    <t>951123-1854218</t>
  </si>
  <si>
    <t>이승한</t>
  </si>
  <si>
    <t>96300209601014</t>
  </si>
  <si>
    <t>sh5743841@naver.com</t>
  </si>
  <si>
    <t>TM0014</t>
  </si>
  <si>
    <t>951102-1797816</t>
  </si>
  <si>
    <t>유수호</t>
  </si>
  <si>
    <t>60800204297835</t>
  </si>
  <si>
    <t>y951102@nate.com</t>
  </si>
  <si>
    <t>TM0015</t>
  </si>
  <si>
    <t>870526-1122224</t>
  </si>
  <si>
    <t>이상선</t>
  </si>
  <si>
    <t>110418280200</t>
  </si>
  <si>
    <t>ssieep@naver.com</t>
  </si>
  <si>
    <t>TM0016</t>
  </si>
  <si>
    <t>941120-1686119</t>
  </si>
  <si>
    <t>임대규</t>
  </si>
  <si>
    <t>59970104359751</t>
  </si>
  <si>
    <t>kyu941120@gmail.com</t>
  </si>
  <si>
    <t>TM0017</t>
  </si>
  <si>
    <t>990803-2676210</t>
  </si>
  <si>
    <t>최유진</t>
  </si>
  <si>
    <t>81070101314164</t>
  </si>
  <si>
    <t>pipoasdfgh12@naver.com</t>
  </si>
  <si>
    <t>TM0018</t>
  </si>
  <si>
    <t>930318-1904116</t>
  </si>
  <si>
    <t>이창호</t>
  </si>
  <si>
    <t>3520404512203</t>
  </si>
  <si>
    <t>dlckdgh2004@naver.com</t>
  </si>
  <si>
    <t>TM0019</t>
  </si>
  <si>
    <t>970320-1114211</t>
  </si>
  <si>
    <t>차경혁</t>
  </si>
  <si>
    <t>3333118002619</t>
  </si>
  <si>
    <t>ryan97320@naver.com</t>
  </si>
  <si>
    <t>TM0020</t>
  </si>
  <si>
    <t>980524-1173717</t>
  </si>
  <si>
    <t>윤용빈</t>
  </si>
  <si>
    <t>01090204189124</t>
  </si>
  <si>
    <t>dyddyd920@naver.com</t>
  </si>
  <si>
    <t>TM0021</t>
  </si>
  <si>
    <t>981014-2251213</t>
  </si>
  <si>
    <t>김규림</t>
  </si>
  <si>
    <t>3520697064553</t>
  </si>
  <si>
    <t>qazcb87@naver.com</t>
  </si>
  <si>
    <t>TM0022</t>
  </si>
  <si>
    <t>940730-1065526</t>
  </si>
  <si>
    <t>우영민</t>
  </si>
  <si>
    <t>26880204141075</t>
  </si>
  <si>
    <t>yooyunin@naver.com</t>
  </si>
  <si>
    <t>TM0023</t>
  </si>
  <si>
    <t>960429-1822710</t>
  </si>
  <si>
    <t>이광선</t>
  </si>
  <si>
    <t>1122118584500</t>
  </si>
  <si>
    <t>kik2736@naver.com</t>
  </si>
  <si>
    <t>TM0024</t>
  </si>
  <si>
    <t>000522-4820417</t>
  </si>
  <si>
    <t>박수빈</t>
  </si>
  <si>
    <t>3028831152221</t>
  </si>
  <si>
    <t>soobin04199@gmail.com</t>
  </si>
  <si>
    <t>TM0025</t>
  </si>
  <si>
    <t>800815-2664012</t>
  </si>
  <si>
    <t>김순란</t>
  </si>
  <si>
    <t>110229139046</t>
  </si>
  <si>
    <t>namygicha@naver.com</t>
  </si>
  <si>
    <t>TM0026</t>
  </si>
  <si>
    <t>970417-2063511</t>
  </si>
  <si>
    <t>김다솜</t>
  </si>
  <si>
    <t>63870201508010</t>
  </si>
  <si>
    <t>dyaduom@naver.com</t>
  </si>
  <si>
    <t>TM0027</t>
  </si>
  <si>
    <t>900712-1743212</t>
  </si>
  <si>
    <t>조영태</t>
  </si>
  <si>
    <t>63810104277949</t>
  </si>
  <si>
    <t>djin6414@naver.com</t>
  </si>
  <si>
    <t>TM0028</t>
  </si>
  <si>
    <t>911228-1119918</t>
  </si>
  <si>
    <t>장다빈</t>
  </si>
  <si>
    <t>1002048355194</t>
  </si>
  <si>
    <t>TM0029</t>
  </si>
  <si>
    <t>970523-2180310</t>
  </si>
  <si>
    <t>김민정</t>
  </si>
  <si>
    <t>0332100049821</t>
  </si>
  <si>
    <t>kimmjooo@naver.com</t>
  </si>
  <si>
    <t>TM0030</t>
  </si>
  <si>
    <t>910103-2085437</t>
  </si>
  <si>
    <t>이수연</t>
  </si>
  <si>
    <t>61670101682443</t>
  </si>
  <si>
    <t>su-you-i@hanmail.net</t>
  </si>
  <si>
    <t>TP0001</t>
  </si>
  <si>
    <t>810407-1051113</t>
  </si>
  <si>
    <t>권형우</t>
  </si>
  <si>
    <t>60020201212109</t>
  </si>
  <si>
    <t>yellowzoom81@naver.com</t>
  </si>
  <si>
    <t>TP0003</t>
  </si>
  <si>
    <t>910903-2148710</t>
  </si>
  <si>
    <t>장윤정</t>
  </si>
  <si>
    <t>65490201199647</t>
  </si>
  <si>
    <t>aaaaa6533@naver.com</t>
  </si>
  <si>
    <t>TP0006</t>
  </si>
  <si>
    <t>910616-2012719</t>
  </si>
  <si>
    <t>신유나</t>
  </si>
  <si>
    <t>78610200003639</t>
  </si>
  <si>
    <t>dbsk6567@naver.com</t>
  </si>
  <si>
    <t>TP0007</t>
  </si>
  <si>
    <t>960617-2200517</t>
  </si>
  <si>
    <t>김지현</t>
  </si>
  <si>
    <t>27980104350283</t>
  </si>
  <si>
    <t>xmflvltnl012@naver.com</t>
  </si>
  <si>
    <t>TP0008</t>
  </si>
  <si>
    <t>960401-2590412</t>
  </si>
  <si>
    <t>김지선</t>
  </si>
  <si>
    <t>27980104349519</t>
  </si>
  <si>
    <t>ggb03154@daum.net</t>
  </si>
  <si>
    <t>TP0009</t>
  </si>
  <si>
    <t>980812-2151115</t>
  </si>
  <si>
    <t>박채영</t>
  </si>
  <si>
    <t>64800204065012</t>
  </si>
  <si>
    <t>Codud812@naver.com</t>
  </si>
  <si>
    <t>TP0010</t>
  </si>
  <si>
    <t>911031-1196215</t>
  </si>
  <si>
    <t>박영민</t>
  </si>
  <si>
    <t>29540101222284</t>
  </si>
  <si>
    <t>1031000@naver.com</t>
  </si>
  <si>
    <t>TP0011</t>
  </si>
  <si>
    <t>960403-1303411</t>
  </si>
  <si>
    <t>박찬호</t>
  </si>
  <si>
    <t>29540201207253</t>
  </si>
  <si>
    <t>chun40033@naver.com</t>
  </si>
  <si>
    <t>TP0012</t>
  </si>
  <si>
    <t>851220-1081116</t>
  </si>
  <si>
    <t>박승준</t>
  </si>
  <si>
    <t>82400104136155</t>
  </si>
  <si>
    <t>seungjunparkjj@hanmail.net</t>
  </si>
  <si>
    <t>TP0013</t>
  </si>
  <si>
    <t>940201-1020418</t>
  </si>
  <si>
    <t>최윤후</t>
  </si>
  <si>
    <t>52870204076538</t>
  </si>
  <si>
    <t>choiyoonhoo@naver.com</t>
  </si>
  <si>
    <t>TP0014</t>
  </si>
  <si>
    <t>950508-1105312</t>
  </si>
  <si>
    <t>이승현</t>
  </si>
  <si>
    <t>94290200001475</t>
  </si>
  <si>
    <t>tmdgus8030@naver.com</t>
  </si>
  <si>
    <t>TP0015</t>
  </si>
  <si>
    <t>980827-2052210</t>
  </si>
  <si>
    <t>정하림</t>
  </si>
  <si>
    <t>66910201541758</t>
  </si>
  <si>
    <t>gkfla9898@naver.com</t>
  </si>
  <si>
    <t>TP0016</t>
  </si>
  <si>
    <t>941031-1249316</t>
  </si>
  <si>
    <t>유병규</t>
  </si>
  <si>
    <t>46680204131517</t>
  </si>
  <si>
    <t>dbrod1004@naver.com</t>
  </si>
  <si>
    <t>TP0017</t>
  </si>
  <si>
    <t>950524-2182516</t>
  </si>
  <si>
    <t>한지윤</t>
  </si>
  <si>
    <t>01053702365</t>
  </si>
  <si>
    <t>gy00n@naver.com</t>
  </si>
  <si>
    <t>TP0018</t>
  </si>
  <si>
    <t>951108-1173918</t>
  </si>
  <si>
    <t>송광식</t>
  </si>
  <si>
    <t>27270104296302</t>
  </si>
  <si>
    <t>gwang9382@naver.com</t>
  </si>
  <si>
    <t>TP0019</t>
  </si>
  <si>
    <t>000517-4829918</t>
  </si>
  <si>
    <t>심슬기</t>
  </si>
  <si>
    <t>79530204186260</t>
  </si>
  <si>
    <t>kunisawaamon@gmail.com</t>
  </si>
  <si>
    <t>TP0020</t>
  </si>
  <si>
    <t>000305-4057125</t>
  </si>
  <si>
    <t>송수빈</t>
  </si>
  <si>
    <t>75840104157051</t>
  </si>
  <si>
    <t>protect_light@naver.com</t>
  </si>
  <si>
    <t>TP0021</t>
  </si>
  <si>
    <t>951031-1155311</t>
  </si>
  <si>
    <t>16320204171580</t>
  </si>
  <si>
    <t>rlaehdrb7202@naver.com</t>
  </si>
  <si>
    <t>TP0022</t>
  </si>
  <si>
    <t>950206-2068716</t>
  </si>
  <si>
    <t>이희원</t>
  </si>
  <si>
    <t>09210104177902</t>
  </si>
  <si>
    <t>ma_ma_song@naver.com</t>
  </si>
  <si>
    <t>TP0023</t>
  </si>
  <si>
    <t>951126-2188714</t>
  </si>
  <si>
    <t>이예린</t>
  </si>
  <si>
    <t>44310201347314</t>
  </si>
  <si>
    <t>yhelin11@naver.com</t>
  </si>
  <si>
    <t>TP0024</t>
  </si>
  <si>
    <t>921009-1163318</t>
  </si>
  <si>
    <t>김원철</t>
  </si>
  <si>
    <t>74670101771673</t>
  </si>
  <si>
    <t>kimwc1009@naver.com</t>
  </si>
  <si>
    <t>TP0025</t>
  </si>
  <si>
    <t>810410-1543610</t>
  </si>
  <si>
    <t>이태관</t>
  </si>
  <si>
    <t>74380101158235</t>
  </si>
  <si>
    <t>neo181899@hanmail.net</t>
  </si>
  <si>
    <t>TP0026</t>
  </si>
  <si>
    <t>991104-2011423</t>
  </si>
  <si>
    <t>박수영</t>
  </si>
  <si>
    <t>01700204527778</t>
  </si>
  <si>
    <t>tndud3525@nate.com</t>
  </si>
  <si>
    <t>TP0027</t>
  </si>
  <si>
    <t>950207-1192320</t>
  </si>
  <si>
    <t>김유원</t>
  </si>
  <si>
    <t>65070201421674</t>
  </si>
  <si>
    <t>qkrlan@naver.com</t>
  </si>
  <si>
    <t>TP0028</t>
  </si>
  <si>
    <t>930719-1085118</t>
  </si>
  <si>
    <t>윤현식</t>
  </si>
  <si>
    <t>77200104195215</t>
  </si>
  <si>
    <t>heun7754@daum.net</t>
  </si>
  <si>
    <t>TP0029</t>
  </si>
  <si>
    <t>900207-1209510</t>
  </si>
  <si>
    <t>김진현</t>
  </si>
  <si>
    <t>23300204229564</t>
  </si>
  <si>
    <t>kjh77577@naver.com</t>
  </si>
  <si>
    <t>TP0030</t>
  </si>
  <si>
    <t>930927-1081715</t>
  </si>
  <si>
    <t>전병선</t>
  </si>
  <si>
    <t>91480201607831</t>
  </si>
  <si>
    <t>tjslxps930@gmail.com</t>
  </si>
  <si>
    <t>TP0031</t>
  </si>
  <si>
    <t>870416-1069510</t>
  </si>
  <si>
    <t>김성태</t>
  </si>
  <si>
    <t>41430101160448</t>
  </si>
  <si>
    <t>79sungtae0@gmail.com</t>
  </si>
  <si>
    <t>TP0032</t>
  </si>
  <si>
    <t>921022-1860856</t>
  </si>
  <si>
    <t>왕태현</t>
  </si>
  <si>
    <t>75990100087845</t>
  </si>
  <si>
    <t>hairtaehyun@naver.com</t>
  </si>
  <si>
    <t>TP0033</t>
  </si>
  <si>
    <t>951028-1253527</t>
  </si>
  <si>
    <t>박명연</t>
  </si>
  <si>
    <t>59800101355647</t>
  </si>
  <si>
    <t>myp6309@daum.net</t>
  </si>
  <si>
    <t>TP0034</t>
  </si>
  <si>
    <t>940505-1169515</t>
  </si>
  <si>
    <t>김우영</t>
  </si>
  <si>
    <t>62510101338733</t>
  </si>
  <si>
    <t>rladndudqkqh@naver.com</t>
  </si>
  <si>
    <t>TP0035</t>
  </si>
  <si>
    <t>950517-1703416</t>
  </si>
  <si>
    <t>김준호</t>
  </si>
  <si>
    <t>82330201181192</t>
  </si>
  <si>
    <t>kgg0517@naver.com</t>
  </si>
  <si>
    <t>TP0036</t>
  </si>
  <si>
    <t>930525-1726610</t>
  </si>
  <si>
    <t>이홍석</t>
  </si>
  <si>
    <t>3560595701273</t>
  </si>
  <si>
    <t>cjsdn6466@naver.com</t>
  </si>
  <si>
    <t>TP0037</t>
  </si>
  <si>
    <t>921104-1896613</t>
  </si>
  <si>
    <t>김민기</t>
  </si>
  <si>
    <t>92011611458</t>
  </si>
  <si>
    <t>uilove216@gmail.com</t>
  </si>
  <si>
    <t>TP0038</t>
  </si>
  <si>
    <t>910304-1235021</t>
  </si>
  <si>
    <t>한무성</t>
  </si>
  <si>
    <t>51710101235999</t>
  </si>
  <si>
    <t>davidrito@naver.com</t>
  </si>
  <si>
    <t>871002-1095617</t>
  </si>
  <si>
    <t>13020204158602</t>
  </si>
  <si>
    <t>hsg4687@naver.com</t>
  </si>
  <si>
    <t>UQ0002</t>
  </si>
  <si>
    <t>940402-1120916</t>
  </si>
  <si>
    <t>정재훈</t>
  </si>
  <si>
    <t>55530201308791</t>
  </si>
  <si>
    <t>w1o2g3@naver.com</t>
  </si>
  <si>
    <t>UQ0003</t>
  </si>
  <si>
    <t>940228-1120115</t>
  </si>
  <si>
    <t>유위성</t>
  </si>
  <si>
    <t>55530201319113</t>
  </si>
  <si>
    <t>tkcjstjd08@naver.com</t>
  </si>
  <si>
    <t>UQ0004</t>
  </si>
  <si>
    <t>111111-1111111</t>
  </si>
  <si>
    <t>이휘원</t>
  </si>
  <si>
    <t>11530204263309</t>
  </si>
  <si>
    <t>UQ0005</t>
  </si>
  <si>
    <t>000000-0000000</t>
  </si>
  <si>
    <t>이하영</t>
  </si>
  <si>
    <t>47380204138631</t>
  </si>
  <si>
    <t>UQ0006</t>
  </si>
  <si>
    <t>890708-1110711</t>
  </si>
  <si>
    <t>하진성</t>
  </si>
  <si>
    <t>94650101415034</t>
  </si>
  <si>
    <t>harara0110@naver.com</t>
  </si>
  <si>
    <t>UQ0007</t>
  </si>
  <si>
    <t>950808-2906612</t>
  </si>
  <si>
    <t>조보겸</t>
  </si>
  <si>
    <t>10430104443087</t>
  </si>
  <si>
    <t>mini38301@daum.net</t>
  </si>
  <si>
    <t>UQ0008</t>
  </si>
  <si>
    <t>951108-2865813</t>
  </si>
  <si>
    <t>정혜민</t>
  </si>
  <si>
    <t>10430104443074</t>
  </si>
  <si>
    <t>like9511@naver.com</t>
  </si>
  <si>
    <t>UQ0009</t>
  </si>
  <si>
    <t>900227-1117227</t>
  </si>
  <si>
    <t>김경모</t>
  </si>
  <si>
    <t>12630204160497</t>
  </si>
  <si>
    <t>cheerypop23@naver.com</t>
  </si>
  <si>
    <t>UQ0010</t>
  </si>
  <si>
    <t>941016-1122615</t>
  </si>
  <si>
    <t>김선근</t>
  </si>
  <si>
    <t>10300104263545</t>
  </si>
  <si>
    <t>ocm789@naver.com</t>
  </si>
  <si>
    <t>UQ0011</t>
  </si>
  <si>
    <t>921103-1823311</t>
  </si>
  <si>
    <t>박영수</t>
  </si>
  <si>
    <t>84240202071965</t>
  </si>
  <si>
    <t>tjgnl01@naver.com</t>
  </si>
  <si>
    <t>UQ0012</t>
  </si>
  <si>
    <t>990105-2817510</t>
  </si>
  <si>
    <t>권희주</t>
  </si>
  <si>
    <t>9002172882739</t>
  </si>
  <si>
    <t>gmlwn5062@nate.com</t>
  </si>
  <si>
    <t>UQ0013</t>
  </si>
  <si>
    <t>951108-2786313</t>
  </si>
  <si>
    <t>김혜정</t>
  </si>
  <si>
    <t>60640104452886</t>
  </si>
  <si>
    <t>lllawalll009@naver.com</t>
  </si>
  <si>
    <t>UQ0014</t>
  </si>
  <si>
    <t>950105-1122021</t>
  </si>
  <si>
    <t>오지석</t>
  </si>
  <si>
    <t>82420200034249</t>
  </si>
  <si>
    <t>odgc5292@naver.com</t>
  </si>
  <si>
    <t>UQ0015</t>
  </si>
  <si>
    <t>960229-2113611</t>
  </si>
  <si>
    <t>김경미</t>
  </si>
  <si>
    <t>55750104198066</t>
  </si>
  <si>
    <t>zsksk36@naver.com</t>
  </si>
  <si>
    <t>UQ0016</t>
  </si>
  <si>
    <t>910922-1906710</t>
  </si>
  <si>
    <t>박준섭</t>
  </si>
  <si>
    <t>10430104448024</t>
  </si>
  <si>
    <t>junseob9210@gmail.com</t>
  </si>
  <si>
    <t>UQ0017</t>
  </si>
  <si>
    <t>970305-1616918</t>
  </si>
  <si>
    <t>김명용</t>
  </si>
  <si>
    <t>94450200028942</t>
  </si>
  <si>
    <t>klmwook2@naver.com</t>
  </si>
  <si>
    <t>UQ0018</t>
  </si>
  <si>
    <t>921010-1114818</t>
  </si>
  <si>
    <t>박성곤</t>
  </si>
  <si>
    <t>10430104448558</t>
  </si>
  <si>
    <t>petpuma@naver.com</t>
  </si>
  <si>
    <t>UQ0019</t>
  </si>
  <si>
    <t>990112-2096127</t>
  </si>
  <si>
    <t>임유진</t>
  </si>
  <si>
    <t>1002559882428</t>
  </si>
  <si>
    <t>dladbwls8641@naver.com</t>
  </si>
  <si>
    <t>UQ0020</t>
  </si>
  <si>
    <t>951221-1106410</t>
  </si>
  <si>
    <t>송지율</t>
  </si>
  <si>
    <t>053120975301</t>
  </si>
  <si>
    <t>aooy1234567@naver.com</t>
  </si>
  <si>
    <t>UQ0021</t>
  </si>
  <si>
    <t>940517-1692317</t>
  </si>
  <si>
    <t>장진혁</t>
  </si>
  <si>
    <t>10430104452971</t>
  </si>
  <si>
    <t>h9405177@gmail.com</t>
  </si>
  <si>
    <t>UQ0022</t>
  </si>
  <si>
    <t>960411-1114816</t>
  </si>
  <si>
    <t>서성원</t>
  </si>
  <si>
    <t>20550204564640</t>
  </si>
  <si>
    <t>seongwon0411@naver.com</t>
  </si>
  <si>
    <t>UQ0023</t>
  </si>
  <si>
    <t>980209-2106418</t>
  </si>
  <si>
    <t>박하나</t>
  </si>
  <si>
    <t>93710101431768</t>
  </si>
  <si>
    <t>eo1tjd2@naver.com</t>
  </si>
  <si>
    <t>910306-1904312</t>
  </si>
  <si>
    <t>10430104453655</t>
  </si>
  <si>
    <t>pjs1993@nate.com</t>
  </si>
  <si>
    <t>UQ0025</t>
  </si>
  <si>
    <t>930721-1126615</t>
  </si>
  <si>
    <t>류주성</t>
  </si>
  <si>
    <t>96010101334191</t>
  </si>
  <si>
    <t>ckddnjs0989@naver.com</t>
  </si>
  <si>
    <t>UQ0026</t>
  </si>
  <si>
    <t>870420-1696516</t>
  </si>
  <si>
    <t>민태양</t>
  </si>
  <si>
    <t>3333135203421</t>
  </si>
  <si>
    <t>arotya@naver.com</t>
  </si>
  <si>
    <t>UQ0027</t>
  </si>
  <si>
    <t>910828-1788211</t>
  </si>
  <si>
    <t>구교현</t>
  </si>
  <si>
    <t>508129313068</t>
  </si>
  <si>
    <t>rygus9503@gmail.com</t>
  </si>
  <si>
    <t>UQ0028</t>
  </si>
  <si>
    <t>810708-1069013</t>
  </si>
  <si>
    <t>손영국</t>
  </si>
  <si>
    <t>1002559602658</t>
  </si>
  <si>
    <t>tongky23@naver.com</t>
  </si>
  <si>
    <t>UQ0029</t>
  </si>
  <si>
    <t>990202-2686019</t>
  </si>
  <si>
    <t>전예진</t>
  </si>
  <si>
    <t>3333102407671</t>
  </si>
  <si>
    <t>sns0606@daum.net</t>
  </si>
  <si>
    <t>UQ0030</t>
  </si>
  <si>
    <t>960323-2677217</t>
  </si>
  <si>
    <t>김혜령</t>
  </si>
  <si>
    <t>61870104247658</t>
  </si>
  <si>
    <t>hrhr0323@gmail.com</t>
  </si>
  <si>
    <t>UQ0031</t>
  </si>
  <si>
    <t>930218-1697927</t>
  </si>
  <si>
    <t>권용준</t>
  </si>
  <si>
    <t>110420143691</t>
  </si>
  <si>
    <t>sddfss1162@gmail.com</t>
  </si>
  <si>
    <t>UQ0032</t>
  </si>
  <si>
    <t>910223-1677618</t>
  </si>
  <si>
    <t>남은우</t>
  </si>
  <si>
    <t>3520384867863</t>
  </si>
  <si>
    <t>noinyou@hanmail.net</t>
  </si>
  <si>
    <t>UQ0033</t>
  </si>
  <si>
    <t>920216-2095818</t>
  </si>
  <si>
    <t>김경은</t>
  </si>
  <si>
    <t>10140104167986</t>
  </si>
  <si>
    <t>gimgyungeun@naver.com</t>
  </si>
  <si>
    <t>UQ0034</t>
  </si>
  <si>
    <t>000820-4685910</t>
  </si>
  <si>
    <t>김유라</t>
  </si>
  <si>
    <t>63490104303468</t>
  </si>
  <si>
    <t>417yu7@gmail.com</t>
  </si>
  <si>
    <t>UQ0035</t>
  </si>
  <si>
    <t>841122-1789710</t>
  </si>
  <si>
    <t>나민호</t>
  </si>
  <si>
    <t>3028585380441</t>
  </si>
  <si>
    <t>skypeace1030@naver.com</t>
  </si>
  <si>
    <t>UQ0036</t>
  </si>
  <si>
    <t>961002-1740111</t>
  </si>
  <si>
    <t>박훈</t>
  </si>
  <si>
    <t>20550204557268</t>
  </si>
  <si>
    <t>gnsdl1222@naver.com</t>
  </si>
  <si>
    <t>UQ0037</t>
  </si>
  <si>
    <t>951002-1105213</t>
  </si>
  <si>
    <t>조해원</t>
  </si>
  <si>
    <t>38705012001018</t>
  </si>
  <si>
    <t>soos9302@naver.com</t>
  </si>
  <si>
    <t>UQ0038</t>
  </si>
  <si>
    <t>920118-1903719</t>
  </si>
  <si>
    <t>김연수</t>
  </si>
  <si>
    <t>66110204224740</t>
  </si>
  <si>
    <t>yunsu6000@naver.com</t>
  </si>
  <si>
    <t>UQ0039</t>
  </si>
  <si>
    <t>950503-2698012</t>
  </si>
  <si>
    <t>채아신</t>
  </si>
  <si>
    <t>80390101518467</t>
  </si>
  <si>
    <t>qwdlyu0503@naver.com</t>
  </si>
  <si>
    <t>UQ0040</t>
  </si>
  <si>
    <t>000824-3926018</t>
  </si>
  <si>
    <t>오경민</t>
  </si>
  <si>
    <t>56500201464009</t>
  </si>
  <si>
    <t>kja1470@naver.com</t>
  </si>
  <si>
    <t>UQ0041</t>
  </si>
  <si>
    <t>940916-1095818</t>
  </si>
  <si>
    <t>이효진</t>
  </si>
  <si>
    <t>110398651165</t>
  </si>
  <si>
    <t>9409161@naver.com</t>
  </si>
  <si>
    <t>UQ0042</t>
  </si>
  <si>
    <t>961109-2905913</t>
  </si>
  <si>
    <t>강도원</t>
  </si>
  <si>
    <t>51006981801011</t>
  </si>
  <si>
    <t>end6168@naver.com</t>
  </si>
  <si>
    <t>900207-2120811</t>
  </si>
  <si>
    <t>10140204162597</t>
  </si>
  <si>
    <t>minju.bang90@gmail.com</t>
  </si>
  <si>
    <t>UQ0044</t>
  </si>
  <si>
    <t>980916-1717211</t>
  </si>
  <si>
    <t>서우진</t>
  </si>
  <si>
    <t>3520781129753</t>
  </si>
  <si>
    <t>kbg05071@naver.com</t>
  </si>
  <si>
    <t>UQ0045</t>
  </si>
  <si>
    <t>870920-1674011</t>
  </si>
  <si>
    <t>김현성</t>
  </si>
  <si>
    <t>61290204153879</t>
  </si>
  <si>
    <t>kbg3953@naver.com</t>
  </si>
  <si>
    <t>UQ0046</t>
  </si>
  <si>
    <t>910514-2840913</t>
  </si>
  <si>
    <t>이아진</t>
  </si>
  <si>
    <t>96287310460</t>
  </si>
  <si>
    <t>ajl1012@naver.com</t>
  </si>
  <si>
    <t>UQ0047</t>
  </si>
  <si>
    <t>961226-2677411</t>
  </si>
  <si>
    <t>조영경</t>
  </si>
  <si>
    <t>80130101654633</t>
  </si>
  <si>
    <t>969248@naver.com</t>
  </si>
  <si>
    <t>UQ0048</t>
  </si>
  <si>
    <t>900317-1685610</t>
  </si>
  <si>
    <t>최인록</t>
  </si>
  <si>
    <t>61320104386222</t>
  </si>
  <si>
    <t>zykclg@naver.com</t>
  </si>
  <si>
    <t>UQ0049</t>
  </si>
  <si>
    <t>000412-4123213</t>
  </si>
  <si>
    <t>김효정</t>
  </si>
  <si>
    <t>61290204172612</t>
  </si>
  <si>
    <t>sigk412@naver.com</t>
  </si>
  <si>
    <t>UQ0050</t>
  </si>
  <si>
    <t>960422-1338611</t>
  </si>
  <si>
    <t>임형준</t>
  </si>
  <si>
    <t>3333087277412</t>
  </si>
  <si>
    <t>gudwns5551@naver.com</t>
  </si>
  <si>
    <t>UQ0051</t>
  </si>
  <si>
    <t>930513-1683218</t>
  </si>
  <si>
    <t>박효헌</t>
  </si>
  <si>
    <t>65270204410051</t>
  </si>
  <si>
    <t>hyoheon300@gmail.com</t>
  </si>
  <si>
    <t>UQ0052</t>
  </si>
  <si>
    <t>980303-1113415</t>
  </si>
  <si>
    <t>이창현</t>
  </si>
  <si>
    <t>10430104462271</t>
  </si>
  <si>
    <t>lch34085899@gmail.com</t>
  </si>
  <si>
    <t>UQ0053</t>
  </si>
  <si>
    <t>800418-1110319</t>
  </si>
  <si>
    <t>강동우</t>
  </si>
  <si>
    <t>461210701209</t>
  </si>
  <si>
    <t>evandise@hanmail.net</t>
  </si>
  <si>
    <t>UQ0054</t>
  </si>
  <si>
    <t>890620-1095422</t>
  </si>
  <si>
    <t>김건우</t>
  </si>
  <si>
    <t>56500101406754</t>
  </si>
  <si>
    <t>bumarketing@naver.com</t>
  </si>
  <si>
    <t>UQ0055</t>
  </si>
  <si>
    <t>900208-1127534</t>
  </si>
  <si>
    <t>김달후</t>
  </si>
  <si>
    <t>71200200054454</t>
  </si>
  <si>
    <t>ekfgn1212@gmail.com</t>
  </si>
  <si>
    <t>UQ0056</t>
  </si>
  <si>
    <t>991013-2822819</t>
  </si>
  <si>
    <t>이주비</t>
  </si>
  <si>
    <t>10430204319486</t>
  </si>
  <si>
    <t>wbq1010@naver.com</t>
  </si>
  <si>
    <t>UQ0057</t>
  </si>
  <si>
    <t>941010-1106413</t>
  </si>
  <si>
    <t>이재원</t>
  </si>
  <si>
    <t>66880101697103</t>
  </si>
  <si>
    <t>lcw1994@naver.com</t>
  </si>
  <si>
    <t>UQ0058</t>
  </si>
  <si>
    <t>970422-2203116</t>
  </si>
  <si>
    <t>정다연</t>
  </si>
  <si>
    <t>3333073016735</t>
  </si>
  <si>
    <t>jdy5979@naver.com</t>
  </si>
  <si>
    <t>UQ0059</t>
  </si>
  <si>
    <t>970922-2690614</t>
  </si>
  <si>
    <t>김민희</t>
  </si>
  <si>
    <t>81650201327756</t>
  </si>
  <si>
    <t>qktk0518@naver.com</t>
  </si>
  <si>
    <t>UQ0060</t>
  </si>
  <si>
    <t>941019-1110223</t>
  </si>
  <si>
    <t>김조나</t>
  </si>
  <si>
    <t>10430104464866</t>
  </si>
  <si>
    <t>jonah1994@naver.com</t>
  </si>
  <si>
    <t>UQ0061</t>
  </si>
  <si>
    <t>980409-1114821</t>
  </si>
  <si>
    <t>서인호</t>
  </si>
  <si>
    <t>10430104465438</t>
  </si>
  <si>
    <t>sjtjdlsgh@naver.com</t>
  </si>
  <si>
    <t>UQ0062</t>
  </si>
  <si>
    <t>950928-2183039</t>
  </si>
  <si>
    <t>최고은</t>
  </si>
  <si>
    <t>57370104124906</t>
  </si>
  <si>
    <t>koeun950@naver.com</t>
  </si>
  <si>
    <t>UQ0063</t>
  </si>
  <si>
    <t>891217-1685623</t>
  </si>
  <si>
    <t>오진석</t>
  </si>
  <si>
    <t>80391018849107</t>
  </si>
  <si>
    <t>blacktaehun@hanmail.net</t>
  </si>
  <si>
    <t>UQ0064</t>
  </si>
  <si>
    <t>000802-4203515</t>
  </si>
  <si>
    <t>강유리</t>
  </si>
  <si>
    <t>61450104236106</t>
  </si>
  <si>
    <t>eeehjs88@naver.com</t>
  </si>
  <si>
    <t>UQ0065</t>
  </si>
  <si>
    <t>990605-2686119</t>
  </si>
  <si>
    <t>62420204259255</t>
  </si>
  <si>
    <t>ukun085@naver.com</t>
  </si>
  <si>
    <t>UQ0066</t>
  </si>
  <si>
    <t>980807-1528515</t>
  </si>
  <si>
    <t>정영현</t>
  </si>
  <si>
    <t>94450200292668</t>
  </si>
  <si>
    <t>dudgus7896@gmail.com</t>
  </si>
  <si>
    <t>UQ0067</t>
  </si>
  <si>
    <t>981223-1110211</t>
  </si>
  <si>
    <t>이동훈</t>
  </si>
  <si>
    <t>93930200373635</t>
  </si>
  <si>
    <t>dkehd82@naver.com</t>
  </si>
  <si>
    <t>UQ0068</t>
  </si>
  <si>
    <t>940621-2721913</t>
  </si>
  <si>
    <t>이경민</t>
  </si>
  <si>
    <t>85270200026340</t>
  </si>
  <si>
    <t>tifkfkr21@gmail.com</t>
  </si>
  <si>
    <t>UQ0070</t>
  </si>
  <si>
    <t>880516-2117811</t>
  </si>
  <si>
    <t>허승희</t>
  </si>
  <si>
    <t>13730204180198</t>
  </si>
  <si>
    <t>dangnagu88@naver.com</t>
  </si>
  <si>
    <t>UQ0071</t>
  </si>
  <si>
    <t>961031-1685813</t>
  </si>
  <si>
    <t>82550200014189</t>
  </si>
  <si>
    <t>ehgus4661@naver.com</t>
  </si>
  <si>
    <t>UQ0072</t>
  </si>
  <si>
    <t>010317-4852923</t>
  </si>
  <si>
    <t>66110104210245</t>
  </si>
  <si>
    <t>dd0135@naver.com</t>
  </si>
  <si>
    <t>UQ0073</t>
  </si>
  <si>
    <t>971205-2675219</t>
  </si>
  <si>
    <t>이은서</t>
  </si>
  <si>
    <t>67210104366595</t>
  </si>
  <si>
    <t>tgu04031@naver.com</t>
  </si>
  <si>
    <t>UQ0074</t>
  </si>
  <si>
    <t>000825-4685031</t>
  </si>
  <si>
    <t>이미진</t>
  </si>
  <si>
    <t>68020104184055</t>
  </si>
  <si>
    <t>dlalwls0104@naver.com</t>
  </si>
  <si>
    <t>UQ0075</t>
  </si>
  <si>
    <t>960222-1903721</t>
  </si>
  <si>
    <t>진건희</t>
  </si>
  <si>
    <t>17000204077905</t>
  </si>
  <si>
    <t>wls0164@naver.com</t>
  </si>
  <si>
    <t>UQ0076</t>
  </si>
  <si>
    <t>950714-2103221</t>
  </si>
  <si>
    <t>신소희</t>
  </si>
  <si>
    <t>110497104595</t>
  </si>
  <si>
    <t>thdml1234@naver.com</t>
  </si>
  <si>
    <t>UQ0077</t>
  </si>
  <si>
    <t>960819-1852017</t>
  </si>
  <si>
    <t>김민석</t>
  </si>
  <si>
    <t>93350200247400</t>
  </si>
  <si>
    <t>russia502@naver.com</t>
  </si>
  <si>
    <t>UQ0078</t>
  </si>
  <si>
    <t>880823-1685617</t>
  </si>
  <si>
    <t>백정욱</t>
  </si>
  <si>
    <t>67500104286278</t>
  </si>
  <si>
    <t>vine0823@naver.com</t>
  </si>
  <si>
    <t>UQ0079</t>
  </si>
  <si>
    <t>960708-1697831</t>
  </si>
  <si>
    <t>김태완</t>
  </si>
  <si>
    <t>96270201312493</t>
  </si>
  <si>
    <t>jtk7035@naver.com</t>
  </si>
  <si>
    <t>UQ0080</t>
  </si>
  <si>
    <t>941031-2095510</t>
  </si>
  <si>
    <t>윤지혜</t>
  </si>
  <si>
    <t>110488099157</t>
  </si>
  <si>
    <t>jihae3315@nate.com</t>
  </si>
  <si>
    <t>UQ0081</t>
  </si>
  <si>
    <t>970116-2795918</t>
  </si>
  <si>
    <t>정희경</t>
  </si>
  <si>
    <t>64460204208248</t>
  </si>
  <si>
    <t>gmlrud97001@naver.com</t>
  </si>
  <si>
    <t>UQ0082</t>
  </si>
  <si>
    <t>981113-1921114</t>
  </si>
  <si>
    <t>박의진</t>
  </si>
  <si>
    <t>10430204324314</t>
  </si>
  <si>
    <t>PRONS15@nate.com</t>
  </si>
  <si>
    <t>UQ0083</t>
  </si>
  <si>
    <t>860214-1684926</t>
  </si>
  <si>
    <t>남대범</t>
  </si>
  <si>
    <t>nam2nam@gmail.com</t>
  </si>
  <si>
    <t>UQ0084</t>
  </si>
  <si>
    <t>900204-1684814</t>
  </si>
  <si>
    <t>김익수</t>
  </si>
  <si>
    <t>69960104067338</t>
  </si>
  <si>
    <t>kis5829@naver.com</t>
  </si>
  <si>
    <t>UQ0085</t>
  </si>
  <si>
    <t>951101-1679915</t>
  </si>
  <si>
    <t>허원준</t>
  </si>
  <si>
    <t>67630204107456</t>
  </si>
  <si>
    <t>onezhuh@gmail.com</t>
  </si>
  <si>
    <t>UQ0086</t>
  </si>
  <si>
    <t>950812-1101814</t>
  </si>
  <si>
    <t>윤찬민</t>
  </si>
  <si>
    <t>110423171530</t>
  </si>
  <si>
    <t>dbscksals01@naver.com</t>
  </si>
  <si>
    <t>UQ0087</t>
  </si>
  <si>
    <t>860330-2567618</t>
  </si>
  <si>
    <t>김주희</t>
  </si>
  <si>
    <t>92623747446</t>
  </si>
  <si>
    <t>32741023@hanmail.net</t>
  </si>
  <si>
    <t>UQ0088</t>
  </si>
  <si>
    <t>910426-1901133</t>
  </si>
  <si>
    <t>황승훈</t>
  </si>
  <si>
    <t>66660104303614</t>
  </si>
  <si>
    <t>seunghun0426@naver.com</t>
  </si>
  <si>
    <t>UQ0089</t>
  </si>
  <si>
    <t>961211-2674011</t>
  </si>
  <si>
    <t>안현지</t>
  </si>
  <si>
    <t>21540104182831</t>
  </si>
  <si>
    <t>Namkil1211@nate.com</t>
  </si>
  <si>
    <t>UQ0090</t>
  </si>
  <si>
    <t>940704-1790416</t>
  </si>
  <si>
    <t>이태균</t>
  </si>
  <si>
    <t>64590104403894</t>
  </si>
  <si>
    <t>julius0623@naver.com</t>
  </si>
  <si>
    <t>UQ0091</t>
  </si>
  <si>
    <t>930123-1125815</t>
  </si>
  <si>
    <t>성진석</t>
  </si>
  <si>
    <t>11110104163411</t>
  </si>
  <si>
    <t>JINVINSENT@naver.com</t>
  </si>
  <si>
    <t>UQ0092</t>
  </si>
  <si>
    <t>930802-1865314</t>
  </si>
  <si>
    <t>엄기탁</t>
  </si>
  <si>
    <t>10430204325142</t>
  </si>
  <si>
    <t>han0311045@gmail.com</t>
  </si>
  <si>
    <t>UQ0093</t>
  </si>
  <si>
    <t>960729-2861714</t>
  </si>
  <si>
    <t>김보인</t>
  </si>
  <si>
    <t>84240101781527</t>
  </si>
  <si>
    <t>rlaqhdls6270@naver.com</t>
  </si>
  <si>
    <t>UQ0094</t>
  </si>
  <si>
    <t>991208-2822717</t>
  </si>
  <si>
    <t>이하은</t>
  </si>
  <si>
    <t>039</t>
  </si>
  <si>
    <t>경남은행</t>
  </si>
  <si>
    <t>2070011395005</t>
  </si>
  <si>
    <t>390939@naver.com</t>
  </si>
  <si>
    <t>UQ0095</t>
  </si>
  <si>
    <t>920111-1823541</t>
  </si>
  <si>
    <t>김현우</t>
  </si>
  <si>
    <t>86150201245733</t>
  </si>
  <si>
    <t>kimhw256@naver.com</t>
  </si>
  <si>
    <t>UQ0096</t>
  </si>
  <si>
    <t>960803-1865117</t>
  </si>
  <si>
    <t>김기현</t>
  </si>
  <si>
    <t>11400104115055</t>
  </si>
  <si>
    <t>kkh02510251@daum.net</t>
  </si>
  <si>
    <t>UQ0097</t>
  </si>
  <si>
    <t>960427-1300413</t>
  </si>
  <si>
    <t>윤종휘</t>
  </si>
  <si>
    <t>60480204130639</t>
  </si>
  <si>
    <t>dbs3038@naver.com</t>
  </si>
  <si>
    <t>UQ0098</t>
  </si>
  <si>
    <t>901217-1790635</t>
  </si>
  <si>
    <t>신준호</t>
  </si>
  <si>
    <t>61870204208355</t>
  </si>
  <si>
    <t>gh7670@naver.com</t>
  </si>
  <si>
    <t>UQ0099</t>
  </si>
  <si>
    <t>920324-1795917</t>
  </si>
  <si>
    <t>백종민</t>
  </si>
  <si>
    <t>61870104259217</t>
  </si>
  <si>
    <t>12skdml12@naver.com</t>
  </si>
  <si>
    <t>UQ0100</t>
  </si>
  <si>
    <t>020225-4774810</t>
  </si>
  <si>
    <t>김선희</t>
  </si>
  <si>
    <t>81780101608464</t>
  </si>
  <si>
    <t>hui432961@gmail.com</t>
  </si>
  <si>
    <t>UQ0101</t>
  </si>
  <si>
    <t>971213-2797817</t>
  </si>
  <si>
    <t>남자영</t>
  </si>
  <si>
    <t>80390101528697</t>
  </si>
  <si>
    <t>skawkdudff@naver.com</t>
  </si>
  <si>
    <t>UQ0102</t>
  </si>
  <si>
    <t>951209-1895013</t>
  </si>
  <si>
    <t>이정석</t>
  </si>
  <si>
    <t>593210112520</t>
  </si>
  <si>
    <t>Leejus101@naver.com</t>
  </si>
  <si>
    <t>UQ0103</t>
  </si>
  <si>
    <t>960627-2860116</t>
  </si>
  <si>
    <t>문수진</t>
  </si>
  <si>
    <t>3520270890623</t>
  </si>
  <si>
    <t>qnftnsdl23@naver.com</t>
  </si>
  <si>
    <t>UQ0104</t>
  </si>
  <si>
    <t>890414-2105716</t>
  </si>
  <si>
    <t>서혜수</t>
  </si>
  <si>
    <t>11400204219808</t>
  </si>
  <si>
    <t>20030824@hanmail.net</t>
  </si>
  <si>
    <t>UQ0105</t>
  </si>
  <si>
    <t>011101-3696522</t>
  </si>
  <si>
    <t>박민혁</t>
  </si>
  <si>
    <t>80550201337942</t>
  </si>
  <si>
    <t>suk8239@nate.com</t>
  </si>
  <si>
    <t>UQ0106</t>
  </si>
  <si>
    <t>000929-4070021</t>
  </si>
  <si>
    <t>윤초롬</t>
  </si>
  <si>
    <t>82400104137868</t>
  </si>
  <si>
    <t>chorom00929@naver.com</t>
  </si>
  <si>
    <t>UQ0107</t>
  </si>
  <si>
    <t>890726-2683811</t>
  </si>
  <si>
    <t>83980201366208</t>
  </si>
  <si>
    <t>kkm614@naver.com</t>
  </si>
  <si>
    <t>950507-1101310</t>
  </si>
  <si>
    <t>19306530101015</t>
  </si>
  <si>
    <t>wlrhkd0507@gmail.com</t>
  </si>
  <si>
    <t>UQ0109</t>
  </si>
  <si>
    <t>931230-2622511</t>
  </si>
  <si>
    <t>김영지</t>
  </si>
  <si>
    <t>79200201173211</t>
  </si>
  <si>
    <t>com6763763@naver.com</t>
  </si>
  <si>
    <t>UQ0110</t>
  </si>
  <si>
    <t>940214-1822412</t>
  </si>
  <si>
    <t>공태건</t>
  </si>
  <si>
    <t>84240101868996</t>
  </si>
  <si>
    <t>rhdxorjs@naver.com</t>
  </si>
  <si>
    <t>UQ0111</t>
  </si>
  <si>
    <t>940709-1124212</t>
  </si>
  <si>
    <t>김혜민</t>
  </si>
  <si>
    <t>20390204207682</t>
  </si>
  <si>
    <t>gbgbgbti@naver.com</t>
  </si>
  <si>
    <t>UQ0112</t>
  </si>
  <si>
    <t>960815-2171513</t>
  </si>
  <si>
    <t>정유원</t>
  </si>
  <si>
    <t>10430104472498</t>
  </si>
  <si>
    <t>dbdnjs9210@naver.com</t>
  </si>
  <si>
    <t>UQ0113</t>
  </si>
  <si>
    <t>960427-2929419</t>
  </si>
  <si>
    <t>권지혜</t>
  </si>
  <si>
    <t>65850204253830</t>
  </si>
  <si>
    <t>mykjh0427@naver.com</t>
  </si>
  <si>
    <t>UQ0114</t>
  </si>
  <si>
    <t>940111-1901141</t>
  </si>
  <si>
    <t>유정현</t>
  </si>
  <si>
    <t>1002561693407</t>
  </si>
  <si>
    <t>Yoogaon@naver.com</t>
  </si>
  <si>
    <t>UQ0115</t>
  </si>
  <si>
    <t>010217-4126519</t>
  </si>
  <si>
    <t>정하은</t>
  </si>
  <si>
    <t>96010101416396</t>
  </si>
  <si>
    <t>haeun8258@naver.com</t>
  </si>
  <si>
    <t>UQ0116</t>
  </si>
  <si>
    <t>931029-1671510</t>
  </si>
  <si>
    <t>이종민</t>
  </si>
  <si>
    <t>01713076990</t>
  </si>
  <si>
    <t>whdalssla79@nate.com</t>
  </si>
  <si>
    <t>UQ0117</t>
  </si>
  <si>
    <t>850329-1821823</t>
  </si>
  <si>
    <t>이준경</t>
  </si>
  <si>
    <t>62420104465767</t>
  </si>
  <si>
    <t>selfalie@gmail.com</t>
  </si>
  <si>
    <t>UQ0118</t>
  </si>
  <si>
    <t>980213-1702815</t>
  </si>
  <si>
    <t>김승민</t>
  </si>
  <si>
    <t>94030200306710</t>
  </si>
  <si>
    <t>dhfhqltm@gmail.com</t>
  </si>
  <si>
    <t>UQ0119</t>
  </si>
  <si>
    <t>950210-1080116</t>
  </si>
  <si>
    <t>서정혁</t>
  </si>
  <si>
    <t>62000204210513</t>
  </si>
  <si>
    <t>tjwjdals333@gmail.com</t>
  </si>
  <si>
    <t>UQ0120</t>
  </si>
  <si>
    <t>930801-1693018</t>
  </si>
  <si>
    <t>이정식</t>
  </si>
  <si>
    <t>63650204122592</t>
  </si>
  <si>
    <t>tabled93@naver.com</t>
  </si>
  <si>
    <t>UQ0121</t>
  </si>
  <si>
    <t>950214-1212517</t>
  </si>
  <si>
    <t>73310201058731</t>
  </si>
  <si>
    <t>khs214115@naver.com</t>
  </si>
  <si>
    <t>UQ0122</t>
  </si>
  <si>
    <t>950812-1683418</t>
  </si>
  <si>
    <t>류현익</t>
  </si>
  <si>
    <t>41070104212627</t>
  </si>
  <si>
    <t>gusdlr0812@naver.com</t>
  </si>
  <si>
    <t>940523-1726529</t>
  </si>
  <si>
    <t>61320104429378</t>
  </si>
  <si>
    <t>alstn8119@naver.com</t>
  </si>
  <si>
    <t>UQ0124</t>
  </si>
  <si>
    <t>990118-2691513</t>
  </si>
  <si>
    <t>구나영</t>
  </si>
  <si>
    <t>61580104325674</t>
  </si>
  <si>
    <t>rnskdud0118@naver.com</t>
  </si>
  <si>
    <t>UQ0125</t>
  </si>
  <si>
    <t>961129-1121218</t>
  </si>
  <si>
    <t>정은호</t>
  </si>
  <si>
    <t>3120134839801</t>
  </si>
  <si>
    <t>miso9118@naver.com</t>
  </si>
  <si>
    <t>UQ0126</t>
  </si>
  <si>
    <t>960223-2127115</t>
  </si>
  <si>
    <t>김아름</t>
  </si>
  <si>
    <t>3333060684526</t>
  </si>
  <si>
    <t>dkfma8981@naver.com</t>
  </si>
  <si>
    <t>UQ0127</t>
  </si>
  <si>
    <t>971121-2095512</t>
  </si>
  <si>
    <t>곽재희</t>
  </si>
  <si>
    <t>1012033119405</t>
  </si>
  <si>
    <t>rhkrwogml1231@daum.net</t>
  </si>
  <si>
    <t>UQ0128</t>
  </si>
  <si>
    <t>950317-1829828</t>
  </si>
  <si>
    <t>백기홍</t>
  </si>
  <si>
    <t>3524391257993</t>
  </si>
  <si>
    <t>rlghd2579@naver.com</t>
  </si>
  <si>
    <t>UQ0129</t>
  </si>
  <si>
    <t>970307-2860417</t>
  </si>
  <si>
    <t>1012036821004</t>
  </si>
  <si>
    <t>enri037@naver.com</t>
  </si>
  <si>
    <t>UQ0130</t>
  </si>
  <si>
    <t>930610-2679915</t>
  </si>
  <si>
    <t>정경민</t>
  </si>
  <si>
    <t>83980201413748</t>
  </si>
  <si>
    <t>eve06010@naver.com</t>
  </si>
  <si>
    <t>UQ0131</t>
  </si>
  <si>
    <t>961019-1301012</t>
  </si>
  <si>
    <t>박현수</t>
  </si>
  <si>
    <t>35770204159532</t>
  </si>
  <si>
    <t>phyeonsoo96@naver.com</t>
  </si>
  <si>
    <t>UQ0132</t>
  </si>
  <si>
    <t>940830-1407818</t>
  </si>
  <si>
    <t>김승준</t>
  </si>
  <si>
    <t>53130104141967</t>
  </si>
  <si>
    <t>seungjoon9483@gmail.com</t>
  </si>
  <si>
    <t>UQ0133</t>
  </si>
  <si>
    <t>951106-1678420</t>
  </si>
  <si>
    <t>조민수</t>
  </si>
  <si>
    <t>64590204327380</t>
  </si>
  <si>
    <t>cms951106@naver.com</t>
  </si>
  <si>
    <t>UQ0134</t>
  </si>
  <si>
    <t>911210-1785411</t>
  </si>
  <si>
    <t>임후상</t>
  </si>
  <si>
    <t>63100104240148</t>
  </si>
  <si>
    <t>lhs8503@hanmail.net</t>
  </si>
  <si>
    <t>UQ0135</t>
  </si>
  <si>
    <t>990427-2106418</t>
  </si>
  <si>
    <t>김경화</t>
  </si>
  <si>
    <t>10980204204215</t>
  </si>
  <si>
    <t>kimkuonghwa990427@naver.com</t>
  </si>
  <si>
    <t>UQ0136</t>
  </si>
  <si>
    <t>970205-2686111</t>
  </si>
  <si>
    <t>한혜민</t>
  </si>
  <si>
    <t>3333125426401</t>
  </si>
  <si>
    <t>gksgpals204@naver.com</t>
  </si>
  <si>
    <t>UQ0137</t>
  </si>
  <si>
    <t>991023-2853911</t>
  </si>
  <si>
    <t>최소희</t>
  </si>
  <si>
    <t>61870104264950</t>
  </si>
  <si>
    <t>cj88378837@gmail.com</t>
  </si>
  <si>
    <t>UQ0138</t>
  </si>
  <si>
    <t>961127-1690818</t>
  </si>
  <si>
    <t>윤수현</t>
  </si>
  <si>
    <t>61740204126793</t>
  </si>
  <si>
    <t>retro7781@naver.com</t>
  </si>
  <si>
    <t>UQ0139</t>
  </si>
  <si>
    <t>971231-1241118</t>
  </si>
  <si>
    <t>이대민</t>
  </si>
  <si>
    <t>94030200197381</t>
  </si>
  <si>
    <t>akfforhd2@gmail.com</t>
  </si>
  <si>
    <t>UQ0140</t>
  </si>
  <si>
    <t>971126-2918422</t>
  </si>
  <si>
    <t>정도경</t>
  </si>
  <si>
    <t>3010091550411</t>
  </si>
  <si>
    <t>dg2018@naver.com</t>
  </si>
  <si>
    <t>UQ0141</t>
  </si>
  <si>
    <t>940418-1904611</t>
  </si>
  <si>
    <t>신요셉</t>
  </si>
  <si>
    <t>21100104406968</t>
  </si>
  <si>
    <t>sosos0418@hanmail.net</t>
  </si>
  <si>
    <t>UQ0142</t>
  </si>
  <si>
    <t>950929-1119912</t>
  </si>
  <si>
    <t>김재호</t>
  </si>
  <si>
    <t>01049215205</t>
  </si>
  <si>
    <t>wogh098@gmail.com</t>
  </si>
  <si>
    <t>UQ0143</t>
  </si>
  <si>
    <t>930324-1095911</t>
  </si>
  <si>
    <t>578210257998</t>
  </si>
  <si>
    <t>hayeacc@naver.com</t>
  </si>
  <si>
    <t>UQ0144</t>
  </si>
  <si>
    <t>980707-1685321</t>
  </si>
  <si>
    <t>정선우</t>
  </si>
  <si>
    <t>60350104166906</t>
  </si>
  <si>
    <t>23gaz@naver.com</t>
  </si>
  <si>
    <t>UQ0145</t>
  </si>
  <si>
    <t>770220-2821317</t>
  </si>
  <si>
    <t>이안나</t>
  </si>
  <si>
    <t>65980104391688</t>
  </si>
  <si>
    <t>jugamu@naver.com</t>
  </si>
  <si>
    <t>UQ0146</t>
  </si>
  <si>
    <t>860223-1824526</t>
  </si>
  <si>
    <t>김병수</t>
  </si>
  <si>
    <t>84240202013929</t>
  </si>
  <si>
    <t>kbs4468@naver.com</t>
  </si>
  <si>
    <t>UQ0147</t>
  </si>
  <si>
    <t>930817-2696713</t>
  </si>
  <si>
    <t>배현지</t>
  </si>
  <si>
    <t>paps0706@naver.com</t>
  </si>
  <si>
    <t>UQ0148</t>
  </si>
  <si>
    <t>990714-1710817</t>
  </si>
  <si>
    <t>김연춘</t>
  </si>
  <si>
    <t>94030200527500</t>
  </si>
  <si>
    <t>duscns2993@gmail.com</t>
  </si>
  <si>
    <t>UQ0149</t>
  </si>
  <si>
    <t>970510-2683711</t>
  </si>
  <si>
    <t>송현아</t>
  </si>
  <si>
    <t>110518980393</t>
  </si>
  <si>
    <t>gkrtks1109@naver.com</t>
  </si>
  <si>
    <t>UQ0150</t>
  </si>
  <si>
    <t>911206-1914717</t>
  </si>
  <si>
    <t>김재림</t>
  </si>
  <si>
    <t>84240101882932</t>
  </si>
  <si>
    <t>wofal123@nate.com</t>
  </si>
  <si>
    <t>UQ0151</t>
  </si>
  <si>
    <t>000510-4860418</t>
  </si>
  <si>
    <t>84240202325134</t>
  </si>
  <si>
    <t>gwtht668@naver.com</t>
  </si>
  <si>
    <t>UQ0152</t>
  </si>
  <si>
    <t>900518-2121631</t>
  </si>
  <si>
    <t>김유진</t>
  </si>
  <si>
    <t>56630201162382</t>
  </si>
  <si>
    <t>000333yj@naver.com</t>
  </si>
  <si>
    <t>UQ0153</t>
  </si>
  <si>
    <t>920807-1095112</t>
  </si>
  <si>
    <t>강동훈</t>
  </si>
  <si>
    <t>11820104226791</t>
  </si>
  <si>
    <t>kao0807@naver.com</t>
  </si>
  <si>
    <t>UQ0154</t>
  </si>
  <si>
    <t>770227-2322311</t>
  </si>
  <si>
    <t>김인영</t>
  </si>
  <si>
    <t>dewfall27@hanmail.net</t>
  </si>
  <si>
    <t>UQ0155</t>
  </si>
  <si>
    <t>981206-1113417</t>
  </si>
  <si>
    <t>신현석</t>
  </si>
  <si>
    <t>03450204303928</t>
  </si>
  <si>
    <t>dajtw@naver.com</t>
  </si>
  <si>
    <t>UQ0156</t>
  </si>
  <si>
    <t>971001-2684812</t>
  </si>
  <si>
    <t>정성윤</t>
  </si>
  <si>
    <t>3333083541026</t>
  </si>
  <si>
    <t>aswjd77@naver.com</t>
  </si>
  <si>
    <t>990213-1410811</t>
  </si>
  <si>
    <t>80420201301964</t>
  </si>
  <si>
    <t>dds05081@naver.com</t>
  </si>
  <si>
    <t>UQ0158</t>
  </si>
  <si>
    <t>960824-2236510</t>
  </si>
  <si>
    <t>김윤지</t>
  </si>
  <si>
    <t>96270101394799</t>
  </si>
  <si>
    <t>tb03129@naver.com</t>
  </si>
  <si>
    <t>970429-2790219</t>
  </si>
  <si>
    <t>61870104268028</t>
  </si>
  <si>
    <t>apple32018465@gmail.com</t>
  </si>
  <si>
    <t>UQ0160</t>
  </si>
  <si>
    <t>970922-2683917</t>
  </si>
  <si>
    <t>차민선</t>
  </si>
  <si>
    <t>59600204148117</t>
  </si>
  <si>
    <t>ckalstjs97@naver.com</t>
  </si>
  <si>
    <t>UQ0161</t>
  </si>
  <si>
    <t>960214-1678111</t>
  </si>
  <si>
    <t>김상호</t>
  </si>
  <si>
    <t>ds050321@naver.com</t>
  </si>
  <si>
    <t>UQ0162</t>
  </si>
  <si>
    <t>980917-1792011</t>
  </si>
  <si>
    <t>11080204401595</t>
  </si>
  <si>
    <t>rboxokim1@naver.com</t>
  </si>
  <si>
    <t>UQ0163</t>
  </si>
  <si>
    <t>980207-1690919</t>
  </si>
  <si>
    <t>김동영</t>
  </si>
  <si>
    <t>94030200216657</t>
  </si>
  <si>
    <t>kdyaim@hanmail.net</t>
  </si>
  <si>
    <t>UQ0164</t>
  </si>
  <si>
    <t>970623-2796318</t>
  </si>
  <si>
    <t>이혜원</t>
  </si>
  <si>
    <t>3333035648219</t>
  </si>
  <si>
    <t>hyew623@daum.net</t>
  </si>
  <si>
    <t>UQ0165</t>
  </si>
  <si>
    <t>991212-1692929</t>
  </si>
  <si>
    <t>구대현</t>
  </si>
  <si>
    <t>94030200623006</t>
  </si>
  <si>
    <t>dwc06202@naver.com</t>
  </si>
  <si>
    <t>UQ0166</t>
  </si>
  <si>
    <t>941118-1860310</t>
  </si>
  <si>
    <t>김균석</t>
  </si>
  <si>
    <t>071</t>
  </si>
  <si>
    <t>우체국</t>
  </si>
  <si>
    <t>61355402127770</t>
  </si>
  <si>
    <t>clsal24@gmail.com</t>
  </si>
  <si>
    <t>UQ0167</t>
  </si>
  <si>
    <t>980417-1865418</t>
  </si>
  <si>
    <t>유성현</t>
  </si>
  <si>
    <t>3333078371444</t>
  </si>
  <si>
    <t>alswns7572@naver.com</t>
  </si>
  <si>
    <t>UQ0168</t>
  </si>
  <si>
    <t>991226-1676510</t>
  </si>
  <si>
    <t>이유진</t>
  </si>
  <si>
    <t>94030200514098</t>
  </si>
  <si>
    <t>dbwlsdl195@naver.com</t>
  </si>
  <si>
    <t>UQ0169</t>
  </si>
  <si>
    <t>920522-1870514</t>
  </si>
  <si>
    <t>방대원</t>
  </si>
  <si>
    <t>86150101550263</t>
  </si>
  <si>
    <t>unine92@gmail.com</t>
  </si>
  <si>
    <t>UQ0170</t>
  </si>
  <si>
    <t>920917-1823511</t>
  </si>
  <si>
    <t>김효진</t>
  </si>
  <si>
    <t>84240101889001</t>
  </si>
  <si>
    <t>uing123@naver.com</t>
  </si>
  <si>
    <t>UQ0171</t>
  </si>
  <si>
    <t>940927-1917213</t>
  </si>
  <si>
    <t>이준효</t>
  </si>
  <si>
    <t>84240101888877</t>
  </si>
  <si>
    <t>leejuhnhyo@naver.com</t>
  </si>
  <si>
    <t>UQ0172</t>
  </si>
  <si>
    <t>930206-1821218</t>
  </si>
  <si>
    <t>정우제</t>
  </si>
  <si>
    <t>86570201261548</t>
  </si>
  <si>
    <t>gintous@naver.com</t>
  </si>
  <si>
    <t>UQ0173</t>
  </si>
  <si>
    <t>010818-3865921</t>
  </si>
  <si>
    <t>류태용</t>
  </si>
  <si>
    <t>96940100059997</t>
  </si>
  <si>
    <t>smxcz3524@iicloud.com</t>
  </si>
  <si>
    <t>UQ0174</t>
  </si>
  <si>
    <t>960601-1691111</t>
  </si>
  <si>
    <t>이상빈</t>
  </si>
  <si>
    <t>508113397403</t>
  </si>
  <si>
    <t>x22710@nate.com</t>
  </si>
  <si>
    <t>UQ0175</t>
  </si>
  <si>
    <t>980225-2409932</t>
  </si>
  <si>
    <t>박성예</t>
  </si>
  <si>
    <t>9003246466137</t>
  </si>
  <si>
    <t>jiwoowoo9805@gmail.com</t>
  </si>
  <si>
    <t>UQ0176</t>
  </si>
  <si>
    <t>921220-1126816</t>
  </si>
  <si>
    <t>강용모</t>
  </si>
  <si>
    <t>110323193550</t>
  </si>
  <si>
    <t>gangmo123@gmail.com</t>
  </si>
  <si>
    <t>UQ0177</t>
  </si>
  <si>
    <t>881202-1106418</t>
  </si>
  <si>
    <t>김만</t>
  </si>
  <si>
    <t>13020204165167</t>
  </si>
  <si>
    <t>KIPSKILL@naver.com</t>
  </si>
  <si>
    <t>UQ0178</t>
  </si>
  <si>
    <t>960626-1686025</t>
  </si>
  <si>
    <t>안성훈</t>
  </si>
  <si>
    <t>508122466751</t>
  </si>
  <si>
    <t>huny321@naver.com</t>
  </si>
  <si>
    <t>UQ0179</t>
  </si>
  <si>
    <t>961102-2697947</t>
  </si>
  <si>
    <t>이유나</t>
  </si>
  <si>
    <t>3520778167863</t>
  </si>
  <si>
    <t>yu_n_me112@naver.com</t>
  </si>
  <si>
    <t>UQ0180</t>
  </si>
  <si>
    <t>981014-2410821</t>
  </si>
  <si>
    <t>김도들빛</t>
  </si>
  <si>
    <t>96270201371890</t>
  </si>
  <si>
    <t>rlaehemfglc@naver.com</t>
  </si>
  <si>
    <t>890304-1727512</t>
  </si>
  <si>
    <t>9003266854881</t>
  </si>
  <si>
    <t>blacksky611@naver.com</t>
  </si>
  <si>
    <t>UQ0182</t>
  </si>
  <si>
    <t>920525-1908315</t>
  </si>
  <si>
    <t>박민준</t>
  </si>
  <si>
    <t>110343998930</t>
  </si>
  <si>
    <t>mape123@naver.com</t>
  </si>
  <si>
    <t>UQ0183</t>
  </si>
  <si>
    <t>971013-1109813</t>
  </si>
  <si>
    <t>정지원</t>
  </si>
  <si>
    <t>110467385859</t>
  </si>
  <si>
    <t>xp9303230@naver.com</t>
  </si>
  <si>
    <t>UQ0184</t>
  </si>
  <si>
    <t>971215-2085510</t>
  </si>
  <si>
    <t>최연수</t>
  </si>
  <si>
    <t>80130201778581</t>
  </si>
  <si>
    <t>holnew@naver.com</t>
  </si>
  <si>
    <t>UQ0185</t>
  </si>
  <si>
    <t>981122-1914215</t>
  </si>
  <si>
    <t>백승준</t>
  </si>
  <si>
    <t>2210086150901</t>
  </si>
  <si>
    <t>bsj6361@naver.com</t>
  </si>
  <si>
    <t>UQ0186</t>
  </si>
  <si>
    <t>980221-2685811</t>
  </si>
  <si>
    <t>송소영</t>
  </si>
  <si>
    <t>508116007935</t>
  </si>
  <si>
    <t>fktyd98@naver.com</t>
  </si>
  <si>
    <t>941223-1229911</t>
  </si>
  <si>
    <t>110398844456</t>
  </si>
  <si>
    <t>10birdki@naver.com</t>
  </si>
  <si>
    <t>840108-1006220</t>
  </si>
  <si>
    <t>110251247900</t>
  </si>
  <si>
    <t>maengyl@naver.com</t>
  </si>
  <si>
    <t>910415-1692814</t>
  </si>
  <si>
    <t>46150104250144</t>
  </si>
  <si>
    <t>nty1004na@naver.com</t>
  </si>
  <si>
    <t>910627-1106311</t>
  </si>
  <si>
    <t>50791037685207</t>
  </si>
  <si>
    <t>seungpyo1991@gmail.com</t>
  </si>
  <si>
    <t>UQ0191</t>
  </si>
  <si>
    <t>3521774854913</t>
  </si>
  <si>
    <t>dianharmony9@gmail.com</t>
  </si>
  <si>
    <t>UQ0192</t>
  </si>
  <si>
    <t>020510-3823718</t>
  </si>
  <si>
    <t>박지훈</t>
  </si>
  <si>
    <t>13589123972707</t>
  </si>
  <si>
    <t>asdjkl11221@gmail.com</t>
  </si>
  <si>
    <t>UQ0193</t>
  </si>
  <si>
    <t>960718-1096015</t>
  </si>
  <si>
    <t>조현우</t>
  </si>
  <si>
    <t>3510318465173</t>
  </si>
  <si>
    <t>tmdhkwlf1234@naver.com</t>
  </si>
  <si>
    <t>UQ0194</t>
  </si>
  <si>
    <t>921122-1110613</t>
  </si>
  <si>
    <t>정동준</t>
  </si>
  <si>
    <t>91079332563</t>
  </si>
  <si>
    <t>zerg6848@gmail.com</t>
  </si>
  <si>
    <t>UQ0195</t>
  </si>
  <si>
    <t>950405-1122919</t>
  </si>
  <si>
    <t>류재웅</t>
  </si>
  <si>
    <t>110412067867</t>
  </si>
  <si>
    <t>jaeung3016@naver.com</t>
  </si>
  <si>
    <t>UQ0196</t>
  </si>
  <si>
    <t>980720-2105318</t>
  </si>
  <si>
    <t>양주영</t>
  </si>
  <si>
    <t>56340101290601</t>
  </si>
  <si>
    <t>uyoung1894@gmail.com</t>
  </si>
  <si>
    <t>950308-1840919</t>
  </si>
  <si>
    <t>96270201432331</t>
  </si>
  <si>
    <t>hjiwoong@nate.com</t>
  </si>
  <si>
    <t>020510-3823911</t>
  </si>
  <si>
    <t>98004423501014</t>
  </si>
  <si>
    <t>mj780312@naver.com</t>
  </si>
  <si>
    <t>940113-1177311</t>
  </si>
  <si>
    <t>53902159401019</t>
  </si>
  <si>
    <t>raccoon_kyu@naver.com</t>
  </si>
  <si>
    <t>UQ0200</t>
  </si>
  <si>
    <t>970204-1815018</t>
  </si>
  <si>
    <t>최권수</t>
  </si>
  <si>
    <t>93930200136719</t>
  </si>
  <si>
    <t>rnjst73507@naver.com</t>
  </si>
  <si>
    <t>020926-4685719</t>
  </si>
  <si>
    <t>81650201323774</t>
  </si>
  <si>
    <t>k23255146@gmail.com</t>
  </si>
  <si>
    <t>UQ0202</t>
  </si>
  <si>
    <t>860916-2125721</t>
  </si>
  <si>
    <t>정희윤</t>
  </si>
  <si>
    <t>12500104115495</t>
  </si>
  <si>
    <t>bright_jesus@naver.com</t>
  </si>
  <si>
    <t>920225-1127633</t>
  </si>
  <si>
    <t>92562009758</t>
  </si>
  <si>
    <t>yesung642@naver.com</t>
  </si>
  <si>
    <t>921002-1124135</t>
  </si>
  <si>
    <t>007</t>
  </si>
  <si>
    <t>수협중앙회</t>
  </si>
  <si>
    <t>001039414105</t>
  </si>
  <si>
    <t>cjswlakswl@hanmail.net</t>
  </si>
  <si>
    <t>950307-2822227</t>
  </si>
  <si>
    <t>10430204322716</t>
  </si>
  <si>
    <t>qkrdmsgk95@naver.com</t>
  </si>
  <si>
    <t>940625-1233610</t>
  </si>
  <si>
    <t>83702051031809</t>
  </si>
  <si>
    <t>rudals45785@naver.com</t>
  </si>
  <si>
    <t>901210-2860533</t>
  </si>
  <si>
    <t>13730204202931</t>
  </si>
  <si>
    <t>tnrtnr90@naver.com</t>
  </si>
  <si>
    <t>970820-2094011</t>
  </si>
  <si>
    <t>56470101570395</t>
  </si>
  <si>
    <t>dahee2862@naver.com</t>
  </si>
  <si>
    <t>991103-1685237</t>
  </si>
  <si>
    <t>3025801538831</t>
  </si>
  <si>
    <t>eogur5388@naver.com</t>
  </si>
  <si>
    <t>890108-1853139</t>
  </si>
  <si>
    <t>85500101321323</t>
  </si>
  <si>
    <t>showwolf0220@gmail.com</t>
  </si>
  <si>
    <t>UQ0211</t>
  </si>
  <si>
    <t>961218-1703610</t>
  </si>
  <si>
    <t>김상목</t>
  </si>
  <si>
    <t>110532302743</t>
  </si>
  <si>
    <t>tkdahr6515@gmail.com</t>
  </si>
  <si>
    <t>UQ0212</t>
  </si>
  <si>
    <t>870525-1822411</t>
  </si>
  <si>
    <t>이상익</t>
  </si>
  <si>
    <t>65140204140500</t>
  </si>
  <si>
    <t>winemoon7@naver.com</t>
  </si>
  <si>
    <t>UQ0213</t>
  </si>
  <si>
    <t>970331-1095412</t>
  </si>
  <si>
    <t>최민수</t>
  </si>
  <si>
    <t>93930200012828</t>
  </si>
  <si>
    <t>a01034640331@gmail.com</t>
  </si>
  <si>
    <t>UQ0214</t>
  </si>
  <si>
    <t>000519-3124518</t>
  </si>
  <si>
    <t>백승제</t>
  </si>
  <si>
    <t>97904519501017</t>
  </si>
  <si>
    <t>jetback@naver.com</t>
  </si>
  <si>
    <t>WF0000</t>
  </si>
  <si>
    <t>851002-1558611</t>
  </si>
  <si>
    <t>석건후</t>
  </si>
  <si>
    <t>77260101669982</t>
  </si>
  <si>
    <t>ckdtjqtjr@gmail.com</t>
  </si>
  <si>
    <t>WF0001</t>
  </si>
  <si>
    <t>850513-1462410</t>
  </si>
  <si>
    <t>강성길</t>
  </si>
  <si>
    <t>79750101403226</t>
  </si>
  <si>
    <t>blackksg01@naver.com</t>
  </si>
  <si>
    <t>WF0002</t>
  </si>
  <si>
    <t>940923-1644029</t>
  </si>
  <si>
    <t>김민국</t>
  </si>
  <si>
    <t>79750101403198</t>
  </si>
  <si>
    <t>alsrnr9995@gmail.com</t>
  </si>
  <si>
    <t>WF0003</t>
  </si>
  <si>
    <t>920830-1553518</t>
  </si>
  <si>
    <t>류상백</t>
  </si>
  <si>
    <t>21780204391827</t>
  </si>
  <si>
    <t>fbtkdqor@naver.com</t>
  </si>
  <si>
    <t>WF0004</t>
  </si>
  <si>
    <t>860613-1069011</t>
  </si>
  <si>
    <t>박진옥</t>
  </si>
  <si>
    <t>55860104323751</t>
  </si>
  <si>
    <t>koreab3@naver.com</t>
  </si>
  <si>
    <t>WF0005</t>
  </si>
  <si>
    <t>930406-1500412</t>
  </si>
  <si>
    <t>이종혁</t>
  </si>
  <si>
    <t>74210200087899</t>
  </si>
  <si>
    <t>whdgur1596@naver.com</t>
  </si>
  <si>
    <t>WF0006</t>
  </si>
  <si>
    <t>900410-1483312</t>
  </si>
  <si>
    <t>류재민</t>
  </si>
  <si>
    <t>33291027758407</t>
  </si>
  <si>
    <t>ppolop123@naver.com</t>
  </si>
  <si>
    <t>WF0007</t>
  </si>
  <si>
    <t>991016-2056915</t>
  </si>
  <si>
    <t>전유빈</t>
  </si>
  <si>
    <t>77130101779770</t>
  </si>
  <si>
    <t>dbqlsl375@naver.com</t>
  </si>
  <si>
    <t>WF0008</t>
  </si>
  <si>
    <t>951117-1552517</t>
  </si>
  <si>
    <t>유민환</t>
  </si>
  <si>
    <t>77130201499145</t>
  </si>
  <si>
    <t>hoho487@naver.com</t>
  </si>
  <si>
    <t>WF0009</t>
  </si>
  <si>
    <t>950627-1222229</t>
  </si>
  <si>
    <t>김영빈</t>
  </si>
  <si>
    <t>76610101472725</t>
  </si>
  <si>
    <t>rladudqls0821@naver.com</t>
  </si>
  <si>
    <t>WF0010</t>
  </si>
  <si>
    <t>970313-1559213</t>
  </si>
  <si>
    <t>진수빈</t>
  </si>
  <si>
    <t>77130201584021</t>
  </si>
  <si>
    <t>jsb2202@naver.com</t>
  </si>
  <si>
    <t>WF0011</t>
  </si>
  <si>
    <t>941207-1627925</t>
  </si>
  <si>
    <t>김용만</t>
  </si>
  <si>
    <t>77130101782505</t>
  </si>
  <si>
    <t>tmfflavosej8@naver.com</t>
  </si>
  <si>
    <t>WF0012</t>
  </si>
  <si>
    <t>940101-2668011</t>
  </si>
  <si>
    <t>고아윤</t>
  </si>
  <si>
    <t>77680201157176</t>
  </si>
  <si>
    <t>rhwlzz@gmail.com</t>
  </si>
  <si>
    <t>WF0013</t>
  </si>
  <si>
    <t>940209-1581210</t>
  </si>
  <si>
    <t>77130101784976</t>
  </si>
  <si>
    <t>rlaalstn752@naver.com</t>
  </si>
  <si>
    <t>WF0014</t>
  </si>
  <si>
    <t>970403-2562011</t>
  </si>
  <si>
    <t>곽진주</t>
  </si>
  <si>
    <t>91640201172937</t>
  </si>
  <si>
    <t>rhkrwlswn97@naver.com</t>
  </si>
  <si>
    <t>WF0015</t>
  </si>
  <si>
    <t>960504-2626513</t>
  </si>
  <si>
    <t>박민영</t>
  </si>
  <si>
    <t>55730204139345</t>
  </si>
  <si>
    <t>qkralsdud673@naver.com</t>
  </si>
  <si>
    <t>WF0016</t>
  </si>
  <si>
    <t>901024-1567919</t>
  </si>
  <si>
    <t>유근철</t>
  </si>
  <si>
    <t>74050200177097</t>
  </si>
  <si>
    <t>looksouler@naver.com</t>
  </si>
  <si>
    <t>WF0017</t>
  </si>
  <si>
    <t>881204-2580919</t>
  </si>
  <si>
    <t>김나래</t>
  </si>
  <si>
    <t>44790104147310</t>
  </si>
  <si>
    <t>bongnarae@naver.com</t>
  </si>
  <si>
    <t>WF0018</t>
  </si>
  <si>
    <t>940206-1850917</t>
  </si>
  <si>
    <t>박정민</t>
  </si>
  <si>
    <t>78940101738055</t>
  </si>
  <si>
    <t>ggo886@naver.com</t>
  </si>
  <si>
    <t>WF0019</t>
  </si>
  <si>
    <t>961104-2654817</t>
  </si>
  <si>
    <t>최이삭</t>
  </si>
  <si>
    <t>048</t>
  </si>
  <si>
    <t>신협</t>
  </si>
  <si>
    <t>132097700454</t>
  </si>
  <si>
    <t>2sak1104@naver.com</t>
  </si>
  <si>
    <t>WF0020</t>
  </si>
  <si>
    <t>841217-1568210</t>
  </si>
  <si>
    <t>조용택</t>
  </si>
  <si>
    <t>58030104154976</t>
  </si>
  <si>
    <t>cytzzang3934@naver.com</t>
  </si>
  <si>
    <t>WF0021</t>
  </si>
  <si>
    <t>951224-2899112</t>
  </si>
  <si>
    <t>김다빈</t>
  </si>
  <si>
    <t>3561387555973</t>
  </si>
  <si>
    <t>kdb3237@naver.com</t>
  </si>
  <si>
    <t>WF0022</t>
  </si>
  <si>
    <t>951225-1020319</t>
  </si>
  <si>
    <t>신용석</t>
  </si>
  <si>
    <t>77130101740439</t>
  </si>
  <si>
    <t>dydtjr2559@naver.com</t>
  </si>
  <si>
    <t>WF0023</t>
  </si>
  <si>
    <t>950313-2155717</t>
  </si>
  <si>
    <t>고민희</t>
  </si>
  <si>
    <t>55730104341127</t>
  </si>
  <si>
    <t>kominhee95@naver.com</t>
  </si>
  <si>
    <t>WF0024</t>
  </si>
  <si>
    <t>000916-4019112</t>
  </si>
  <si>
    <t>전혜민</t>
  </si>
  <si>
    <t>3333136434076</t>
  </si>
  <si>
    <t>jeon6160@naver.com</t>
  </si>
  <si>
    <t>WF0025</t>
  </si>
  <si>
    <t>951231-1580510</t>
  </si>
  <si>
    <t>전민우</t>
  </si>
  <si>
    <t>98061934565</t>
  </si>
  <si>
    <t>a5742345@naver.com</t>
  </si>
  <si>
    <t>WF0026</t>
  </si>
  <si>
    <t>940503-1555315</t>
  </si>
  <si>
    <t>조성혁</t>
  </si>
  <si>
    <t>034</t>
  </si>
  <si>
    <t>광주은행</t>
  </si>
  <si>
    <t>179107030113</t>
  </si>
  <si>
    <t>mark6485@naver.com</t>
  </si>
  <si>
    <t>WF0027</t>
  </si>
  <si>
    <t>931004-1624214</t>
  </si>
  <si>
    <t>정성재</t>
  </si>
  <si>
    <t>77130101594492</t>
  </si>
  <si>
    <t>WF0028</t>
  </si>
  <si>
    <t>970213-2005810</t>
  </si>
  <si>
    <t>78940201463965</t>
  </si>
  <si>
    <t>eksqkfrkek@naver.com</t>
  </si>
  <si>
    <t>WF0029</t>
  </si>
  <si>
    <t>931122-1471238</t>
  </si>
  <si>
    <t>선보민</t>
  </si>
  <si>
    <t>3333049094573</t>
  </si>
  <si>
    <t>micky7394@naver.com</t>
  </si>
  <si>
    <t>WF0030</t>
  </si>
  <si>
    <t>931126-1559012</t>
  </si>
  <si>
    <t>장진우</t>
  </si>
  <si>
    <t>58030104400264</t>
  </si>
  <si>
    <t>ghfaosqneo@naver.com</t>
  </si>
  <si>
    <t>WF0031</t>
  </si>
  <si>
    <t>991117-2580615</t>
  </si>
  <si>
    <t>정다인</t>
  </si>
  <si>
    <t>77130101802188</t>
  </si>
  <si>
    <t>dnaldald@naver.com</t>
  </si>
  <si>
    <t>WF0032</t>
  </si>
  <si>
    <t>011017-4641422</t>
  </si>
  <si>
    <t>최유정</t>
  </si>
  <si>
    <t>77130201592710</t>
  </si>
  <si>
    <t>tkdydwk483@naver.com</t>
  </si>
  <si>
    <t>WF0033</t>
  </si>
  <si>
    <t>991204-2574510</t>
  </si>
  <si>
    <t>서민서</t>
  </si>
  <si>
    <t>55990104378952</t>
  </si>
  <si>
    <t>sms3776@naver.com</t>
  </si>
  <si>
    <t>WF0034</t>
  </si>
  <si>
    <t>010120-4561425</t>
  </si>
  <si>
    <t>정혜인</t>
  </si>
  <si>
    <t>77420101477439</t>
  </si>
  <si>
    <t>jjc6033@naver.com</t>
  </si>
  <si>
    <t>WF0035</t>
  </si>
  <si>
    <t>970605-2647919</t>
  </si>
  <si>
    <t>윤지현</t>
  </si>
  <si>
    <t>77130101783429</t>
  </si>
  <si>
    <t>dbswlgus65@naver.com</t>
  </si>
  <si>
    <t>WF0036</t>
  </si>
  <si>
    <t>980323-1555312</t>
  </si>
  <si>
    <t>이성연</t>
  </si>
  <si>
    <t>94450200256875</t>
  </si>
  <si>
    <t>sungyeon9473@naver.com</t>
  </si>
  <si>
    <t>WF0037</t>
  </si>
  <si>
    <t>970504-2562011</t>
  </si>
  <si>
    <t>김지우</t>
  </si>
  <si>
    <t>3022288707461</t>
  </si>
  <si>
    <t>lllllove4@naver.com</t>
  </si>
  <si>
    <t>WF0038</t>
  </si>
  <si>
    <t>980725-1561214</t>
  </si>
  <si>
    <t>민요한</t>
  </si>
  <si>
    <t>77260101723932</t>
  </si>
  <si>
    <t>alsdy2ks123@naver.com</t>
  </si>
  <si>
    <t>P0143217B</t>
  </si>
  <si>
    <t>나이스홈마트온산점</t>
  </si>
  <si>
    <t>MSF</t>
  </si>
  <si>
    <t>정기후원</t>
  </si>
  <si>
    <t>출금완료</t>
  </si>
  <si>
    <t>PN-UQ0001-UQ0043-UQ0155</t>
  </si>
  <si>
    <t>2022-04</t>
  </si>
  <si>
    <t>P0143349B</t>
  </si>
  <si>
    <t>남지하나로마트본점</t>
  </si>
  <si>
    <t>PN-UQ0001-UQ0043-UQ0108</t>
  </si>
  <si>
    <t>P0093095B</t>
  </si>
  <si>
    <t>통도마트신평점</t>
  </si>
  <si>
    <t>PN-UQ0001-UQ0043-UQ0150</t>
  </si>
  <si>
    <t>P0096814B</t>
  </si>
  <si>
    <t>진동농협하나로마트</t>
  </si>
  <si>
    <t>P0141964B</t>
  </si>
  <si>
    <t>홈플러스익스프레스인천오류점</t>
  </si>
  <si>
    <t>PN-AM0001-AM0002</t>
  </si>
  <si>
    <t>PN0032576</t>
  </si>
  <si>
    <t>춘해병원</t>
  </si>
  <si>
    <t>OXFAM</t>
  </si>
  <si>
    <t>PN-UQ0204-UQ0205</t>
  </si>
  <si>
    <t>PN0032503</t>
  </si>
  <si>
    <t>다이소통영항남점</t>
  </si>
  <si>
    <t>취소</t>
  </si>
  <si>
    <t>P0140695B</t>
  </si>
  <si>
    <t>탑마트양산북정점</t>
  </si>
  <si>
    <t>PN-UQ0001-UQ0043</t>
  </si>
  <si>
    <t>P0142586B</t>
  </si>
  <si>
    <t>광장코아종합상가</t>
  </si>
  <si>
    <t>PN-UQ0001-UQ0024-UQ0159</t>
  </si>
  <si>
    <t>PN0032602</t>
  </si>
  <si>
    <t>정보오류</t>
  </si>
  <si>
    <t>PN-UQ0204</t>
  </si>
  <si>
    <t>PN0030205</t>
  </si>
  <si>
    <t>다이소본일산점</t>
  </si>
  <si>
    <t>일시후원</t>
  </si>
  <si>
    <t>PN-AM0001-AM0048-AM0121</t>
  </si>
  <si>
    <t>P0142060B</t>
  </si>
  <si>
    <t>다이소김해율하2호점</t>
  </si>
  <si>
    <t>PN0032651</t>
  </si>
  <si>
    <t>진주시외버스터미널</t>
  </si>
  <si>
    <t>PN-UQ0204-UQ0205-UQ0206</t>
  </si>
  <si>
    <t>PN0032652</t>
  </si>
  <si>
    <t>PN0032703</t>
  </si>
  <si>
    <t>진건농협용정지점</t>
  </si>
  <si>
    <t>PN-AM0001-AM0048</t>
  </si>
  <si>
    <t>P0142066B</t>
  </si>
  <si>
    <t>다이소양산남부시장점</t>
  </si>
  <si>
    <t>PN-UQ0001-UQ0043-UQ0153</t>
  </si>
  <si>
    <t>PN0032646</t>
  </si>
  <si>
    <t>다이소동성로점</t>
  </si>
  <si>
    <t>P0141673B</t>
  </si>
  <si>
    <t>예천축협한우프라자</t>
  </si>
  <si>
    <t>PN-UQ0001-UQ0024-UQ0157</t>
  </si>
  <si>
    <t>P0141671B</t>
  </si>
  <si>
    <t>이마트에브리데이성주점</t>
  </si>
  <si>
    <t>PN0032362</t>
  </si>
  <si>
    <t>롯데슈퍼고양삼송점</t>
  </si>
  <si>
    <t>PN0030899</t>
  </si>
  <si>
    <t>구포역</t>
  </si>
  <si>
    <t>P0154084B</t>
  </si>
  <si>
    <t>이마트김천점</t>
  </si>
  <si>
    <t>P0142644B</t>
  </si>
  <si>
    <t>PN-UQ0001-UQ0024-UQ0123</t>
  </si>
  <si>
    <t>P0142647B</t>
  </si>
  <si>
    <t>서문시장</t>
  </si>
  <si>
    <t>PN-UQ0001-UQ0024</t>
  </si>
  <si>
    <t>P0049327A</t>
  </si>
  <si>
    <t>순천시</t>
  </si>
  <si>
    <t>PN-FS0001-FS0003</t>
  </si>
  <si>
    <t>P0142602B</t>
  </si>
  <si>
    <t>다이소구미상모사곡점</t>
  </si>
  <si>
    <t>PN0032367</t>
  </si>
  <si>
    <t>GS25남양주금곡점</t>
  </si>
  <si>
    <t>P0142895B</t>
  </si>
  <si>
    <t>다이소진해장천점</t>
  </si>
  <si>
    <t>PN-UQ0001-UQ0187</t>
  </si>
  <si>
    <t>PN0032636</t>
  </si>
  <si>
    <t>울산시외버스터미널</t>
  </si>
  <si>
    <t>P0142220B</t>
  </si>
  <si>
    <t>마트로</t>
  </si>
  <si>
    <t>PN0032649</t>
  </si>
  <si>
    <t>P0154024B</t>
  </si>
  <si>
    <t>PN-UQ0001-UQ0189</t>
  </si>
  <si>
    <t>P0142611B</t>
  </si>
  <si>
    <t>P0142692B</t>
  </si>
  <si>
    <t>PN0032681</t>
  </si>
  <si>
    <t>통영종합버스터미널</t>
  </si>
  <si>
    <t>P0142635B</t>
  </si>
  <si>
    <t>PN0032682</t>
  </si>
  <si>
    <t>P0142613B</t>
  </si>
  <si>
    <t>P0142681B</t>
  </si>
  <si>
    <t>PN0032638</t>
  </si>
  <si>
    <t>부원역</t>
  </si>
  <si>
    <t>PN0032639</t>
  </si>
  <si>
    <t>구미역</t>
  </si>
  <si>
    <t>PN0032658</t>
  </si>
  <si>
    <t>PN0032375</t>
  </si>
  <si>
    <t>PN0032370</t>
  </si>
  <si>
    <t>PN-AM0001-AM0048-AM0121-AM0141</t>
  </si>
  <si>
    <t>P0142632B</t>
  </si>
  <si>
    <t>예천식자재마트</t>
  </si>
  <si>
    <t>P0142146B</t>
  </si>
  <si>
    <t>PN-UQ0001-UQ0043-UQ0108-UQ0129</t>
  </si>
  <si>
    <t>PN0030850</t>
  </si>
  <si>
    <t>괴정역</t>
  </si>
  <si>
    <t>PN0030852</t>
  </si>
  <si>
    <t>P0141454B</t>
  </si>
  <si>
    <t>드림마트구지점</t>
  </si>
  <si>
    <t>PN-UQ0001-UQ0024-UQ0189</t>
  </si>
  <si>
    <t>P0157082B</t>
  </si>
  <si>
    <t>P0142626B</t>
  </si>
  <si>
    <t>P0142624B</t>
  </si>
  <si>
    <t>범어역</t>
  </si>
  <si>
    <t>P0142660B</t>
  </si>
  <si>
    <t>장보고식자재마트구미점</t>
  </si>
  <si>
    <t>P0142659B</t>
  </si>
  <si>
    <t>PN0032546</t>
  </si>
  <si>
    <t>경산역</t>
  </si>
  <si>
    <t>P0142274B</t>
  </si>
  <si>
    <t>다이소창원중동점</t>
  </si>
  <si>
    <t>PN-UQ0001-UQ0043-UQ0187</t>
  </si>
  <si>
    <t>P0141984B</t>
  </si>
  <si>
    <t>홈플러스익스프레스인천경서점</t>
  </si>
  <si>
    <t>PN-AM0001</t>
  </si>
  <si>
    <t>P0142276B</t>
  </si>
  <si>
    <t>P0154023B</t>
  </si>
  <si>
    <t>다이소구미봉곡본점</t>
  </si>
  <si>
    <t>P0141456B</t>
  </si>
  <si>
    <t>P0142799B</t>
  </si>
  <si>
    <t>P0142655B</t>
  </si>
  <si>
    <t>P0156715B</t>
  </si>
  <si>
    <t>진로마트여주점</t>
  </si>
  <si>
    <t>PN-HA0001-HA0020-HA0033</t>
  </si>
  <si>
    <t>P0142944B</t>
  </si>
  <si>
    <t>서신면행정복지센터</t>
  </si>
  <si>
    <t>PN-SA0001</t>
  </si>
  <si>
    <t>P0142805B</t>
  </si>
  <si>
    <t>경화한우전문점</t>
  </si>
  <si>
    <t>P0141459B</t>
  </si>
  <si>
    <t>P0142712B</t>
  </si>
  <si>
    <t>다이소대구테크노폴리스점</t>
  </si>
  <si>
    <t>PN-UQ0001-UQ0188</t>
  </si>
  <si>
    <t>P0142806B</t>
  </si>
  <si>
    <t>PN-UQ0001</t>
  </si>
  <si>
    <t>P0142807B</t>
  </si>
  <si>
    <t>P0142260B</t>
  </si>
  <si>
    <t>다이소김해대청점</t>
  </si>
  <si>
    <t>P0142170B</t>
  </si>
  <si>
    <t>탑마트청도점</t>
  </si>
  <si>
    <t>P0049381A</t>
  </si>
  <si>
    <t>서울시강서구</t>
  </si>
  <si>
    <t>PN-FS0001</t>
  </si>
  <si>
    <t>P0142815B</t>
  </si>
  <si>
    <t>화랑공원</t>
  </si>
  <si>
    <t>P0157067B</t>
  </si>
  <si>
    <t>P0142860B</t>
  </si>
  <si>
    <t>P0142840B</t>
  </si>
  <si>
    <t>PN0032758</t>
  </si>
  <si>
    <t>진건농협하나로마트</t>
  </si>
  <si>
    <t>P0141577B</t>
  </si>
  <si>
    <t>리치마트선산점</t>
  </si>
  <si>
    <t>P0157060B</t>
  </si>
  <si>
    <t>PN-UQ0001-UQ0043-UQ0190</t>
  </si>
  <si>
    <t>PN0032760</t>
  </si>
  <si>
    <t>P0141461B</t>
  </si>
  <si>
    <t>P0096577B</t>
  </si>
  <si>
    <t>진해새마을금고본점</t>
  </si>
  <si>
    <t>PN-UQ0001-UQ0043-UQ0192</t>
  </si>
  <si>
    <t>P0142323B</t>
  </si>
  <si>
    <t>맘편한그린DC마트</t>
  </si>
  <si>
    <t>P0049388A</t>
  </si>
  <si>
    <t>서울시강서구,양천구</t>
  </si>
  <si>
    <t>PN0032665</t>
  </si>
  <si>
    <t>다이소경산사동점</t>
  </si>
  <si>
    <t>금액미만</t>
  </si>
  <si>
    <t>P0049389A</t>
  </si>
  <si>
    <t>PN0032761</t>
  </si>
  <si>
    <t>이마트에브리데이고양동점</t>
  </si>
  <si>
    <t>P0156681B</t>
  </si>
  <si>
    <t>홈플러스익스프레스수원광교점</t>
  </si>
  <si>
    <t>PN-AM0001-AM0002-AM0126-AM0140</t>
  </si>
  <si>
    <t>P0157052B</t>
  </si>
  <si>
    <t>P0142810B</t>
  </si>
  <si>
    <t>동양마트서창점</t>
  </si>
  <si>
    <t>P0142832B</t>
  </si>
  <si>
    <t>P0142833B</t>
  </si>
  <si>
    <t>P0142728B</t>
  </si>
  <si>
    <t>P0049391A</t>
  </si>
  <si>
    <t>양천구</t>
  </si>
  <si>
    <t>P0049396A</t>
  </si>
  <si>
    <t>P0156786B</t>
  </si>
  <si>
    <t>NH농협은행여주시지부</t>
  </si>
  <si>
    <t>PN-HA0001-HA0020</t>
  </si>
  <si>
    <t>P0156787B</t>
  </si>
  <si>
    <t>P0142834B</t>
  </si>
  <si>
    <t>신한은행구미금융센터</t>
  </si>
  <si>
    <t>P0143053B</t>
  </si>
  <si>
    <t>PN0032385</t>
  </si>
  <si>
    <t>스타벅스고양행신점</t>
  </si>
  <si>
    <t>P0049392A</t>
  </si>
  <si>
    <t>PN0032759</t>
  </si>
  <si>
    <t>P0049393A</t>
  </si>
  <si>
    <t>P0156790B</t>
  </si>
  <si>
    <t>PN0032386</t>
  </si>
  <si>
    <t>P0142172B</t>
  </si>
  <si>
    <t>P0142835B</t>
  </si>
  <si>
    <t>P0157055B</t>
  </si>
  <si>
    <t>P0141521B</t>
  </si>
  <si>
    <t>P0142173B</t>
  </si>
  <si>
    <t>P0142324B</t>
  </si>
  <si>
    <t>대저농협하나로마트</t>
  </si>
  <si>
    <t>P0096579B</t>
  </si>
  <si>
    <t>P0142261B</t>
  </si>
  <si>
    <t>우리마트지사점</t>
  </si>
  <si>
    <t>PN-UQ0001-UQ0043-UQ0108-UQ0181</t>
  </si>
  <si>
    <t>P0142839B</t>
  </si>
  <si>
    <t>P0156788B</t>
  </si>
  <si>
    <t>P0157048B</t>
  </si>
  <si>
    <t>P0142262B</t>
  </si>
  <si>
    <t>P0156792B</t>
  </si>
  <si>
    <t>P0156789B</t>
  </si>
  <si>
    <t>P0142836B</t>
  </si>
  <si>
    <t>P0156708B</t>
  </si>
  <si>
    <t>P0141549B</t>
  </si>
  <si>
    <t>P0156453B</t>
  </si>
  <si>
    <t>도척면행정복지센터</t>
  </si>
  <si>
    <t>PN0032722</t>
  </si>
  <si>
    <t>P0142292B</t>
  </si>
  <si>
    <t>PN-UQ0001-UQ0194</t>
  </si>
  <si>
    <t>P0156701B</t>
  </si>
  <si>
    <t>P0156454B</t>
  </si>
  <si>
    <t>P0141548B</t>
  </si>
  <si>
    <t>히트짐침산점</t>
  </si>
  <si>
    <t>P0141464B</t>
  </si>
  <si>
    <t>P0139037B</t>
  </si>
  <si>
    <t>P0156455B</t>
  </si>
  <si>
    <t>P0142730B</t>
  </si>
  <si>
    <t>P0096455B</t>
  </si>
  <si>
    <t>P0141463B</t>
  </si>
  <si>
    <t>P0142731B</t>
  </si>
  <si>
    <t>P0141587B</t>
  </si>
  <si>
    <t>P0142809B</t>
  </si>
  <si>
    <t>다이소테크노폴리스점</t>
  </si>
  <si>
    <t>P0096457B</t>
  </si>
  <si>
    <t>P0141589B</t>
  </si>
  <si>
    <t>P0096456B</t>
  </si>
  <si>
    <t>P0141022B</t>
  </si>
  <si>
    <t>P0141028B</t>
  </si>
  <si>
    <t>PN0032695</t>
  </si>
  <si>
    <t>P0139038B</t>
  </si>
  <si>
    <t>P0096239B</t>
  </si>
  <si>
    <t>P0141029B</t>
  </si>
  <si>
    <t>P0141023B</t>
  </si>
  <si>
    <t>P0142176B</t>
  </si>
  <si>
    <t>P0142733B</t>
  </si>
  <si>
    <t>뚜레쥬르복현GS점</t>
  </si>
  <si>
    <t>P0142734B</t>
  </si>
  <si>
    <t>P0142736B</t>
  </si>
  <si>
    <t>P0142735B</t>
  </si>
  <si>
    <t>PN0032559</t>
  </si>
  <si>
    <t>홈플러스사직점</t>
  </si>
  <si>
    <t>나이미만</t>
  </si>
  <si>
    <t>P0142177B</t>
  </si>
  <si>
    <t>동읍농협하나로마트본점</t>
  </si>
  <si>
    <t>P0142293B</t>
  </si>
  <si>
    <t>다이소함안점</t>
  </si>
  <si>
    <t>PN0032414</t>
  </si>
  <si>
    <t>P0141576B</t>
  </si>
  <si>
    <t>신한은행인동지점</t>
  </si>
  <si>
    <t>P0081148B</t>
  </si>
  <si>
    <t>언암동</t>
  </si>
  <si>
    <t>PN-BW0001</t>
  </si>
  <si>
    <t>P0142178B</t>
  </si>
  <si>
    <t>P0142179B</t>
  </si>
  <si>
    <t>P0141465B</t>
  </si>
  <si>
    <t>P0096241B</t>
  </si>
  <si>
    <t>P0142737B</t>
  </si>
  <si>
    <t>P0141025B</t>
  </si>
  <si>
    <t>구미소방서</t>
  </si>
  <si>
    <t>P0156456B</t>
  </si>
  <si>
    <t>개롱근린공원화장실</t>
  </si>
  <si>
    <t>P0141520B</t>
  </si>
  <si>
    <t>P0142887B</t>
  </si>
  <si>
    <t>P0141551B</t>
  </si>
  <si>
    <t>P0156457B</t>
  </si>
  <si>
    <t>P0142325B</t>
  </si>
  <si>
    <t>다이소김해진영본점</t>
  </si>
  <si>
    <t>P0141552B</t>
  </si>
  <si>
    <t>P0141575B</t>
  </si>
  <si>
    <t>P0156683B</t>
  </si>
  <si>
    <t>파리바게뜨안동홈마트점</t>
  </si>
  <si>
    <t>P0140898B</t>
  </si>
  <si>
    <t>인의동</t>
  </si>
  <si>
    <t>PN0032721</t>
  </si>
  <si>
    <t>우리은행응암로지점</t>
  </si>
  <si>
    <t>P0156702B</t>
  </si>
  <si>
    <t>홈플러스익스프레스의왕포일점</t>
  </si>
  <si>
    <t>P0049395A</t>
  </si>
  <si>
    <t>고양시</t>
  </si>
  <si>
    <t>P0142863B</t>
  </si>
  <si>
    <t>PN0032388</t>
  </si>
  <si>
    <t>PN0032763</t>
  </si>
  <si>
    <t>P0141511B</t>
  </si>
  <si>
    <t>경북대학교병원</t>
  </si>
  <si>
    <t>P0156401B</t>
  </si>
  <si>
    <t>PN0032389</t>
  </si>
  <si>
    <t>P0142864B</t>
  </si>
  <si>
    <t>P0142521B</t>
  </si>
  <si>
    <t>P0142866B</t>
  </si>
  <si>
    <t>용지공원용지호수공원</t>
  </si>
  <si>
    <t>P0156458B</t>
  </si>
  <si>
    <t>세류1동행정복지센터</t>
  </si>
  <si>
    <t>P0141553B</t>
  </si>
  <si>
    <t>다이소대구대현점</t>
  </si>
  <si>
    <t>P0156671B</t>
  </si>
  <si>
    <t>PN-AM0001-AM0002-AM0126</t>
  </si>
  <si>
    <t>P0140903B</t>
  </si>
  <si>
    <t>P0156672B</t>
  </si>
  <si>
    <t>P0156673B</t>
  </si>
  <si>
    <t>P0050579A</t>
  </si>
  <si>
    <t>P0050583A</t>
  </si>
  <si>
    <t>P0156794B</t>
  </si>
  <si>
    <t>건영옴니백화점</t>
  </si>
  <si>
    <t>P0140813B</t>
  </si>
  <si>
    <t>원평동</t>
  </si>
  <si>
    <t>P0156706B</t>
  </si>
  <si>
    <t>P0142739B</t>
  </si>
  <si>
    <t>롯데슈퍼복현점</t>
  </si>
  <si>
    <t>P0156705B</t>
  </si>
  <si>
    <t>P0050580A</t>
  </si>
  <si>
    <t>서울시 양천구</t>
  </si>
  <si>
    <t>P0156795B</t>
  </si>
  <si>
    <t>PN-HA0001-HA0034</t>
  </si>
  <si>
    <t>P0156050B</t>
  </si>
  <si>
    <t>다이소대구진천점</t>
  </si>
  <si>
    <t>P0140904B</t>
  </si>
  <si>
    <t>다이소부산다대점</t>
  </si>
  <si>
    <t>P0156674B</t>
  </si>
  <si>
    <t>올리브영경북도청신도시점</t>
  </si>
  <si>
    <t>P0142740B</t>
  </si>
  <si>
    <t>P0141518B</t>
  </si>
  <si>
    <t>PN-UQ0001-UQ0197</t>
  </si>
  <si>
    <t>P0096510B</t>
  </si>
  <si>
    <t>P0141580B</t>
  </si>
  <si>
    <t>왜관필식자재마트</t>
  </si>
  <si>
    <t>P0141026B</t>
  </si>
  <si>
    <t>모라역</t>
  </si>
  <si>
    <t>PN-UQ0001-UQ0191</t>
  </si>
  <si>
    <t>P0141516B</t>
  </si>
  <si>
    <t>P0139040B</t>
  </si>
  <si>
    <t>김해시</t>
  </si>
  <si>
    <t>P0156797B</t>
  </si>
  <si>
    <t>P0156704B</t>
  </si>
  <si>
    <t>P0141522B</t>
  </si>
  <si>
    <t>P0141581B</t>
  </si>
  <si>
    <t>P0140905B</t>
  </si>
  <si>
    <t>P0157058B</t>
  </si>
  <si>
    <t>다이소부산반여점</t>
  </si>
  <si>
    <t>P0141523B</t>
  </si>
  <si>
    <t>P0156685B</t>
  </si>
  <si>
    <t>P0142867B</t>
  </si>
  <si>
    <t>진영대가야식자재마트</t>
  </si>
  <si>
    <t>P0156775B</t>
  </si>
  <si>
    <t>홈마트신영주점</t>
  </si>
  <si>
    <t>P0156412B</t>
  </si>
  <si>
    <t>이삭토스트구일점</t>
  </si>
  <si>
    <t>P0139049B</t>
  </si>
  <si>
    <t>PN0032765</t>
  </si>
  <si>
    <t>M타워</t>
  </si>
  <si>
    <t>PN0032723</t>
  </si>
  <si>
    <t>P0141525B</t>
  </si>
  <si>
    <t>범물역</t>
  </si>
  <si>
    <t>P0050582A</t>
  </si>
  <si>
    <t>P0141556B</t>
  </si>
  <si>
    <t>뚜레쥬르구미상모점</t>
  </si>
  <si>
    <t>PN0032390</t>
  </si>
  <si>
    <t>P0156799B</t>
  </si>
  <si>
    <t>P0141526B</t>
  </si>
  <si>
    <t>P0156798B</t>
  </si>
  <si>
    <t>P0141527B</t>
  </si>
  <si>
    <t>P0140906B</t>
  </si>
  <si>
    <t>탑마트신다대점</t>
  </si>
  <si>
    <t>P0155941B</t>
  </si>
  <si>
    <t>P0156687B</t>
  </si>
  <si>
    <t>P0142297B</t>
  </si>
  <si>
    <t>내서농협상곡지점</t>
  </si>
  <si>
    <t>P0139050B</t>
  </si>
  <si>
    <t>P0156676B</t>
  </si>
  <si>
    <t>P0142406B</t>
  </si>
  <si>
    <t>P0141528B</t>
  </si>
  <si>
    <t>P0096512B</t>
  </si>
  <si>
    <t>P0156677B</t>
  </si>
  <si>
    <t>P0141585B</t>
  </si>
  <si>
    <t>P0141529B</t>
  </si>
  <si>
    <t>P0156460B</t>
  </si>
  <si>
    <t>버티고개역</t>
  </si>
  <si>
    <t>P0156461B</t>
  </si>
  <si>
    <t>P0140817B</t>
  </si>
  <si>
    <t>남성동</t>
  </si>
  <si>
    <t>P0081183B</t>
  </si>
  <si>
    <t>PN-BW0001-BW0002</t>
  </si>
  <si>
    <t>P0156720B</t>
  </si>
  <si>
    <t>P0156462B</t>
  </si>
  <si>
    <t>남사읍행정복지센터</t>
  </si>
  <si>
    <t>P0156463B</t>
  </si>
  <si>
    <t>P0141558B</t>
  </si>
  <si>
    <t>NC아울렛엑스코점</t>
  </si>
  <si>
    <t>P0156464B</t>
  </si>
  <si>
    <t>P0156403B</t>
  </si>
  <si>
    <t>P0142890B</t>
  </si>
  <si>
    <t>다이소대구논공점</t>
  </si>
  <si>
    <t>PN0032419</t>
  </si>
  <si>
    <t>대백마트경산중산점</t>
  </si>
  <si>
    <t>P0142891B</t>
  </si>
  <si>
    <t>P0140907B</t>
  </si>
  <si>
    <t>다이소부산반여본점</t>
  </si>
  <si>
    <t>PN0032391</t>
  </si>
  <si>
    <t>P0050584A</t>
  </si>
  <si>
    <t>P0156721B</t>
  </si>
  <si>
    <t>P0139078B</t>
  </si>
  <si>
    <t>P0141027B</t>
  </si>
  <si>
    <t>P0141557B</t>
  </si>
  <si>
    <t>P0140908B</t>
  </si>
  <si>
    <t>P0050589A</t>
  </si>
  <si>
    <t>P0142407B</t>
  </si>
  <si>
    <t>P0096514B</t>
  </si>
  <si>
    <t>P0142298B</t>
  </si>
  <si>
    <t>P0141510B</t>
  </si>
  <si>
    <t>P0142871B</t>
  </si>
  <si>
    <t>P0156723B</t>
  </si>
  <si>
    <t>P0142501B</t>
  </si>
  <si>
    <t>P0142299B</t>
  </si>
  <si>
    <t>P0141531B</t>
  </si>
  <si>
    <t>P0141533B</t>
  </si>
  <si>
    <t>P0142519B</t>
  </si>
  <si>
    <t>P0141535B</t>
  </si>
  <si>
    <t>PN0032420</t>
  </si>
  <si>
    <t>동대구역</t>
  </si>
  <si>
    <t>P0141559B</t>
  </si>
  <si>
    <t>금오랜드</t>
  </si>
  <si>
    <t>P0141560B</t>
  </si>
  <si>
    <t>PN0032418</t>
  </si>
  <si>
    <t>P0140909B</t>
  </si>
  <si>
    <t>P0142529B</t>
  </si>
  <si>
    <t>P0156992B</t>
  </si>
  <si>
    <t>P0141565B</t>
  </si>
  <si>
    <t>P0156465B</t>
  </si>
  <si>
    <t>수정구청</t>
  </si>
  <si>
    <t>P0140911B</t>
  </si>
  <si>
    <t>P0156896B</t>
  </si>
  <si>
    <t>P0142515B</t>
  </si>
  <si>
    <t>P0140912B</t>
  </si>
  <si>
    <t>P0156897B</t>
  </si>
  <si>
    <t>P0142505B</t>
  </si>
  <si>
    <t>P0142528B</t>
  </si>
  <si>
    <t>킹스할인마트</t>
  </si>
  <si>
    <t>P0156466B</t>
  </si>
  <si>
    <t>갈매초등학교</t>
  </si>
  <si>
    <t>P0156404B</t>
  </si>
  <si>
    <t>P0156049B</t>
  </si>
  <si>
    <t>구미세관</t>
  </si>
  <si>
    <t>PN-UQ0001-UQ0024-UQ0157-UQ0197</t>
  </si>
  <si>
    <t>P0156405B</t>
  </si>
  <si>
    <t>P0156468B</t>
  </si>
  <si>
    <t>정남초등학교</t>
  </si>
  <si>
    <t>P0156469B</t>
  </si>
  <si>
    <t>P0156725B</t>
  </si>
  <si>
    <t>PN-HA0001-HA0020-HA0034</t>
  </si>
  <si>
    <t>P0156406B</t>
  </si>
  <si>
    <t>P0140913B</t>
  </si>
  <si>
    <t>북부산농협금곡지점</t>
  </si>
  <si>
    <t>P0156727B</t>
  </si>
  <si>
    <t>P0156470B</t>
  </si>
  <si>
    <t>P0142518B</t>
  </si>
  <si>
    <t>다이소창원반송시장점</t>
  </si>
  <si>
    <t>P0142408B</t>
  </si>
  <si>
    <t>창원시</t>
  </si>
  <si>
    <t>PN0032393</t>
  </si>
  <si>
    <t>세계로마트광명소하점</t>
  </si>
  <si>
    <t>P0156407B</t>
  </si>
  <si>
    <t>P0141562B</t>
  </si>
  <si>
    <t>P0142409B</t>
  </si>
  <si>
    <t>내서농협삼계지점</t>
  </si>
  <si>
    <t>P0156408B</t>
  </si>
  <si>
    <t>P0142410B</t>
  </si>
  <si>
    <t>PN0032433</t>
  </si>
  <si>
    <t>봉황역</t>
  </si>
  <si>
    <t>P0156411B</t>
  </si>
  <si>
    <t>한샘할인마트</t>
  </si>
  <si>
    <t>PN-HA0001</t>
  </si>
  <si>
    <t>P0156726B</t>
  </si>
  <si>
    <t>P0155905B</t>
  </si>
  <si>
    <t>P0142506B</t>
  </si>
  <si>
    <t>청량농협율리지점</t>
  </si>
  <si>
    <t>P0155904B</t>
  </si>
  <si>
    <t>P0155906B</t>
  </si>
  <si>
    <t>PN0032437</t>
  </si>
  <si>
    <t>P0156653B</t>
  </si>
  <si>
    <t>노브랜드하남미사1점</t>
  </si>
  <si>
    <t>P0142503B</t>
  </si>
  <si>
    <t>P0155851B</t>
  </si>
  <si>
    <t>롯데슈퍼남산점</t>
  </si>
  <si>
    <t>P0156689B</t>
  </si>
  <si>
    <t>P0141566B</t>
  </si>
  <si>
    <t>무태조야동행정복지센터</t>
  </si>
  <si>
    <t>P0142872B</t>
  </si>
  <si>
    <t>P0142513B</t>
  </si>
  <si>
    <t>P0140914B</t>
  </si>
  <si>
    <t>P0156998B</t>
  </si>
  <si>
    <t>탑마트남부민점</t>
  </si>
  <si>
    <t>P0156509B</t>
  </si>
  <si>
    <t>P0142508B</t>
  </si>
  <si>
    <t>P0156425B</t>
  </si>
  <si>
    <t>P0156426B</t>
  </si>
  <si>
    <t>P0142223B</t>
  </si>
  <si>
    <t>P0142222B</t>
  </si>
  <si>
    <t>P0155852B</t>
  </si>
  <si>
    <t>다이소논공점</t>
  </si>
  <si>
    <t>P0141570B</t>
  </si>
  <si>
    <t>홈플러스구미점</t>
  </si>
  <si>
    <t>진행중</t>
  </si>
  <si>
    <t>P0142875B</t>
  </si>
  <si>
    <t>장유농협삼문지점</t>
  </si>
  <si>
    <t>P0156510B</t>
  </si>
  <si>
    <t>이마트에브리데이망포점</t>
  </si>
  <si>
    <t>P0155853B</t>
  </si>
  <si>
    <t>P0096516B</t>
  </si>
  <si>
    <t>다이소부산용호점</t>
  </si>
  <si>
    <t>P0142225B</t>
  </si>
  <si>
    <t>고려당</t>
  </si>
  <si>
    <t>P0156724B</t>
  </si>
  <si>
    <t>롯데마트중계점</t>
  </si>
  <si>
    <t>P0142224B</t>
  </si>
  <si>
    <t>P0142531B</t>
  </si>
  <si>
    <t>P0096517B</t>
  </si>
  <si>
    <t>P0140916B</t>
  </si>
  <si>
    <t>다이소하단2호점</t>
  </si>
  <si>
    <t>P0141569B</t>
  </si>
  <si>
    <t>P0142426B</t>
  </si>
  <si>
    <t>P0156427B</t>
  </si>
  <si>
    <t>P0143055B</t>
  </si>
  <si>
    <t>P0155855B</t>
  </si>
  <si>
    <t>P0155856B</t>
  </si>
  <si>
    <t>P0142425B</t>
  </si>
  <si>
    <t>P0155938B</t>
  </si>
  <si>
    <t>P0155899B</t>
  </si>
  <si>
    <t>P0155857B</t>
  </si>
  <si>
    <t>P0141571B</t>
  </si>
  <si>
    <t>P0155854B</t>
  </si>
  <si>
    <t>P0141574B</t>
  </si>
  <si>
    <t>P0096518B</t>
  </si>
  <si>
    <t>P0142413B</t>
  </si>
  <si>
    <t>P0096520B</t>
  </si>
  <si>
    <t>P0142532B</t>
  </si>
  <si>
    <t>P0140918B</t>
  </si>
  <si>
    <t>P0142877B</t>
  </si>
  <si>
    <t>P0050594A</t>
  </si>
  <si>
    <t>고양시,파주시</t>
  </si>
  <si>
    <t>P0050593A</t>
  </si>
  <si>
    <t>P0050591A</t>
  </si>
  <si>
    <t>P0050592A</t>
  </si>
  <si>
    <t>P0050475A</t>
  </si>
  <si>
    <t>P0155914B</t>
  </si>
  <si>
    <t>P0155858B</t>
  </si>
  <si>
    <t>다이소성서이곡점</t>
  </si>
  <si>
    <t>P0156428B</t>
  </si>
  <si>
    <t>P0155916B</t>
  </si>
  <si>
    <t>PN0032396</t>
  </si>
  <si>
    <t>PN0032560</t>
  </si>
  <si>
    <t>다이소남부시장</t>
  </si>
  <si>
    <t>P0142695B</t>
  </si>
  <si>
    <t>P0081192B</t>
  </si>
  <si>
    <t>영주동</t>
  </si>
  <si>
    <t>P0141986B</t>
  </si>
  <si>
    <t>P0155859B</t>
  </si>
  <si>
    <t>보류</t>
  </si>
  <si>
    <t>P0140828B</t>
  </si>
  <si>
    <t>P0156511B</t>
  </si>
  <si>
    <t>P0155917B</t>
  </si>
  <si>
    <t>P0050476A</t>
  </si>
  <si>
    <t>P0156736B</t>
  </si>
  <si>
    <t>노브랜드고양정발산점</t>
  </si>
  <si>
    <t>P0156409B</t>
  </si>
  <si>
    <t>P0081176B</t>
  </si>
  <si>
    <t>PN0032394</t>
  </si>
  <si>
    <t>PN0032767</t>
  </si>
  <si>
    <t>P0156690B</t>
  </si>
  <si>
    <t>P0142697B</t>
  </si>
  <si>
    <t>P0142696B</t>
  </si>
  <si>
    <t>P0156429B</t>
  </si>
  <si>
    <t>P0155915B</t>
  </si>
  <si>
    <t>PN0032441</t>
  </si>
  <si>
    <t>P0155918B</t>
  </si>
  <si>
    <t>P0142876B</t>
  </si>
  <si>
    <t>탑마트반지점</t>
  </si>
  <si>
    <t>P0142698B</t>
  </si>
  <si>
    <t>P0142540B</t>
  </si>
  <si>
    <t>PN0032395</t>
  </si>
  <si>
    <t>P0155897B</t>
  </si>
  <si>
    <t>P0156691B</t>
  </si>
  <si>
    <t>P0142414B</t>
  </si>
  <si>
    <t>P0156737B</t>
  </si>
  <si>
    <t>P0156729B</t>
  </si>
  <si>
    <t>P0141987B</t>
  </si>
  <si>
    <t>P0156430B</t>
  </si>
  <si>
    <t>PN0032725</t>
  </si>
  <si>
    <t>P0156654B</t>
  </si>
  <si>
    <t>P0141988B</t>
  </si>
  <si>
    <t>PN0032486</t>
  </si>
  <si>
    <t>P0142536B</t>
  </si>
  <si>
    <t>P0156899B</t>
  </si>
  <si>
    <t>P0156872B</t>
  </si>
  <si>
    <t>양남농협하나로마트</t>
  </si>
  <si>
    <t>P0142427B</t>
  </si>
  <si>
    <t>홈플러스익스프레스모라점</t>
  </si>
  <si>
    <t>P0142538B</t>
  </si>
  <si>
    <t>P0156471B</t>
  </si>
  <si>
    <t>수지고등학교</t>
  </si>
  <si>
    <t>P0156873B</t>
  </si>
  <si>
    <t>P0156472B</t>
  </si>
  <si>
    <t>P0156473B</t>
  </si>
  <si>
    <t>P0156692B</t>
  </si>
  <si>
    <t>파리바게뜨동탄산척점</t>
  </si>
  <si>
    <t>P0081193B</t>
  </si>
  <si>
    <t>안동시 송현동</t>
  </si>
  <si>
    <t>P0156731B</t>
  </si>
  <si>
    <t>P0156728B</t>
  </si>
  <si>
    <t>PN0032775</t>
  </si>
  <si>
    <t>P0155921B</t>
  </si>
  <si>
    <t>스타벅스대구칠곡점</t>
  </si>
  <si>
    <t>P0156738B</t>
  </si>
  <si>
    <t>P0155924B</t>
  </si>
  <si>
    <t>P0142418B</t>
  </si>
  <si>
    <t>PN0032727</t>
  </si>
  <si>
    <t>P0156732B</t>
  </si>
  <si>
    <t>P0050596A</t>
  </si>
  <si>
    <t>서울시 은평구</t>
  </si>
  <si>
    <t>P0155898B</t>
  </si>
  <si>
    <t>노브랜드율하점</t>
  </si>
  <si>
    <t>P0153714B</t>
  </si>
  <si>
    <t>P0155861B</t>
  </si>
  <si>
    <t>P0156431B</t>
  </si>
  <si>
    <t>P0142541B</t>
  </si>
  <si>
    <t>P0156999B</t>
  </si>
  <si>
    <t>P0156474B</t>
  </si>
  <si>
    <t>원삼면행정복지센터</t>
  </si>
  <si>
    <t>P0156735B</t>
  </si>
  <si>
    <t>P0142542B</t>
  </si>
  <si>
    <t>P0142878B</t>
  </si>
  <si>
    <t>도계시장</t>
  </si>
  <si>
    <t>PN0032561</t>
  </si>
  <si>
    <t>하나로마트사직점</t>
  </si>
  <si>
    <t>P0156734B</t>
  </si>
  <si>
    <t>P0081186B</t>
  </si>
  <si>
    <t>안동시 금곡동</t>
  </si>
  <si>
    <t>PN0032488</t>
  </si>
  <si>
    <t>P0140930B</t>
  </si>
  <si>
    <t>PN-UQ0001-UQ0199</t>
  </si>
  <si>
    <t>P0156433B</t>
  </si>
  <si>
    <t>P0142700B</t>
  </si>
  <si>
    <t>P0156655B</t>
  </si>
  <si>
    <t>PN0032398</t>
  </si>
  <si>
    <t>P0140931B</t>
  </si>
  <si>
    <t>PN0032400</t>
  </si>
  <si>
    <t>P0156733B</t>
  </si>
  <si>
    <t>P0155863B</t>
  </si>
  <si>
    <t>P0156476B</t>
  </si>
  <si>
    <t>P0156475B</t>
  </si>
  <si>
    <t>PN0032562</t>
  </si>
  <si>
    <t>P0156432B</t>
  </si>
  <si>
    <t>P0156477B</t>
  </si>
  <si>
    <t>P0156001B</t>
  </si>
  <si>
    <t>P0156434B</t>
  </si>
  <si>
    <t>P0140920B</t>
  </si>
  <si>
    <t>다이소부산금정점</t>
  </si>
  <si>
    <t>P0142543B</t>
  </si>
  <si>
    <t>P0156436B</t>
  </si>
  <si>
    <t>PN0032439</t>
  </si>
  <si>
    <t>P0156435B</t>
  </si>
  <si>
    <t>P0157000B</t>
  </si>
  <si>
    <t>P0156981B</t>
  </si>
  <si>
    <t>P0156437B</t>
  </si>
  <si>
    <t>P0142544B</t>
  </si>
  <si>
    <t>P0142417B</t>
  </si>
  <si>
    <t>P0156438B</t>
  </si>
  <si>
    <t>P0142416B</t>
  </si>
  <si>
    <t>P0156478B</t>
  </si>
  <si>
    <t>P0156439B</t>
  </si>
  <si>
    <t>P0156441B</t>
  </si>
  <si>
    <t>P0142428B</t>
  </si>
  <si>
    <t>파리바게뜨덕계점</t>
  </si>
  <si>
    <t>P0081163B</t>
  </si>
  <si>
    <t>문경시</t>
  </si>
  <si>
    <t>P0156693B</t>
  </si>
  <si>
    <t>셀렉토커피김포한강자이1단지점</t>
  </si>
  <si>
    <t>P0050590A</t>
  </si>
  <si>
    <t>P0155943B</t>
  </si>
  <si>
    <t>PN0032726</t>
  </si>
  <si>
    <t>호원프라자약국</t>
  </si>
  <si>
    <t>PN0032728</t>
  </si>
  <si>
    <t>P0156413B</t>
  </si>
  <si>
    <t>한강쇼핑센터</t>
  </si>
  <si>
    <t>P0155945B</t>
  </si>
  <si>
    <t>P0155919B</t>
  </si>
  <si>
    <t>뉴드림마트</t>
  </si>
  <si>
    <t>P0156440B</t>
  </si>
  <si>
    <t>P0050477A</t>
  </si>
  <si>
    <t>P0155928B</t>
  </si>
  <si>
    <t>P0156414B</t>
  </si>
  <si>
    <t>P0156740B</t>
  </si>
  <si>
    <t>P0050478A</t>
  </si>
  <si>
    <t>P0141990B</t>
  </si>
  <si>
    <t>P0157001B</t>
  </si>
  <si>
    <t>P0142879B</t>
  </si>
  <si>
    <t>P0156983B</t>
  </si>
  <si>
    <t>P0050479A</t>
  </si>
  <si>
    <t>P0156656B</t>
  </si>
  <si>
    <t>P0141993B</t>
  </si>
  <si>
    <t>P0050480A</t>
  </si>
  <si>
    <t>P0142419B</t>
  </si>
  <si>
    <t>PN0032491</t>
  </si>
  <si>
    <t>다이소밀양점</t>
  </si>
  <si>
    <t>P0155927B</t>
  </si>
  <si>
    <t>P0050481A</t>
  </si>
  <si>
    <t>P0140932B</t>
  </si>
  <si>
    <t>P0156875B</t>
  </si>
  <si>
    <t>P0156741B</t>
  </si>
  <si>
    <t>P0155930B</t>
  </si>
  <si>
    <t>P0156658B</t>
  </si>
  <si>
    <t>P0156415B</t>
  </si>
  <si>
    <t>P0141991B</t>
  </si>
  <si>
    <t>P0142420B</t>
  </si>
  <si>
    <t>PN0032801</t>
  </si>
  <si>
    <t>P0155929B</t>
  </si>
  <si>
    <t>P0156742B</t>
  </si>
  <si>
    <t>P0050484A</t>
  </si>
  <si>
    <t>P0050482A</t>
  </si>
  <si>
    <t>P0050487A</t>
  </si>
  <si>
    <t>P0156876B</t>
  </si>
  <si>
    <t>P0141992B</t>
  </si>
  <si>
    <t>P0156984B</t>
  </si>
  <si>
    <t>P0142880B</t>
  </si>
  <si>
    <t>P0156442B</t>
  </si>
  <si>
    <t>P0142429B</t>
  </si>
  <si>
    <t>P0155947B</t>
  </si>
  <si>
    <t>P0156444B</t>
  </si>
  <si>
    <t>P0142430B</t>
  </si>
  <si>
    <t>P0141994B</t>
  </si>
  <si>
    <t>PN0032493</t>
  </si>
  <si>
    <t>나이스마트</t>
  </si>
  <si>
    <t>P0156480B</t>
  </si>
  <si>
    <t>송파2동주민센터</t>
  </si>
  <si>
    <t>P0155948B</t>
  </si>
  <si>
    <t>식자재마트진보</t>
  </si>
  <si>
    <t>PN0032563</t>
  </si>
  <si>
    <t>P0155946B</t>
  </si>
  <si>
    <t>PN0032698</t>
  </si>
  <si>
    <t>P0155949B</t>
  </si>
  <si>
    <t>P0156482B</t>
  </si>
  <si>
    <t>P0156986B</t>
  </si>
  <si>
    <t>P0142548B</t>
  </si>
  <si>
    <t>P0156004B</t>
  </si>
  <si>
    <t>P0156987B</t>
  </si>
  <si>
    <t>P0156483B</t>
  </si>
  <si>
    <t>P0156901B</t>
  </si>
  <si>
    <t>P0156801B</t>
  </si>
  <si>
    <t>탑마트창녕점</t>
  </si>
  <si>
    <t>P0156985B</t>
  </si>
  <si>
    <t>P0156902B</t>
  </si>
  <si>
    <t>P0156003B</t>
  </si>
  <si>
    <t>P0156988B</t>
  </si>
  <si>
    <t>P0156042B</t>
  </si>
  <si>
    <t>P0156877B</t>
  </si>
  <si>
    <t>P0156878B</t>
  </si>
  <si>
    <t>P0156802B</t>
  </si>
  <si>
    <t>P0156002B</t>
  </si>
  <si>
    <t>P0156879B</t>
  </si>
  <si>
    <t>PN0032453</t>
  </si>
  <si>
    <t>하나로마트서부축협</t>
  </si>
  <si>
    <t>PN0032454</t>
  </si>
  <si>
    <t>PN0032455</t>
  </si>
  <si>
    <t>P0155931B</t>
  </si>
  <si>
    <t>P0142881B</t>
  </si>
  <si>
    <t>그린DC마트</t>
  </si>
  <si>
    <t>P0142421B</t>
  </si>
  <si>
    <t>경남 함안군</t>
  </si>
  <si>
    <t>P0155935B</t>
  </si>
  <si>
    <t>P0142422B</t>
  </si>
  <si>
    <t>P0050486A</t>
  </si>
  <si>
    <t>PN0032443</t>
  </si>
  <si>
    <t>P0156825B</t>
  </si>
  <si>
    <t>PN-UQ0001-UQ0043-UQ0108-UQ0199</t>
  </si>
  <si>
    <t>P0142423B</t>
  </si>
  <si>
    <t>P0050485A</t>
  </si>
  <si>
    <t>P0142431B</t>
  </si>
  <si>
    <t>새마을금고진해본점</t>
  </si>
  <si>
    <t>P0155936B</t>
  </si>
  <si>
    <t>P0156851B</t>
  </si>
  <si>
    <t>P0142510B</t>
  </si>
  <si>
    <t>P0142433B</t>
  </si>
  <si>
    <t>P0155934B</t>
  </si>
  <si>
    <t>마트로고</t>
  </si>
  <si>
    <t>P0156501B</t>
  </si>
  <si>
    <t>메가커피고양향동점</t>
  </si>
  <si>
    <t>P0050483A</t>
  </si>
  <si>
    <t>P0142424B</t>
  </si>
  <si>
    <t>P0155989B</t>
  </si>
  <si>
    <t>P0050488A</t>
  </si>
  <si>
    <t>P0157002B</t>
  </si>
  <si>
    <t>P0142434B</t>
  </si>
  <si>
    <t>P0142432B</t>
  </si>
  <si>
    <t>P0156905B</t>
  </si>
  <si>
    <t>P0050489A</t>
  </si>
  <si>
    <t>P0156803B</t>
  </si>
  <si>
    <t>P0156744B</t>
  </si>
  <si>
    <t>GS더프레시안양메가트리아점</t>
  </si>
  <si>
    <t>P0156906B</t>
  </si>
  <si>
    <t>P0142883B</t>
  </si>
  <si>
    <t>P0156502B</t>
  </si>
  <si>
    <t>P0156443B</t>
  </si>
  <si>
    <t>P0156416B</t>
  </si>
  <si>
    <t>P0156989B</t>
  </si>
  <si>
    <t>제이마트</t>
  </si>
  <si>
    <t>P0156515B</t>
  </si>
  <si>
    <t>P0156484B</t>
  </si>
  <si>
    <t>수지초등학교</t>
  </si>
  <si>
    <t>P0142757B</t>
  </si>
  <si>
    <t>P0156517B</t>
  </si>
  <si>
    <t>P0156516B</t>
  </si>
  <si>
    <t>P0156043B</t>
  </si>
  <si>
    <t>P0156007B</t>
  </si>
  <si>
    <t>P0142884B</t>
  </si>
  <si>
    <t>P0155991B</t>
  </si>
  <si>
    <t>PN0032802</t>
  </si>
  <si>
    <t>다이소일산위시티점</t>
  </si>
  <si>
    <t>P0142435B</t>
  </si>
  <si>
    <t>P0156659B</t>
  </si>
  <si>
    <t>P0156503B</t>
  </si>
  <si>
    <t>P0156856B</t>
  </si>
  <si>
    <t>P0156485B</t>
  </si>
  <si>
    <t>P0155992B</t>
  </si>
  <si>
    <t>P0156009B</t>
  </si>
  <si>
    <t>P0141542B</t>
  </si>
  <si>
    <t>P0141536B</t>
  </si>
  <si>
    <t>P0156826B</t>
  </si>
  <si>
    <t>P0155985B</t>
  </si>
  <si>
    <t>P0155986B</t>
  </si>
  <si>
    <t>P0156804B</t>
  </si>
  <si>
    <t>P0050491A</t>
  </si>
  <si>
    <t>P0156518B</t>
  </si>
  <si>
    <t>PN0032803</t>
  </si>
  <si>
    <t>홈플러스익스프레스가산점</t>
  </si>
  <si>
    <t>P0156858B</t>
  </si>
  <si>
    <t>PN0032494</t>
  </si>
  <si>
    <t>다이소부산연산교차로점</t>
  </si>
  <si>
    <t>P0156504B</t>
  </si>
  <si>
    <t>PN0032730</t>
  </si>
  <si>
    <t>P0156521B</t>
  </si>
  <si>
    <t>P0050490A</t>
  </si>
  <si>
    <t>파주시</t>
  </si>
  <si>
    <t>PN0032804</t>
  </si>
  <si>
    <t>P0156827B</t>
  </si>
  <si>
    <t>P0142469B</t>
  </si>
  <si>
    <t>진주충무공동</t>
  </si>
  <si>
    <t>P0050492A</t>
  </si>
  <si>
    <t>P0156743B</t>
  </si>
  <si>
    <t>P0142436B</t>
  </si>
  <si>
    <t>하북농협하나로마트</t>
  </si>
  <si>
    <t>P0156417B</t>
  </si>
  <si>
    <t>P0156505B</t>
  </si>
  <si>
    <t>P0155862B</t>
  </si>
  <si>
    <t>데레사농수축소비센터복현점</t>
  </si>
  <si>
    <t>P0142882B</t>
  </si>
  <si>
    <t>P0156660B</t>
  </si>
  <si>
    <t>P0156418B</t>
  </si>
  <si>
    <t>P0156519B</t>
  </si>
  <si>
    <t>P0156523B</t>
  </si>
  <si>
    <t>P0156419B</t>
  </si>
  <si>
    <t>P0156661B</t>
  </si>
  <si>
    <t>P0155864B</t>
  </si>
  <si>
    <t>P0156520B</t>
  </si>
  <si>
    <t>PN0030879</t>
  </si>
  <si>
    <t>P0156486B</t>
  </si>
  <si>
    <t>옥천면사무소</t>
  </si>
  <si>
    <t>PN0032806</t>
  </si>
  <si>
    <t>P0156828B</t>
  </si>
  <si>
    <t>P0156420B</t>
  </si>
  <si>
    <t>P0142451B</t>
  </si>
  <si>
    <t>PN0032565</t>
  </si>
  <si>
    <t>P0156006B</t>
  </si>
  <si>
    <t>P0156805B</t>
  </si>
  <si>
    <t>P0155987B</t>
  </si>
  <si>
    <t>칠성할인마트</t>
  </si>
  <si>
    <t>P0142758B</t>
  </si>
  <si>
    <t>P0141537B</t>
  </si>
  <si>
    <t>P0155995B</t>
  </si>
  <si>
    <t>P0156522B</t>
  </si>
  <si>
    <t>P0141538B</t>
  </si>
  <si>
    <t>P0142437B</t>
  </si>
  <si>
    <t>P0141540B</t>
  </si>
  <si>
    <t>P0155896B</t>
  </si>
  <si>
    <t>P0155994B</t>
  </si>
  <si>
    <t>P0155996B</t>
  </si>
  <si>
    <t>P0156746B</t>
  </si>
  <si>
    <t>P0156748B</t>
  </si>
  <si>
    <t>P0156806B</t>
  </si>
  <si>
    <t>P0156749B</t>
  </si>
  <si>
    <t>P0157004B</t>
  </si>
  <si>
    <t>P0156750B</t>
  </si>
  <si>
    <t>P0156662B</t>
  </si>
  <si>
    <t>P0155937B</t>
  </si>
  <si>
    <t>다이소대전판암점</t>
  </si>
  <si>
    <t>P0156859B</t>
  </si>
  <si>
    <t>다이소김해본점</t>
  </si>
  <si>
    <t>P0156507B</t>
  </si>
  <si>
    <t>P0157005B</t>
  </si>
  <si>
    <t>P0156010B</t>
  </si>
  <si>
    <t>P0157006B</t>
  </si>
  <si>
    <t>P0142759B</t>
  </si>
  <si>
    <t>P0156422B</t>
  </si>
  <si>
    <t>P0157007B</t>
  </si>
  <si>
    <t>P0142452B</t>
  </si>
  <si>
    <t>다이소김해삼계2호점</t>
  </si>
  <si>
    <t>P0156488B</t>
  </si>
  <si>
    <t>P0155997B</t>
  </si>
  <si>
    <t>옥천역</t>
  </si>
  <si>
    <t>P0156012B</t>
  </si>
  <si>
    <t>P0156423B</t>
  </si>
  <si>
    <t>P0156424B</t>
  </si>
  <si>
    <t>P0156911B</t>
  </si>
  <si>
    <t>P0156096B</t>
  </si>
  <si>
    <t>P0142453B</t>
  </si>
  <si>
    <t>P0156912B</t>
  </si>
  <si>
    <t>P0156807B</t>
  </si>
  <si>
    <t>P0156860B</t>
  </si>
  <si>
    <t>PN0032444</t>
  </si>
  <si>
    <t>홈플러스아시아드점</t>
  </si>
  <si>
    <t>PN0032805</t>
  </si>
  <si>
    <t>우리은행중곡동지점</t>
  </si>
  <si>
    <t>PN0032807</t>
  </si>
  <si>
    <t>P0155988B</t>
  </si>
  <si>
    <t>P0156361B</t>
  </si>
  <si>
    <t>P0156098B</t>
  </si>
  <si>
    <t>P0156508B</t>
  </si>
  <si>
    <t>P0156013B</t>
  </si>
  <si>
    <t>P0156015B</t>
  </si>
  <si>
    <t>P0156631B</t>
  </si>
  <si>
    <t>P0156445B</t>
  </si>
  <si>
    <t>P0156512B</t>
  </si>
  <si>
    <t>P0050493A</t>
  </si>
  <si>
    <t>P0155984B</t>
  </si>
  <si>
    <t>P0141539B</t>
  </si>
  <si>
    <t>P0050494A</t>
  </si>
  <si>
    <t>PN0032566</t>
  </si>
  <si>
    <t>P0156016B</t>
  </si>
  <si>
    <t>P0050495A</t>
  </si>
  <si>
    <t>PN0032808</t>
  </si>
  <si>
    <t>P0142454B</t>
  </si>
  <si>
    <t>P0156018B</t>
  </si>
  <si>
    <t>P0156019B</t>
  </si>
  <si>
    <t>P0155998B</t>
  </si>
  <si>
    <t>P0156446B</t>
  </si>
  <si>
    <t>P0156610B</t>
  </si>
  <si>
    <t>P0156021B</t>
  </si>
  <si>
    <t>PN0032809</t>
  </si>
  <si>
    <t>P0156632B</t>
  </si>
  <si>
    <t>P0156020B</t>
  </si>
  <si>
    <t>P0156694B</t>
  </si>
  <si>
    <t>P0156633B</t>
  </si>
  <si>
    <t>P0156022B</t>
  </si>
  <si>
    <t>P0156608B</t>
  </si>
  <si>
    <t>P0156762B</t>
  </si>
  <si>
    <t>P0156023B</t>
  </si>
  <si>
    <t>P0156634B</t>
  </si>
  <si>
    <t>P0156571B</t>
  </si>
  <si>
    <t>뉴홈마트별내점</t>
  </si>
  <si>
    <t>P0142281B</t>
  </si>
  <si>
    <t>탑마트기장점</t>
  </si>
  <si>
    <t>P0156421B</t>
  </si>
  <si>
    <t>P0142487B</t>
  </si>
  <si>
    <t>다이소마산현동점</t>
  </si>
  <si>
    <t>P0142282B</t>
  </si>
  <si>
    <t>P0157008B</t>
  </si>
  <si>
    <t>P0156360B</t>
  </si>
  <si>
    <t>P0156570B</t>
  </si>
  <si>
    <t>P0142283B</t>
  </si>
  <si>
    <t>P0156809B</t>
  </si>
  <si>
    <t>우리마트언양점</t>
  </si>
  <si>
    <t>P0156862B</t>
  </si>
  <si>
    <t>P0156024B</t>
  </si>
  <si>
    <t>P0050496A</t>
  </si>
  <si>
    <t>P0156695B</t>
  </si>
  <si>
    <t>올리브영일산풍동점</t>
  </si>
  <si>
    <t>P0142760B</t>
  </si>
  <si>
    <t>PN0032668</t>
  </si>
  <si>
    <t>통영이마트</t>
  </si>
  <si>
    <t>PN0032731</t>
  </si>
  <si>
    <t>파리바게뜨석관점</t>
  </si>
  <si>
    <t>P0156524B</t>
  </si>
  <si>
    <t>구성농협청덕동지점</t>
  </si>
  <si>
    <t>PN0030862</t>
  </si>
  <si>
    <t>P0156513B</t>
  </si>
  <si>
    <t>P0156026B</t>
  </si>
  <si>
    <t>P0142284B</t>
  </si>
  <si>
    <t>서생농협하나로마트진하점</t>
  </si>
  <si>
    <t>PN0032425</t>
  </si>
  <si>
    <t>P0156525B</t>
  </si>
  <si>
    <t>P0156810B</t>
  </si>
  <si>
    <t>P0156765B</t>
  </si>
  <si>
    <t>남동인더스파크역</t>
  </si>
  <si>
    <t>P0142285B</t>
  </si>
  <si>
    <t>P0156359B</t>
  </si>
  <si>
    <t>PN0032810</t>
  </si>
  <si>
    <t>P0156696B</t>
  </si>
  <si>
    <t>P0156766B</t>
  </si>
  <si>
    <t>PN0032495</t>
  </si>
  <si>
    <t>P0156027B</t>
  </si>
  <si>
    <t>P0156514B</t>
  </si>
  <si>
    <t>P0156568B</t>
  </si>
  <si>
    <t>P0156099B</t>
  </si>
  <si>
    <t>다이소대구서재점</t>
  </si>
  <si>
    <t>P0156607B</t>
  </si>
  <si>
    <t>P0156527B</t>
  </si>
  <si>
    <t>P0156697B</t>
  </si>
  <si>
    <t>P0156768B</t>
  </si>
  <si>
    <t>P0155981B</t>
  </si>
  <si>
    <t>P0156770B</t>
  </si>
  <si>
    <t>P0156811B</t>
  </si>
  <si>
    <t>P0156812B</t>
  </si>
  <si>
    <t>P0156769B</t>
  </si>
  <si>
    <t>P0156638B</t>
  </si>
  <si>
    <t>P0141543B</t>
  </si>
  <si>
    <t>농협금곡지점</t>
  </si>
  <si>
    <t>P0156573B</t>
  </si>
  <si>
    <t>PN0032811</t>
  </si>
  <si>
    <t>P0156639B</t>
  </si>
  <si>
    <t>P0156489B</t>
  </si>
  <si>
    <t>서종파출소</t>
  </si>
  <si>
    <t>P0156352B</t>
  </si>
  <si>
    <t>P0156640B</t>
  </si>
  <si>
    <t>P0156354B</t>
  </si>
  <si>
    <t>P0156813B</t>
  </si>
  <si>
    <t>P0155982B</t>
  </si>
  <si>
    <t>P0156814B</t>
  </si>
  <si>
    <t>P0142490B</t>
  </si>
  <si>
    <t>P0156698B</t>
  </si>
  <si>
    <t>P0156490B</t>
  </si>
  <si>
    <t>P0142457B</t>
  </si>
  <si>
    <t>P0156699B</t>
  </si>
  <si>
    <t>P0156574B</t>
  </si>
  <si>
    <t>P0157009B</t>
  </si>
  <si>
    <t>북창원새마을금고본점</t>
  </si>
  <si>
    <t>P0156481B</t>
  </si>
  <si>
    <t>PN0032399</t>
  </si>
  <si>
    <t>GS25김포1동점</t>
  </si>
  <si>
    <t>PN0032734</t>
  </si>
  <si>
    <t>P0156092B</t>
  </si>
  <si>
    <t>P0155980B</t>
  </si>
  <si>
    <t>P0156093B</t>
  </si>
  <si>
    <t>PN0032736</t>
  </si>
  <si>
    <t>P0156641B</t>
  </si>
  <si>
    <t>P0155979B</t>
  </si>
  <si>
    <t>P0142762B</t>
  </si>
  <si>
    <t>P0142761B</t>
  </si>
  <si>
    <t>P0156029B</t>
  </si>
  <si>
    <t>P0156447B</t>
  </si>
  <si>
    <t>중구농협하나로마트본점</t>
  </si>
  <si>
    <t>PN0032667</t>
  </si>
  <si>
    <t>P0156094B</t>
  </si>
  <si>
    <t>P0156095B</t>
  </si>
  <si>
    <t>P0142438B</t>
  </si>
  <si>
    <t>P0156644B</t>
  </si>
  <si>
    <t>P0156636B</t>
  </si>
  <si>
    <t>P0141996B</t>
  </si>
  <si>
    <t>P0156028B</t>
  </si>
  <si>
    <t>P0142439B</t>
  </si>
  <si>
    <t>P0156863B</t>
  </si>
  <si>
    <t>P0142440B</t>
  </si>
  <si>
    <t>P0156642B</t>
  </si>
  <si>
    <t>P0156864B</t>
  </si>
  <si>
    <t>P0156487B</t>
  </si>
  <si>
    <t>남양주시상하수도관리센터</t>
  </si>
  <si>
    <t>P0156815B</t>
  </si>
  <si>
    <t>PN0032461</t>
  </si>
  <si>
    <t>P0155977B</t>
  </si>
  <si>
    <t>P0142458B</t>
  </si>
  <si>
    <t>창원시 마산합포구</t>
  </si>
  <si>
    <t>P0142441B</t>
  </si>
  <si>
    <t>P0141541B</t>
  </si>
  <si>
    <t>P0142459B</t>
  </si>
  <si>
    <t>P0156865B</t>
  </si>
  <si>
    <t>PN0032462</t>
  </si>
  <si>
    <t>P0155978B</t>
  </si>
  <si>
    <t>P0156491B</t>
  </si>
  <si>
    <t>P0050497A</t>
  </si>
  <si>
    <t>광주시북구</t>
  </si>
  <si>
    <t>P0142763B</t>
  </si>
  <si>
    <t>다이소수성시장네거리점</t>
  </si>
  <si>
    <t>P0142765B</t>
  </si>
  <si>
    <t>PN0032777</t>
  </si>
  <si>
    <t>파리바게뜨양주덕정점</t>
  </si>
  <si>
    <t>P0156646B</t>
  </si>
  <si>
    <t>태전역</t>
  </si>
  <si>
    <t>P0140900B</t>
  </si>
  <si>
    <t>울산시</t>
  </si>
  <si>
    <t>P0050498A</t>
  </si>
  <si>
    <t>P0081169B</t>
  </si>
  <si>
    <t>P0050499A</t>
  </si>
  <si>
    <t>P0155975B</t>
  </si>
  <si>
    <t>P0142764B</t>
  </si>
  <si>
    <t>P0050500A</t>
  </si>
  <si>
    <t>P0156030B</t>
  </si>
  <si>
    <t>P0156041B</t>
  </si>
  <si>
    <t>P0156492B</t>
  </si>
  <si>
    <t>천마산</t>
  </si>
  <si>
    <t>P0156493B</t>
  </si>
  <si>
    <t>P0050236A</t>
  </si>
  <si>
    <t>P0050237A</t>
  </si>
  <si>
    <t>P0156577B</t>
  </si>
  <si>
    <t>GS더프레시향동디엠씨점</t>
  </si>
  <si>
    <t>PN-AM0001-AM0142</t>
  </si>
  <si>
    <t>P0156494B</t>
  </si>
  <si>
    <t>PN0032812</t>
  </si>
  <si>
    <t>P0156867B</t>
  </si>
  <si>
    <t>농협하나로김해유통센터</t>
  </si>
  <si>
    <t>P0050238A</t>
  </si>
  <si>
    <t>P0156868B</t>
  </si>
  <si>
    <t>P0142444B</t>
  </si>
  <si>
    <t>P0142462B</t>
  </si>
  <si>
    <t>양산시</t>
  </si>
  <si>
    <t>P0156915B</t>
  </si>
  <si>
    <t>PN0032669</t>
  </si>
  <si>
    <t>마산남부시외버스터미널</t>
  </si>
  <si>
    <t>P0141544B</t>
  </si>
  <si>
    <t>P0142460B</t>
  </si>
  <si>
    <t>P0156970B</t>
  </si>
  <si>
    <t>P0156353B</t>
  </si>
  <si>
    <t>파리바게트용인청덕점</t>
  </si>
  <si>
    <t>P0050239A</t>
  </si>
  <si>
    <t>P0156495B</t>
  </si>
  <si>
    <t>P0156569B</t>
  </si>
  <si>
    <t>P0142445B</t>
  </si>
  <si>
    <t>P0050281A</t>
  </si>
  <si>
    <t>P0156033B</t>
  </si>
  <si>
    <t>P0141998B</t>
  </si>
  <si>
    <t>파리바게트서구가정점</t>
  </si>
  <si>
    <t>P0155551B</t>
  </si>
  <si>
    <t>P0156817B</t>
  </si>
  <si>
    <t>홈플러스익스프레스진영점</t>
  </si>
  <si>
    <t>P0156034B</t>
  </si>
  <si>
    <t>P0142288B</t>
  </si>
  <si>
    <t>P0156084B</t>
  </si>
  <si>
    <t>P0156916B</t>
  </si>
  <si>
    <t>P0142446B</t>
  </si>
  <si>
    <t>P0142463B</t>
  </si>
  <si>
    <t>P0142464B</t>
  </si>
  <si>
    <t>P0142766B</t>
  </si>
  <si>
    <t>P0156576B</t>
  </si>
  <si>
    <t>PN-AM0001-AM0126</t>
  </si>
  <si>
    <t>P0156082B</t>
  </si>
  <si>
    <t>P0156700B</t>
  </si>
  <si>
    <t>PN-AM0001-AM0126-AM0140</t>
  </si>
  <si>
    <t>P0142767B</t>
  </si>
  <si>
    <t>P0142768B</t>
  </si>
  <si>
    <t>P0050282A</t>
  </si>
  <si>
    <t>P0081135B</t>
  </si>
  <si>
    <t>P0050244A</t>
  </si>
  <si>
    <t>P0050241A</t>
  </si>
  <si>
    <t>P0142770B</t>
  </si>
  <si>
    <t>지우수산</t>
  </si>
  <si>
    <t>PN0032814</t>
  </si>
  <si>
    <t>PN0032753</t>
  </si>
  <si>
    <t>PN0032517</t>
  </si>
  <si>
    <t>다이소마산합성점</t>
  </si>
  <si>
    <t>P0156351B</t>
  </si>
  <si>
    <t>P0156919B</t>
  </si>
  <si>
    <t>P0142465B</t>
  </si>
  <si>
    <t>가야읍</t>
  </si>
  <si>
    <t>P0156499B</t>
  </si>
  <si>
    <t>양서면사무소국수출장소</t>
  </si>
  <si>
    <t>P0156498B</t>
  </si>
  <si>
    <t>P0142461B</t>
  </si>
  <si>
    <t>P0156606B</t>
  </si>
  <si>
    <t>P0156528B</t>
  </si>
  <si>
    <t>PN0032815</t>
  </si>
  <si>
    <t>P0156529B</t>
  </si>
  <si>
    <t>P0142447B</t>
  </si>
  <si>
    <t>P0156355B</t>
  </si>
  <si>
    <t>P0155866B</t>
  </si>
  <si>
    <t>대구동호동우체국</t>
  </si>
  <si>
    <t>P0142448B</t>
  </si>
  <si>
    <t>PN0032816</t>
  </si>
  <si>
    <t>PN0032672</t>
  </si>
  <si>
    <t>P0155867B</t>
  </si>
  <si>
    <t>P0156650B</t>
  </si>
  <si>
    <t>P0155868B</t>
  </si>
  <si>
    <t>P0050240A</t>
  </si>
  <si>
    <t>P0156358B</t>
  </si>
  <si>
    <t>P0156581B</t>
  </si>
  <si>
    <t>올리브영일산백마점</t>
  </si>
  <si>
    <t>P0155552B</t>
  </si>
  <si>
    <t>P0156820B</t>
  </si>
  <si>
    <t>탑마트삼문점</t>
  </si>
  <si>
    <t>P0155147B</t>
  </si>
  <si>
    <t>PN-UQ0001-UQ0201</t>
  </si>
  <si>
    <t>PN0032496</t>
  </si>
  <si>
    <t>P0142449B</t>
  </si>
  <si>
    <t>PN0032817</t>
  </si>
  <si>
    <t>P0156532B</t>
  </si>
  <si>
    <t>PN0032445</t>
  </si>
  <si>
    <t>P0155475B</t>
  </si>
  <si>
    <t>P0156500B</t>
  </si>
  <si>
    <t>P0155474B</t>
  </si>
  <si>
    <t>P0142769B</t>
  </si>
  <si>
    <t>P0156040B</t>
  </si>
  <si>
    <t>P0155870B</t>
  </si>
  <si>
    <t>P0156035B</t>
  </si>
  <si>
    <t>다이소대구율하점</t>
  </si>
  <si>
    <t>P0156821B</t>
  </si>
  <si>
    <t>P0156565B</t>
  </si>
  <si>
    <t>P0156566B</t>
  </si>
  <si>
    <t>P0156823B</t>
  </si>
  <si>
    <t>P0142771B</t>
  </si>
  <si>
    <t>P0155871B</t>
  </si>
  <si>
    <t>P0156648B</t>
  </si>
  <si>
    <t>P0155872B</t>
  </si>
  <si>
    <t>P0156496B</t>
  </si>
  <si>
    <t>P0140919B</t>
  </si>
  <si>
    <t>P0156822B</t>
  </si>
  <si>
    <t>P0142450B</t>
  </si>
  <si>
    <t>P0156497B</t>
  </si>
  <si>
    <t>P0156580B</t>
  </si>
  <si>
    <t>P0156647B</t>
  </si>
  <si>
    <t>P0156036B</t>
  </si>
  <si>
    <t>P0156085B</t>
  </si>
  <si>
    <t>P0050242A</t>
  </si>
  <si>
    <t>P0050243A</t>
  </si>
  <si>
    <t>P0050246A</t>
  </si>
  <si>
    <t>P0155820B</t>
  </si>
  <si>
    <t>파리바게뜨안양석수2동점</t>
  </si>
  <si>
    <t>P0050245A</t>
  </si>
  <si>
    <t>P0156582B</t>
  </si>
  <si>
    <t>P0156583B</t>
  </si>
  <si>
    <t>P0155821B</t>
  </si>
  <si>
    <t>P0142773B</t>
  </si>
  <si>
    <t>구미농협파머스마켓지점</t>
  </si>
  <si>
    <t>P0142467B</t>
  </si>
  <si>
    <t>산호동</t>
  </si>
  <si>
    <t>P0156531B</t>
  </si>
  <si>
    <t>P0156584B</t>
  </si>
  <si>
    <t>PN0032673</t>
  </si>
  <si>
    <t>다이소진해용원</t>
  </si>
  <si>
    <t>P0142466B</t>
  </si>
  <si>
    <t>P0156086B</t>
  </si>
  <si>
    <t>PN0032497</t>
  </si>
  <si>
    <t>P0156301B</t>
  </si>
  <si>
    <t>양평동초등학교</t>
  </si>
  <si>
    <t>P0156585B</t>
  </si>
  <si>
    <t>P0050285A</t>
  </si>
  <si>
    <t>P0155145B</t>
  </si>
  <si>
    <t>황금역</t>
  </si>
  <si>
    <t>P0141923B</t>
  </si>
  <si>
    <t>남동농협본점</t>
  </si>
  <si>
    <t>P0156536B</t>
  </si>
  <si>
    <t>P0050284A</t>
  </si>
  <si>
    <t>P0155822B</t>
  </si>
  <si>
    <t>P0141922B</t>
  </si>
  <si>
    <t>P0050247A</t>
  </si>
  <si>
    <t>P0156556B</t>
  </si>
  <si>
    <t>P0050248A</t>
  </si>
  <si>
    <t>P0155873B</t>
  </si>
  <si>
    <t>탑마트대구점</t>
  </si>
  <si>
    <t>P0141997B</t>
  </si>
  <si>
    <t>P0156604B</t>
  </si>
  <si>
    <t>P0155601B</t>
  </si>
  <si>
    <t>오천농협하나로마트</t>
  </si>
  <si>
    <t>P0156088B</t>
  </si>
  <si>
    <t>P0142468B</t>
  </si>
  <si>
    <t>P0155451B</t>
  </si>
  <si>
    <t>P0156649B</t>
  </si>
  <si>
    <t>대백마트매천점</t>
  </si>
  <si>
    <t>P0156533B</t>
  </si>
  <si>
    <t>P0156537B</t>
  </si>
  <si>
    <t>P0155146B</t>
  </si>
  <si>
    <t>PN-UQ0001-UQ0200</t>
  </si>
  <si>
    <t>P0050250A</t>
  </si>
  <si>
    <t>P0156605B</t>
  </si>
  <si>
    <t>P0156920B</t>
  </si>
  <si>
    <t>다이소포항문덕점</t>
  </si>
  <si>
    <t>P0155602B</t>
  </si>
  <si>
    <t>P0050249A</t>
  </si>
  <si>
    <t>P0050251A</t>
  </si>
  <si>
    <t>P0156037B</t>
  </si>
  <si>
    <t>P0050253A</t>
  </si>
  <si>
    <t>P0050252A</t>
  </si>
  <si>
    <t>PN0032836</t>
  </si>
  <si>
    <t>P0141924B</t>
  </si>
  <si>
    <t>P0156089B</t>
  </si>
  <si>
    <t>P0155603B</t>
  </si>
  <si>
    <t>P0155624B</t>
  </si>
  <si>
    <t>P0156921B</t>
  </si>
  <si>
    <t>P0156356B</t>
  </si>
  <si>
    <t>P0156535B</t>
  </si>
  <si>
    <t>P0156090B</t>
  </si>
  <si>
    <t>P0156091B</t>
  </si>
  <si>
    <t>P0155802B</t>
  </si>
  <si>
    <t>P0156922B</t>
  </si>
  <si>
    <t>P0155453B</t>
  </si>
  <si>
    <t>P0155625B</t>
  </si>
  <si>
    <t>P0155604B</t>
  </si>
  <si>
    <t>P0155605B</t>
  </si>
  <si>
    <t>P0155626B</t>
  </si>
  <si>
    <t>P0050255A</t>
  </si>
  <si>
    <t>P0050258A</t>
  </si>
  <si>
    <t>P0050256A</t>
  </si>
  <si>
    <t>P0050257A</t>
  </si>
  <si>
    <t>P0156538B</t>
  </si>
  <si>
    <t>스타벅스용산리첸시아점</t>
  </si>
  <si>
    <t>P0155823B</t>
  </si>
  <si>
    <t>의왕농협하나로마트포일점</t>
  </si>
  <si>
    <t>PN0032674</t>
  </si>
  <si>
    <t>다이소종합운동장점</t>
  </si>
  <si>
    <t>P0156539B</t>
  </si>
  <si>
    <t>P0156448B</t>
  </si>
  <si>
    <t>와마트청라점</t>
  </si>
  <si>
    <t>P0142000B</t>
  </si>
  <si>
    <t>P0156564B</t>
  </si>
  <si>
    <t>P0156611B</t>
  </si>
  <si>
    <t>지산1동행정복지센터</t>
  </si>
  <si>
    <t>P0155824B</t>
  </si>
  <si>
    <t>P0156038B</t>
  </si>
  <si>
    <t>다이소대구대곡지구점</t>
  </si>
  <si>
    <t>P0156560B</t>
  </si>
  <si>
    <t>P0155875B</t>
  </si>
  <si>
    <t>동호동우체국</t>
  </si>
  <si>
    <t>P0155454B</t>
  </si>
  <si>
    <t>경화동</t>
  </si>
  <si>
    <t>P0156602B</t>
  </si>
  <si>
    <t>웅상농협본점</t>
  </si>
  <si>
    <t>P0156303B</t>
  </si>
  <si>
    <t>도암초등학교</t>
  </si>
  <si>
    <t>P0155876B</t>
  </si>
  <si>
    <t>P0156039B</t>
  </si>
  <si>
    <t>P0156927B</t>
  </si>
  <si>
    <t>P0156601B</t>
  </si>
  <si>
    <t>P0155607B</t>
  </si>
  <si>
    <t>P0155555B</t>
  </si>
  <si>
    <t>P0155951B</t>
  </si>
  <si>
    <t>P0154572B</t>
  </si>
  <si>
    <t>P0155877B</t>
  </si>
  <si>
    <t>P0155670B</t>
  </si>
  <si>
    <t>P0156613B</t>
  </si>
  <si>
    <t>P0155608B</t>
  </si>
  <si>
    <t>P0156304B</t>
  </si>
  <si>
    <t>P0155556B</t>
  </si>
  <si>
    <t>P0154573B</t>
  </si>
  <si>
    <t>P0155609B</t>
  </si>
  <si>
    <t>P0155557B</t>
  </si>
  <si>
    <t>P0155610B</t>
  </si>
  <si>
    <t>P0155395B</t>
  </si>
  <si>
    <t>P0156305B</t>
  </si>
  <si>
    <t>P0156561B</t>
  </si>
  <si>
    <t>P0156928B</t>
  </si>
  <si>
    <t>P0155953B</t>
  </si>
  <si>
    <t>P0155455B</t>
  </si>
  <si>
    <t>팔용동</t>
  </si>
  <si>
    <t>P0156555B</t>
  </si>
  <si>
    <t>용산역</t>
  </si>
  <si>
    <t>P0156540B</t>
  </si>
  <si>
    <t>P0155612B</t>
  </si>
  <si>
    <t>농협하나로마트유통센터</t>
  </si>
  <si>
    <t>P0155627B</t>
  </si>
  <si>
    <t>P0156074B</t>
  </si>
  <si>
    <t>P0156075B</t>
  </si>
  <si>
    <t>PN0032490</t>
  </si>
  <si>
    <t>PN0032570</t>
  </si>
  <si>
    <t>다이소진해용원점</t>
  </si>
  <si>
    <t>PN0032567</t>
  </si>
  <si>
    <t>P0156306B</t>
  </si>
  <si>
    <t>하남초등학교</t>
  </si>
  <si>
    <t>P0142774B</t>
  </si>
  <si>
    <t>P0157010B</t>
  </si>
  <si>
    <t>P0156076B</t>
  </si>
  <si>
    <t>P0142470B</t>
  </si>
  <si>
    <t>P0156307B</t>
  </si>
  <si>
    <t>P0142795B</t>
  </si>
  <si>
    <t>P0141999B</t>
  </si>
  <si>
    <t>P0050259A</t>
  </si>
  <si>
    <t>P0050263A</t>
  </si>
  <si>
    <t>P0050260A</t>
  </si>
  <si>
    <t>P0050266A</t>
  </si>
  <si>
    <t>P0142793B</t>
  </si>
  <si>
    <t>P0156612B</t>
  </si>
  <si>
    <t>PN-UQ0001-UQ0024-UQ0159-UQ0201</t>
  </si>
  <si>
    <t>P0050264A</t>
  </si>
  <si>
    <t>P0050261A</t>
  </si>
  <si>
    <t>P0156615B</t>
  </si>
  <si>
    <t>P0155878B</t>
  </si>
  <si>
    <t>대백마트강촌마을점</t>
  </si>
  <si>
    <t>P0155456B</t>
  </si>
  <si>
    <t>남지읍</t>
  </si>
  <si>
    <t>P0155452B</t>
  </si>
  <si>
    <t>P0155825B</t>
  </si>
  <si>
    <t>메가커피석수역점</t>
  </si>
  <si>
    <t>P0156543B</t>
  </si>
  <si>
    <t>P0050265A</t>
  </si>
  <si>
    <t>P0156544B</t>
  </si>
  <si>
    <t>PN0032865</t>
  </si>
  <si>
    <t>P0050262A</t>
  </si>
  <si>
    <t>PN0032464</t>
  </si>
  <si>
    <t>동매역</t>
  </si>
  <si>
    <t>P0050267A</t>
  </si>
  <si>
    <t>P0155615B</t>
  </si>
  <si>
    <t>P0155457B</t>
  </si>
  <si>
    <t>P0155879B</t>
  </si>
  <si>
    <t>P0050269A</t>
  </si>
  <si>
    <t>PN0032518</t>
  </si>
  <si>
    <t>다이소오산궐동점</t>
  </si>
  <si>
    <t>P0155669B</t>
  </si>
  <si>
    <t>P0156224B</t>
  </si>
  <si>
    <t>P0155880B</t>
  </si>
  <si>
    <t>P0155668B</t>
  </si>
  <si>
    <t>P0156554B</t>
  </si>
  <si>
    <t>P0155954B</t>
  </si>
  <si>
    <t>P0155666B</t>
  </si>
  <si>
    <t>P0156552B</t>
  </si>
  <si>
    <t>PN0032520</t>
  </si>
  <si>
    <t>P0155881B</t>
  </si>
  <si>
    <t>P0155882B</t>
  </si>
  <si>
    <t>PN0032866</t>
  </si>
  <si>
    <t>P0155665B</t>
  </si>
  <si>
    <t>P0156562B</t>
  </si>
  <si>
    <t>P0155459B</t>
  </si>
  <si>
    <t>P0156929B</t>
  </si>
  <si>
    <t>P0155883B</t>
  </si>
  <si>
    <t>P0050268A</t>
  </si>
  <si>
    <t>P0050270A</t>
  </si>
  <si>
    <t>PN0032522</t>
  </si>
  <si>
    <t>오산역</t>
  </si>
  <si>
    <t>PN0032426</t>
  </si>
  <si>
    <t>P0155460B</t>
  </si>
  <si>
    <t>군북면</t>
  </si>
  <si>
    <t>P0156542B</t>
  </si>
  <si>
    <t>파리바게뜨공항신도시점</t>
  </si>
  <si>
    <t>P0156614B</t>
  </si>
  <si>
    <t>P0155458B</t>
  </si>
  <si>
    <t>P0050271A</t>
  </si>
  <si>
    <t>P0156222B</t>
  </si>
  <si>
    <t>PN0032867</t>
  </si>
  <si>
    <t>P0156616B</t>
  </si>
  <si>
    <t>P0156226B</t>
  </si>
  <si>
    <t>P0155884B</t>
  </si>
  <si>
    <t>대백마트신암점</t>
  </si>
  <si>
    <t>P0155148B</t>
  </si>
  <si>
    <t>P0155885B</t>
  </si>
  <si>
    <t>PN0032868</t>
  </si>
  <si>
    <t>P0156078B</t>
  </si>
  <si>
    <t>P0155886B</t>
  </si>
  <si>
    <t>P0142794B</t>
  </si>
  <si>
    <t>P0156578B</t>
  </si>
  <si>
    <t>P0155462B</t>
  </si>
  <si>
    <t>P0154574B</t>
  </si>
  <si>
    <t>다이소대구세천지구점</t>
  </si>
  <si>
    <t>P0142792B</t>
  </si>
  <si>
    <t>P0156586B</t>
  </si>
  <si>
    <t>P0155887B</t>
  </si>
  <si>
    <t>P0156623B</t>
  </si>
  <si>
    <t>P0155558B</t>
  </si>
  <si>
    <t>창원식자재마트신마산점</t>
  </si>
  <si>
    <t>P0154575B</t>
  </si>
  <si>
    <t>P0156228B</t>
  </si>
  <si>
    <t>P0155150B</t>
  </si>
  <si>
    <t>P0155617B</t>
  </si>
  <si>
    <t>P0154577B</t>
  </si>
  <si>
    <t>P0155560B</t>
  </si>
  <si>
    <t>P0142788B</t>
  </si>
  <si>
    <t>P0142790B</t>
  </si>
  <si>
    <t>P0142778B</t>
  </si>
  <si>
    <t>P0155826B</t>
  </si>
  <si>
    <t>나이스가이프리니엄강일2지구점</t>
  </si>
  <si>
    <t>P0156587B</t>
  </si>
  <si>
    <t>P0156588B</t>
  </si>
  <si>
    <t>P0155827B</t>
  </si>
  <si>
    <t>P0155461B</t>
  </si>
  <si>
    <t>고성읍</t>
  </si>
  <si>
    <t>P0050274A</t>
  </si>
  <si>
    <t>광주시북구,동구</t>
  </si>
  <si>
    <t>P0155392B</t>
  </si>
  <si>
    <t>대구수성우체국</t>
  </si>
  <si>
    <t>PN-UQ0001-UQ0203</t>
  </si>
  <si>
    <t>P0050272A</t>
  </si>
  <si>
    <t>PN0032818</t>
  </si>
  <si>
    <t>올리브영금호점</t>
  </si>
  <si>
    <t>P0050279A</t>
  </si>
  <si>
    <t>P0156545B</t>
  </si>
  <si>
    <t>P0155464B</t>
  </si>
  <si>
    <t>P0155144B</t>
  </si>
  <si>
    <t>P0142779B</t>
  </si>
  <si>
    <t>성주식자재마트</t>
  </si>
  <si>
    <t>P0155393B</t>
  </si>
  <si>
    <t>P0155664B</t>
  </si>
  <si>
    <t>P0155465B</t>
  </si>
  <si>
    <t>P0142777B</t>
  </si>
  <si>
    <t>P0156553B</t>
  </si>
  <si>
    <t>P0155973B</t>
  </si>
  <si>
    <t>다이소구미형곡네거리점</t>
  </si>
  <si>
    <t>P0155888B</t>
  </si>
  <si>
    <t>P0050273A</t>
  </si>
  <si>
    <t>P0156229B</t>
  </si>
  <si>
    <t>PN0032869</t>
  </si>
  <si>
    <t>P0155955B</t>
  </si>
  <si>
    <t>P0050275A</t>
  </si>
  <si>
    <t>P0156201B</t>
  </si>
  <si>
    <t>P0050276A</t>
  </si>
  <si>
    <t>P0156079B</t>
  </si>
  <si>
    <t>P0155466B</t>
  </si>
  <si>
    <t>P0154578B</t>
  </si>
  <si>
    <t>P0155889B</t>
  </si>
  <si>
    <t>PN0032870</t>
  </si>
  <si>
    <t>P0156202B</t>
  </si>
  <si>
    <t>P0156080B</t>
  </si>
  <si>
    <t>P0155890B</t>
  </si>
  <si>
    <t>P0155891B</t>
  </si>
  <si>
    <t>P0156546B</t>
  </si>
  <si>
    <t>다이소구산역점</t>
  </si>
  <si>
    <t>P0156547B</t>
  </si>
  <si>
    <t>P0156589B</t>
  </si>
  <si>
    <t>P0050277A</t>
  </si>
  <si>
    <t>P0050278A</t>
  </si>
  <si>
    <t>P0050280A</t>
  </si>
  <si>
    <t>P0142781B</t>
  </si>
  <si>
    <t>오케이마트사동점</t>
  </si>
  <si>
    <t>P0156590B</t>
  </si>
  <si>
    <t>올리브영미사효성점</t>
  </si>
  <si>
    <t>P0049401A</t>
  </si>
  <si>
    <t>P0049404A</t>
  </si>
  <si>
    <t>P0156225B</t>
  </si>
  <si>
    <t>파리바게트공항신도시점</t>
  </si>
  <si>
    <t>P0049406A</t>
  </si>
  <si>
    <t>P0155396B</t>
  </si>
  <si>
    <t>P0155467B</t>
  </si>
  <si>
    <t>이마트문현점</t>
  </si>
  <si>
    <t>P0081152B</t>
  </si>
  <si>
    <t>원주시</t>
  </si>
  <si>
    <t>P0156203B</t>
  </si>
  <si>
    <t>P0049402A</t>
  </si>
  <si>
    <t>P0155469B</t>
  </si>
  <si>
    <t>P0156617B</t>
  </si>
  <si>
    <t>P0049403A</t>
  </si>
  <si>
    <t>P0156230B</t>
  </si>
  <si>
    <t>P0049405A</t>
  </si>
  <si>
    <t>P0156231B</t>
  </si>
  <si>
    <t>PN0032872</t>
  </si>
  <si>
    <t>돌곶이역6호선</t>
  </si>
  <si>
    <t>PN0032842</t>
  </si>
  <si>
    <t>P0156932B</t>
  </si>
  <si>
    <t>P0155956B</t>
  </si>
  <si>
    <t>필수상회</t>
  </si>
  <si>
    <t>PN0032843</t>
  </si>
  <si>
    <t>P0156081B</t>
  </si>
  <si>
    <t>P0155892B</t>
  </si>
  <si>
    <t>P0154580B</t>
  </si>
  <si>
    <t>P0155629B</t>
  </si>
  <si>
    <t>롯데마트화명점</t>
  </si>
  <si>
    <t>P0049410A</t>
  </si>
  <si>
    <t>P0049408A</t>
  </si>
  <si>
    <t>PN0032427</t>
  </si>
  <si>
    <t>P0156591B</t>
  </si>
  <si>
    <t>P0142782B</t>
  </si>
  <si>
    <t>PN0032521</t>
  </si>
  <si>
    <t>PN0032523</t>
  </si>
  <si>
    <t>P0156232B</t>
  </si>
  <si>
    <t>P0155829B</t>
  </si>
  <si>
    <t>P0155470B</t>
  </si>
  <si>
    <t>회성동</t>
  </si>
  <si>
    <t>P0156548B</t>
  </si>
  <si>
    <t>기간한정</t>
  </si>
  <si>
    <t>P0156207B</t>
  </si>
  <si>
    <t>P0155663B</t>
  </si>
  <si>
    <t>PN0032873</t>
  </si>
  <si>
    <t>서울축산농협하나로마트월곡점</t>
  </si>
  <si>
    <t>P0156205B</t>
  </si>
  <si>
    <t>P0155972B</t>
  </si>
  <si>
    <t>P0155561B</t>
  </si>
  <si>
    <t>P0155471B</t>
  </si>
  <si>
    <t>P0142780B</t>
  </si>
  <si>
    <t>P0155631B</t>
  </si>
  <si>
    <t>P0156206B</t>
  </si>
  <si>
    <t>P0155381B</t>
  </si>
  <si>
    <t>P0155958B</t>
  </si>
  <si>
    <t>P0142783B</t>
  </si>
  <si>
    <t>P0155138B</t>
  </si>
  <si>
    <t>P0155400B</t>
  </si>
  <si>
    <t>PN0032871</t>
  </si>
  <si>
    <t>P0155142B</t>
  </si>
  <si>
    <t>P0156933B</t>
  </si>
  <si>
    <t>P0155562B</t>
  </si>
  <si>
    <t>P0155141B</t>
  </si>
  <si>
    <t>P0156208B</t>
  </si>
  <si>
    <t>P0155619B</t>
  </si>
  <si>
    <t>P0155894B</t>
  </si>
  <si>
    <t>P0155895B</t>
  </si>
  <si>
    <t>P0155301B</t>
  </si>
  <si>
    <t>P0155303B</t>
  </si>
  <si>
    <t>P0155139B</t>
  </si>
  <si>
    <t>P0155563B</t>
  </si>
  <si>
    <t>P0155136B</t>
  </si>
  <si>
    <t>P0155385B</t>
  </si>
  <si>
    <t>P0142785B</t>
  </si>
  <si>
    <t>P0142787B</t>
  </si>
  <si>
    <t>P0154581B</t>
  </si>
  <si>
    <t>P0156592B</t>
  </si>
  <si>
    <t>P0155830B</t>
  </si>
  <si>
    <t>P0155831B</t>
  </si>
  <si>
    <t>P0156593B</t>
  </si>
  <si>
    <t>PN0032446</t>
  </si>
  <si>
    <t>P0155959B</t>
  </si>
  <si>
    <t>P0155252B</t>
  </si>
  <si>
    <t>P0156209B</t>
  </si>
  <si>
    <t>P0155253B</t>
  </si>
  <si>
    <t>P0156549B</t>
  </si>
  <si>
    <t>P0049412A</t>
  </si>
  <si>
    <t>광주시서구,남구</t>
  </si>
  <si>
    <t>P0049411A</t>
  </si>
  <si>
    <t>P0049407A</t>
  </si>
  <si>
    <t>P0081151B</t>
  </si>
  <si>
    <t>밀양시</t>
  </si>
  <si>
    <t>P0049414A</t>
  </si>
  <si>
    <t>P0049409A</t>
  </si>
  <si>
    <t>P0156550B</t>
  </si>
  <si>
    <t>P0155304B</t>
  </si>
  <si>
    <t>GS더프레시죽곡점</t>
  </si>
  <si>
    <t>PN-UQ0001-UQ0188-UQ0203</t>
  </si>
  <si>
    <t>P0155832B</t>
  </si>
  <si>
    <t>이마트에브리데이양주옥정점</t>
  </si>
  <si>
    <t>P0155472B</t>
  </si>
  <si>
    <t>창녕읍</t>
  </si>
  <si>
    <t>P0156210B</t>
  </si>
  <si>
    <t>P0155473B</t>
  </si>
  <si>
    <t>P0049413A</t>
  </si>
  <si>
    <t>P0049415A</t>
  </si>
  <si>
    <t>P0155620B</t>
  </si>
  <si>
    <t>영산농협하나로마트</t>
  </si>
  <si>
    <t>P0155632B</t>
  </si>
  <si>
    <t>P0049416A</t>
  </si>
  <si>
    <t>P0155306B</t>
  </si>
  <si>
    <t>P0156069B</t>
  </si>
  <si>
    <t>스카이마트1호점</t>
  </si>
  <si>
    <t>P0156212B</t>
  </si>
  <si>
    <t>P0156595B</t>
  </si>
  <si>
    <t>P0156252B</t>
  </si>
  <si>
    <t>P0156211B</t>
  </si>
  <si>
    <t>PN0032470</t>
  </si>
  <si>
    <t>PN-UQ0001-UQ0204</t>
  </si>
  <si>
    <t>P0154582B</t>
  </si>
  <si>
    <t>P0155621B</t>
  </si>
  <si>
    <t>PN0032877</t>
  </si>
  <si>
    <t>메가커피군포송정점</t>
  </si>
  <si>
    <t>P0049418A</t>
  </si>
  <si>
    <t>PN0032499</t>
  </si>
  <si>
    <t>PN-UQ0001-UQ0204-UQ0206</t>
  </si>
  <si>
    <t>P0049422A</t>
  </si>
  <si>
    <t>P0156070B</t>
  </si>
  <si>
    <t>다이소경북청도점</t>
  </si>
  <si>
    <t>P0156233B</t>
  </si>
  <si>
    <t>P0155671B</t>
  </si>
  <si>
    <t>P0155390B</t>
  </si>
  <si>
    <t>P0155391B</t>
  </si>
  <si>
    <t>P0156071B</t>
  </si>
  <si>
    <t>PN0032469</t>
  </si>
  <si>
    <t>P0155672B</t>
  </si>
  <si>
    <t>PN0032876</t>
  </si>
  <si>
    <t>PN0032468</t>
  </si>
  <si>
    <t>P0155575B</t>
  </si>
  <si>
    <t>PN-UQ0001-UQ0043-UQ0205</t>
  </si>
  <si>
    <t>PN0032471</t>
  </si>
  <si>
    <t>P0155399B</t>
  </si>
  <si>
    <t>P0155388B</t>
  </si>
  <si>
    <t>PN0032473</t>
  </si>
  <si>
    <t>P0155305B</t>
  </si>
  <si>
    <t>PN0032844</t>
  </si>
  <si>
    <t>파리바게트구로점</t>
  </si>
  <si>
    <t>P0156596B</t>
  </si>
  <si>
    <t>이디야커피양주옥정로데오점</t>
  </si>
  <si>
    <t>P0156162B</t>
  </si>
  <si>
    <t>P0155476B</t>
  </si>
  <si>
    <t>삼문동</t>
  </si>
  <si>
    <t>P0156253B</t>
  </si>
  <si>
    <t>P0156234B</t>
  </si>
  <si>
    <t>P0155477B</t>
  </si>
  <si>
    <t>P0155576B</t>
  </si>
  <si>
    <t>온양농협하나로마트발리점</t>
  </si>
  <si>
    <t>P0156597B</t>
  </si>
  <si>
    <t>P0156254B</t>
  </si>
  <si>
    <t>P0156619B</t>
  </si>
  <si>
    <t>PN0032879</t>
  </si>
  <si>
    <t>P0155564B</t>
  </si>
  <si>
    <t>다이소양산북정점</t>
  </si>
  <si>
    <t>P0156235B</t>
  </si>
  <si>
    <t>P0155389B</t>
  </si>
  <si>
    <t>P0156163B</t>
  </si>
  <si>
    <t>P0155308B</t>
  </si>
  <si>
    <t>홍천뚝배기</t>
  </si>
  <si>
    <t>P0155479B</t>
  </si>
  <si>
    <t>P0156164B</t>
  </si>
  <si>
    <t>PN0032467</t>
  </si>
  <si>
    <t>P0156255B</t>
  </si>
  <si>
    <t>P0155478B</t>
  </si>
  <si>
    <t>P0156600B</t>
  </si>
  <si>
    <t>P0155307B</t>
  </si>
  <si>
    <t>P0155480B</t>
  </si>
  <si>
    <t>P0156165B</t>
  </si>
  <si>
    <t>P0156151B</t>
  </si>
  <si>
    <t>P0155578B</t>
  </si>
  <si>
    <t>P0155577B</t>
  </si>
  <si>
    <t>PN0032519</t>
  </si>
  <si>
    <t>P0154583B</t>
  </si>
  <si>
    <t>홈플러스익스프레스감삼점</t>
  </si>
  <si>
    <t>PN0032880</t>
  </si>
  <si>
    <t>P0156935B</t>
  </si>
  <si>
    <t>PN0032846</t>
  </si>
  <si>
    <t>P0154584B</t>
  </si>
  <si>
    <t>P0155309B</t>
  </si>
  <si>
    <t>P0155623B</t>
  </si>
  <si>
    <t>P0155580B</t>
  </si>
  <si>
    <t>P0156072B</t>
  </si>
  <si>
    <t>P0156936B</t>
  </si>
  <si>
    <t>P0155310B</t>
  </si>
  <si>
    <t>P0156152B</t>
  </si>
  <si>
    <t>P0155311B</t>
  </si>
  <si>
    <t>P0155633B</t>
  </si>
  <si>
    <t>PN0032847</t>
  </si>
  <si>
    <t>P0155581B</t>
  </si>
  <si>
    <t>PN0032848</t>
  </si>
  <si>
    <t>P0156937B</t>
  </si>
  <si>
    <t>P0155101B</t>
  </si>
  <si>
    <t>P0155102B</t>
  </si>
  <si>
    <t>P0156938B</t>
  </si>
  <si>
    <t>P0155565B</t>
  </si>
  <si>
    <t>P0156167B</t>
  </si>
  <si>
    <t>P0155312B</t>
  </si>
  <si>
    <t>P0155225B</t>
  </si>
  <si>
    <t>P0155313B</t>
  </si>
  <si>
    <t>P0155622B</t>
  </si>
  <si>
    <t>P0155137B</t>
  </si>
  <si>
    <t>P0049419A</t>
  </si>
  <si>
    <t>P0049420A</t>
  </si>
  <si>
    <t>P0155134B</t>
  </si>
  <si>
    <t>P0049421A</t>
  </si>
  <si>
    <t>P0155634B</t>
  </si>
  <si>
    <t>P0081153B</t>
  </si>
  <si>
    <t>P0156236B</t>
  </si>
  <si>
    <t>다이소상계보람점</t>
  </si>
  <si>
    <t>P0156213B</t>
  </si>
  <si>
    <t>P0156237B</t>
  </si>
  <si>
    <t>상계역</t>
  </si>
  <si>
    <t>PN0032447</t>
  </si>
  <si>
    <t>다이소외동점</t>
  </si>
  <si>
    <t>P0140827B</t>
  </si>
  <si>
    <t>P0155481B</t>
  </si>
  <si>
    <t>석전동</t>
  </si>
  <si>
    <t>P0155833B</t>
  </si>
  <si>
    <t>올리브영포천신읍점</t>
  </si>
  <si>
    <t>P0155482B</t>
  </si>
  <si>
    <t>P0156603B</t>
  </si>
  <si>
    <t>PN-UQ0001-UQ0208</t>
  </si>
  <si>
    <t>P0156154B</t>
  </si>
  <si>
    <t>P0155314B</t>
  </si>
  <si>
    <t>대백마트상인점</t>
  </si>
  <si>
    <t>P0140820B</t>
  </si>
  <si>
    <t>P0142402B</t>
  </si>
  <si>
    <t>P0155316B</t>
  </si>
  <si>
    <t>PN0032472</t>
  </si>
  <si>
    <t>P0155567B</t>
  </si>
  <si>
    <t>P0155317B</t>
  </si>
  <si>
    <t>P0049423A</t>
  </si>
  <si>
    <t>P0155258B</t>
  </si>
  <si>
    <t>구미도량동우체국</t>
  </si>
  <si>
    <t>P0155483B</t>
  </si>
  <si>
    <t>P0155568B</t>
  </si>
  <si>
    <t>P0081181B</t>
  </si>
  <si>
    <t>P0156256B</t>
  </si>
  <si>
    <t>P0155582B</t>
  </si>
  <si>
    <t>장승포농협하나로마트본점</t>
  </si>
  <si>
    <t>P0155319B</t>
  </si>
  <si>
    <t>PN0032581</t>
  </si>
  <si>
    <t>P0155569B</t>
  </si>
  <si>
    <t>P0155318B</t>
  </si>
  <si>
    <t>P0155320B</t>
  </si>
  <si>
    <t>P0155583B</t>
  </si>
  <si>
    <t>P0155484B</t>
  </si>
  <si>
    <t>P0156257B</t>
  </si>
  <si>
    <t>P0049424A</t>
  </si>
  <si>
    <t>P0156216B</t>
  </si>
  <si>
    <t>P0155259B</t>
  </si>
  <si>
    <t>P0155321B</t>
  </si>
  <si>
    <t>P0155131B</t>
  </si>
  <si>
    <t>P0155300B</t>
  </si>
  <si>
    <t>P0155584B</t>
  </si>
  <si>
    <t>P0155260B</t>
  </si>
  <si>
    <t>P0155673B</t>
  </si>
  <si>
    <t>P0049425A</t>
  </si>
  <si>
    <t>P0049426A</t>
  </si>
  <si>
    <t>P0049427A</t>
  </si>
  <si>
    <t>P0156215B</t>
  </si>
  <si>
    <t>P0155485B</t>
  </si>
  <si>
    <t>구암동</t>
  </si>
  <si>
    <t>PN0032881</t>
  </si>
  <si>
    <t>안양농협관양지점</t>
  </si>
  <si>
    <t>PN0032849</t>
  </si>
  <si>
    <t>P0155261B</t>
  </si>
  <si>
    <t>플래쉬마트</t>
  </si>
  <si>
    <t>P0049428A</t>
  </si>
  <si>
    <t>P0156551B</t>
  </si>
  <si>
    <t>P0140836B</t>
  </si>
  <si>
    <t>P0156174B</t>
  </si>
  <si>
    <t>P0156258B</t>
  </si>
  <si>
    <t>P0049429A</t>
  </si>
  <si>
    <t>PN0032580</t>
  </si>
  <si>
    <t>P0155222B</t>
  </si>
  <si>
    <t>P0156217B</t>
  </si>
  <si>
    <t>PN-HA0001-HA0036</t>
  </si>
  <si>
    <t>P0156156B</t>
  </si>
  <si>
    <t>P0155808B</t>
  </si>
  <si>
    <t>P0156939B</t>
  </si>
  <si>
    <t>P0155322B</t>
  </si>
  <si>
    <t>KB국민은행대구테크노폴리스점</t>
  </si>
  <si>
    <t>P0154585B</t>
  </si>
  <si>
    <t>P0155220B</t>
  </si>
  <si>
    <t>P0155262B</t>
  </si>
  <si>
    <t>P0049430A</t>
  </si>
  <si>
    <t>P0155323B</t>
  </si>
  <si>
    <t>P0049432A</t>
  </si>
  <si>
    <t>P0155219B</t>
  </si>
  <si>
    <t>P0155324B</t>
  </si>
  <si>
    <t>P0155586B</t>
  </si>
  <si>
    <t>P0156219B</t>
  </si>
  <si>
    <t>PN0032851</t>
  </si>
  <si>
    <t>P0155218B</t>
  </si>
  <si>
    <t>P0155587B</t>
  </si>
  <si>
    <t>P0155326B</t>
  </si>
  <si>
    <t>P0155216B</t>
  </si>
  <si>
    <t>P0155325B</t>
  </si>
  <si>
    <t>P0155215B</t>
  </si>
  <si>
    <t>Termination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</si>
</sst>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₩&quot;#,##0;[Red]\-&quot;₩&quot;#,##0"/>
    <numFmt numFmtId="176" formatCode="&quot;₩&quot;#,##0"/>
    <numFmt numFmtId="177" formatCode="yyyy/mm/dd\ aaa"/>
    <numFmt numFmtId="178" formatCode="h:mm;@"/>
    <numFmt numFmtId="179" formatCode="&quot;₩&quot;#,##0_);[Red]\(&quot;₩&quot;#,##0\)"/>
    <numFmt numFmtId="180" formatCode="#,##0_ "/>
    <numFmt numFmtId="181" formatCode="0_);[Red]\(0\)"/>
    <numFmt numFmtId="182" formatCode="&quot;₩&quot;#,##0;[Red]\-&quot;₩&quot;#,##0;"/>
    <numFmt numFmtId="183" formatCode="#&quot; 건&quot;;#&quot; 건&quot;;&quot;0 건&quot;"/>
    <numFmt numFmtId="184" formatCode="&quot;₩&quot;#,##0.00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indexed="8"/>
      <name val="맑은 고딕"/>
      <family val="2"/>
      <scheme val="minor"/>
    </font>
    <font>
      <b/>
      <sz val="11"/>
      <name val="Arial"/>
      <family val="2"/>
    </font>
    <font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9" fontId="12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 applyAlignment="1"/>
    <xf numFmtId="176" fontId="0" fillId="2" borderId="0" xfId="0" applyNumberFormat="1" applyFill="1" applyAlignment="1"/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2" borderId="0" xfId="0" applyFill="1">
      <alignment vertical="center"/>
    </xf>
    <xf numFmtId="179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177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81" fontId="7" fillId="0" borderId="0" xfId="2" applyNumberFormat="1" applyFont="1">
      <alignment vertical="center"/>
    </xf>
    <xf numFmtId="0" fontId="9" fillId="0" borderId="0" xfId="2" applyFont="1">
      <alignment vertical="center"/>
    </xf>
    <xf numFmtId="6" fontId="7" fillId="0" borderId="0" xfId="2" applyNumberFormat="1" applyFont="1">
      <alignment vertical="center"/>
    </xf>
    <xf numFmtId="6" fontId="10" fillId="0" borderId="0" xfId="2" applyNumberFormat="1" applyFont="1">
      <alignment vertical="center"/>
    </xf>
    <xf numFmtId="0" fontId="10" fillId="0" borderId="0" xfId="2" applyFont="1">
      <alignment vertical="center"/>
    </xf>
    <xf numFmtId="176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183" fontId="0" fillId="0" borderId="0" xfId="0" applyNumberFormat="1" applyAlignment="1">
      <alignment horizontal="left" vertical="center"/>
    </xf>
    <xf numFmtId="176" fontId="0" fillId="2" borderId="1" xfId="0" applyNumberFormat="1" applyFill="1" applyBorder="1" applyAlignment="1">
      <alignment horizontal="center" vertical="center"/>
    </xf>
    <xf numFmtId="6" fontId="0" fillId="0" borderId="0" xfId="0" applyNumberFormat="1">
      <alignment vertical="center"/>
    </xf>
    <xf numFmtId="6" fontId="13" fillId="0" borderId="0" xfId="2" applyNumberFormat="1" applyFont="1">
      <alignment vertical="center"/>
    </xf>
    <xf numFmtId="179" fontId="0" fillId="0" borderId="0" xfId="0" applyNumberFormat="1" applyAlignment="1">
      <alignment horizontal="right" vertical="center"/>
    </xf>
    <xf numFmtId="182" fontId="0" fillId="0" borderId="0" xfId="0" applyNumberFormat="1">
      <alignment vertical="center"/>
    </xf>
    <xf numFmtId="177" fontId="0" fillId="4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8" fontId="0" fillId="4" borderId="2" xfId="0" applyNumberFormat="1" applyFill="1" applyBorder="1" applyAlignment="1">
      <alignment horizontal="center" vertical="center"/>
    </xf>
    <xf numFmtId="176" fontId="0" fillId="4" borderId="2" xfId="0" applyNumberForma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  <xf numFmtId="177" fontId="0" fillId="5" borderId="2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78" fontId="0" fillId="5" borderId="2" xfId="0" applyNumberFormat="1" applyFill="1" applyBorder="1" applyAlignment="1">
      <alignment horizontal="center" vertical="center"/>
    </xf>
    <xf numFmtId="179" fontId="0" fillId="5" borderId="2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0" fontId="0" fillId="6" borderId="0" xfId="0" applyFill="1">
      <alignment vertical="center"/>
    </xf>
    <xf numFmtId="49" fontId="0" fillId="6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81" fontId="7" fillId="0" borderId="0" xfId="2" applyNumberFormat="1" applyFont="1" applyFill="1">
      <alignment vertical="center"/>
    </xf>
    <xf numFmtId="0" fontId="9" fillId="0" borderId="0" xfId="2" applyFont="1" applyFill="1">
      <alignment vertical="center"/>
    </xf>
    <xf numFmtId="6" fontId="7" fillId="0" borderId="0" xfId="2" applyNumberFormat="1" applyFont="1" applyFill="1">
      <alignment vertical="center"/>
    </xf>
    <xf numFmtId="6" fontId="10" fillId="0" borderId="0" xfId="2" applyNumberFormat="1" applyFont="1" applyFill="1">
      <alignment vertical="center"/>
    </xf>
    <xf numFmtId="0" fontId="0" fillId="0" borderId="0" xfId="0" applyFill="1">
      <alignment vertical="center"/>
    </xf>
    <xf numFmtId="0" fontId="7" fillId="0" borderId="0" xfId="2" applyNumberFormat="1" applyFont="1">
      <alignment vertical="center"/>
    </xf>
    <xf numFmtId="0" fontId="8" fillId="0" borderId="0" xfId="2" applyNumberFormat="1" applyFont="1" applyAlignment="1">
      <alignment horizontal="right" vertical="center"/>
    </xf>
    <xf numFmtId="0" fontId="8" fillId="0" borderId="0" xfId="2" applyNumberFormat="1" applyFont="1" applyFill="1" applyAlignment="1">
      <alignment horizontal="right" vertical="center"/>
    </xf>
    <xf numFmtId="184" fontId="0" fillId="0" borderId="0" xfId="0" applyNumberFormat="1">
      <alignment vertical="center"/>
    </xf>
    <xf numFmtId="0" fontId="3" fillId="0" borderId="0" xfId="1" applyFont="1" applyBorder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/>
    </xf>
    <xf numFmtId="0" fontId="14" fillId="0" borderId="0" xfId="1" applyFont="1" applyBorder="1" applyAlignment="1">
      <alignment horizontal="left" vertical="center"/>
    </xf>
    <xf numFmtId="0" fontId="10" fillId="0" borderId="0" xfId="1" applyFont="1" applyBorder="1" applyAlignment="1">
      <alignment horizontal="left" vertical="center"/>
    </xf>
    <xf numFmtId="49" fontId="14" fillId="0" borderId="0" xfId="1" applyNumberFormat="1" applyFon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76" fontId="11" fillId="0" borderId="0" xfId="0" applyNumberFormat="1" applyFont="1" applyAlignment="1">
      <alignment horizontal="right" vertical="center"/>
    </xf>
    <xf numFmtId="177" fontId="5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>
      <alignment horizontal="right" vertical="center"/>
    </xf>
    <xf numFmtId="179" fontId="0" fillId="0" borderId="0" xfId="0" applyNumberFormat="1" applyAlignment="1">
      <alignment horizontal="righ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right" vertical="center" indent="1"/>
    </xf>
    <xf numFmtId="20" fontId="0" fillId="0" borderId="0" xfId="0" applyNumberFormat="1">
      <alignment vertical="center"/>
    </xf>
  </cellXfs>
  <cellStyles count="4">
    <cellStyle name="백분율" xfId="3" builtinId="5"/>
    <cellStyle name="표준" xfId="0" builtinId="0"/>
    <cellStyle name="표준 2" xfId="1" xr:uid="{7C096069-A3DB-42D4-8BCF-4CE1978184D1}"/>
    <cellStyle name="표준 3" xfId="2" xr:uid="{409B7F1C-4C7A-4F80-B329-14350E446E7A}"/>
  </cellStyles>
  <dxfs count="28">
    <dxf>
      <font>
        <color rgb="FF9C0006"/>
      </font>
      <fill>
        <patternFill>
          <bgColor rgb="FFFFC7CE"/>
        </patternFill>
      </fill>
    </dxf>
    <dxf>
      <fill>
        <patternFill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BAB"/>
        </patternFill>
      </fill>
    </dxf>
    <dxf>
      <fill>
        <patternFill>
          <bgColor rgb="FF92D050"/>
        </patternFill>
      </fill>
    </dxf>
    <dxf>
      <fill>
        <patternFill>
          <bgColor rgb="FFD0EBB3"/>
        </patternFill>
      </fill>
    </dxf>
    <dxf>
      <fill>
        <patternFill>
          <bgColor rgb="FFC9A4E4"/>
        </patternFill>
      </fill>
    </dxf>
    <dxf>
      <fill>
        <patternFill>
          <bgColor rgb="FFFFED9F"/>
        </patternFill>
      </fill>
    </dxf>
    <dxf>
      <fill>
        <patternFill>
          <bgColor rgb="FF71C2FF"/>
        </patternFill>
      </fill>
    </dxf>
    <dxf>
      <fill>
        <patternFill>
          <bgColor rgb="FFBABABA"/>
        </patternFill>
      </fill>
    </dxf>
    <dxf>
      <fill>
        <patternFill>
          <bgColor rgb="FFFEF9E7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EF9E7"/>
      <color rgb="FFDDEBF7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AF5B9-D11D-4E98-BF48-964C47A35012}">
  <sheetPr codeName="Sheet1"/>
  <dimension ref="A1:N173"/>
  <sheetViews>
    <sheetView workbookViewId="0">
      <selection activeCell="N21" sqref="N21"/>
    </sheetView>
  </sheetViews>
  <sheetFormatPr defaultRowHeight="16.5" x14ac:dyDescent="0.3"/>
  <cols>
    <col min="5" max="5" width="9.75" customWidth="1"/>
    <col min="15" max="15" width="255.625" bestFit="1" customWidth="1"/>
  </cols>
  <sheetData>
    <row r="1" spans="1:14" x14ac:dyDescent="0.3">
      <c r="A1" s="8" t="s">
        <v>36</v>
      </c>
      <c r="B1" s="8" t="s">
        <v>37</v>
      </c>
      <c r="C1" s="8" t="s">
        <v>11</v>
      </c>
      <c r="D1" s="8" t="s">
        <v>12</v>
      </c>
      <c r="E1" s="8" t="s">
        <v>43</v>
      </c>
      <c r="I1" s="8" t="s">
        <v>36</v>
      </c>
      <c r="J1" s="8" t="s">
        <v>37</v>
      </c>
      <c r="K1" s="8" t="s">
        <v>11</v>
      </c>
      <c r="L1" s="8" t="s">
        <v>12</v>
      </c>
      <c r="M1" s="8" t="s">
        <v>43</v>
      </c>
      <c r="N1" s="11" t="s">
        <v>46</v>
      </c>
    </row>
    <row r="2" spans="1:14" x14ac:dyDescent="0.3">
      <c r="A2" t="s">
        <v>97</v>
      </c>
      <c r="B2" t="s">
        <v>97</v>
      </c>
      <c r="C2" t="s">
        <v>22</v>
      </c>
      <c r="D2" t="s">
        <v>98</v>
      </c>
      <c r="E2" t="s">
        <v>113</v>
      </c>
      <c r="I2" t="s">
        <v>97</v>
      </c>
      <c r="J2" t="s">
        <v>97</v>
      </c>
      <c r="K2" t="s">
        <v>22</v>
      </c>
      <c r="L2" t="s">
        <v>98</v>
      </c>
      <c r="M2" t="s">
        <v>113</v>
      </c>
      <c r="N2" t="b">
        <f>AND(OR(M2="TL",M2="STL",M2="D",M2="SD"),COUNTIF($I$2:$I$595,K2)&gt;0)</f>
        <v>1</v>
      </c>
    </row>
    <row r="3" spans="1:14" x14ac:dyDescent="0.3">
      <c r="A3" t="s">
        <v>22</v>
      </c>
      <c r="B3" t="s">
        <v>98</v>
      </c>
      <c r="C3" t="s">
        <v>23</v>
      </c>
      <c r="D3" t="s">
        <v>99</v>
      </c>
      <c r="E3" t="s">
        <v>114</v>
      </c>
      <c r="I3" t="s">
        <v>22</v>
      </c>
      <c r="J3" t="s">
        <v>98</v>
      </c>
      <c r="K3" t="s">
        <v>23</v>
      </c>
      <c r="L3" t="s">
        <v>99</v>
      </c>
      <c r="M3" t="s">
        <v>114</v>
      </c>
      <c r="N3" t="b">
        <f t="shared" ref="N3:N66" si="0">AND(OR(M3="TL",M3="STL",M3="D",M3="SD"),COUNTIF($I$2:$I$595,K3)&gt;0)</f>
        <v>1</v>
      </c>
    </row>
    <row r="4" spans="1:14" x14ac:dyDescent="0.3">
      <c r="A4" t="s">
        <v>23</v>
      </c>
      <c r="B4" t="s">
        <v>99</v>
      </c>
      <c r="C4" t="s">
        <v>73</v>
      </c>
      <c r="D4" t="s">
        <v>115</v>
      </c>
      <c r="E4" t="s">
        <v>116</v>
      </c>
      <c r="I4" t="s">
        <v>23</v>
      </c>
      <c r="J4" t="s">
        <v>99</v>
      </c>
      <c r="K4" t="s">
        <v>73</v>
      </c>
      <c r="L4" t="s">
        <v>115</v>
      </c>
      <c r="M4" t="s">
        <v>116</v>
      </c>
      <c r="N4" t="b">
        <f t="shared" si="0"/>
        <v>0</v>
      </c>
    </row>
    <row r="5" spans="1:14" x14ac:dyDescent="0.3">
      <c r="A5" t="s">
        <v>22</v>
      </c>
      <c r="B5" t="s">
        <v>98</v>
      </c>
      <c r="C5" t="s">
        <v>78</v>
      </c>
      <c r="D5" t="s">
        <v>100</v>
      </c>
      <c r="E5" t="s">
        <v>116</v>
      </c>
      <c r="I5" t="s">
        <v>22</v>
      </c>
      <c r="J5" t="s">
        <v>98</v>
      </c>
      <c r="K5" t="s">
        <v>78</v>
      </c>
      <c r="L5" t="s">
        <v>100</v>
      </c>
      <c r="M5" t="s">
        <v>116</v>
      </c>
      <c r="N5" t="b">
        <f t="shared" si="0"/>
        <v>1</v>
      </c>
    </row>
    <row r="6" spans="1:14" x14ac:dyDescent="0.3">
      <c r="A6" t="s">
        <v>78</v>
      </c>
      <c r="B6" t="s">
        <v>100</v>
      </c>
      <c r="C6" t="s">
        <v>88</v>
      </c>
      <c r="D6" t="s">
        <v>117</v>
      </c>
      <c r="E6" t="s">
        <v>118</v>
      </c>
      <c r="I6" t="s">
        <v>78</v>
      </c>
      <c r="J6" t="s">
        <v>100</v>
      </c>
      <c r="K6" t="s">
        <v>88</v>
      </c>
      <c r="L6" t="s">
        <v>117</v>
      </c>
      <c r="M6" t="s">
        <v>118</v>
      </c>
      <c r="N6" t="b">
        <f t="shared" si="0"/>
        <v>0</v>
      </c>
    </row>
    <row r="7" spans="1:14" x14ac:dyDescent="0.3">
      <c r="A7" t="s">
        <v>97</v>
      </c>
      <c r="B7" t="s">
        <v>97</v>
      </c>
      <c r="C7" t="s">
        <v>27</v>
      </c>
      <c r="D7" t="s">
        <v>101</v>
      </c>
      <c r="E7" t="s">
        <v>119</v>
      </c>
      <c r="I7" t="s">
        <v>97</v>
      </c>
      <c r="J7" t="s">
        <v>97</v>
      </c>
      <c r="K7" t="s">
        <v>27</v>
      </c>
      <c r="L7" t="s">
        <v>101</v>
      </c>
      <c r="M7" t="s">
        <v>119</v>
      </c>
      <c r="N7" t="b">
        <f t="shared" si="0"/>
        <v>1</v>
      </c>
    </row>
    <row r="8" spans="1:14" x14ac:dyDescent="0.3">
      <c r="A8" t="s">
        <v>27</v>
      </c>
      <c r="B8" t="s">
        <v>101</v>
      </c>
      <c r="C8" t="s">
        <v>65</v>
      </c>
      <c r="D8" t="s">
        <v>102</v>
      </c>
      <c r="E8" t="s">
        <v>116</v>
      </c>
      <c r="I8" t="s">
        <v>27</v>
      </c>
      <c r="J8" t="s">
        <v>101</v>
      </c>
      <c r="K8" t="s">
        <v>65</v>
      </c>
      <c r="L8" t="s">
        <v>102</v>
      </c>
      <c r="M8" t="s">
        <v>116</v>
      </c>
      <c r="N8" t="b">
        <f t="shared" si="0"/>
        <v>1</v>
      </c>
    </row>
    <row r="9" spans="1:14" x14ac:dyDescent="0.3">
      <c r="A9" t="s">
        <v>65</v>
      </c>
      <c r="B9" t="s">
        <v>102</v>
      </c>
      <c r="C9" t="s">
        <v>86</v>
      </c>
      <c r="D9" t="s">
        <v>120</v>
      </c>
      <c r="E9" t="s">
        <v>118</v>
      </c>
      <c r="I9" t="s">
        <v>65</v>
      </c>
      <c r="J9" t="s">
        <v>102</v>
      </c>
      <c r="K9" t="s">
        <v>86</v>
      </c>
      <c r="L9" t="s">
        <v>120</v>
      </c>
      <c r="M9" t="s">
        <v>118</v>
      </c>
      <c r="N9" t="b">
        <f t="shared" si="0"/>
        <v>0</v>
      </c>
    </row>
    <row r="10" spans="1:14" x14ac:dyDescent="0.3">
      <c r="A10" t="s">
        <v>65</v>
      </c>
      <c r="B10" t="s">
        <v>102</v>
      </c>
      <c r="C10" t="s">
        <v>93</v>
      </c>
      <c r="D10" t="s">
        <v>121</v>
      </c>
      <c r="E10" t="s">
        <v>118</v>
      </c>
      <c r="I10" t="s">
        <v>65</v>
      </c>
      <c r="J10" t="s">
        <v>102</v>
      </c>
      <c r="K10" t="s">
        <v>93</v>
      </c>
      <c r="L10" t="s">
        <v>121</v>
      </c>
      <c r="M10" t="s">
        <v>118</v>
      </c>
      <c r="N10" t="b">
        <f t="shared" si="0"/>
        <v>0</v>
      </c>
    </row>
    <row r="11" spans="1:14" x14ac:dyDescent="0.3">
      <c r="A11" t="s">
        <v>27</v>
      </c>
      <c r="B11" t="s">
        <v>101</v>
      </c>
      <c r="C11" t="s">
        <v>122</v>
      </c>
      <c r="D11" t="s">
        <v>123</v>
      </c>
      <c r="E11" t="s">
        <v>124</v>
      </c>
      <c r="I11" t="s">
        <v>27</v>
      </c>
      <c r="J11" t="s">
        <v>101</v>
      </c>
      <c r="K11" t="s">
        <v>122</v>
      </c>
      <c r="L11" t="s">
        <v>123</v>
      </c>
      <c r="M11" t="s">
        <v>124</v>
      </c>
      <c r="N11" t="b">
        <f t="shared" si="0"/>
        <v>0</v>
      </c>
    </row>
    <row r="12" spans="1:14" x14ac:dyDescent="0.3">
      <c r="A12" t="s">
        <v>27</v>
      </c>
      <c r="B12" t="s">
        <v>101</v>
      </c>
      <c r="C12" t="s">
        <v>125</v>
      </c>
      <c r="D12" t="s">
        <v>126</v>
      </c>
      <c r="E12" t="s">
        <v>124</v>
      </c>
      <c r="I12" t="s">
        <v>27</v>
      </c>
      <c r="J12" t="s">
        <v>101</v>
      </c>
      <c r="K12" t="s">
        <v>125</v>
      </c>
      <c r="L12" t="s">
        <v>126</v>
      </c>
      <c r="M12" t="s">
        <v>124</v>
      </c>
      <c r="N12" t="b">
        <f t="shared" si="0"/>
        <v>0</v>
      </c>
    </row>
    <row r="13" spans="1:14" x14ac:dyDescent="0.3">
      <c r="A13" t="s">
        <v>27</v>
      </c>
      <c r="B13" t="s">
        <v>101</v>
      </c>
      <c r="C13" t="s">
        <v>127</v>
      </c>
      <c r="D13" t="s">
        <v>128</v>
      </c>
      <c r="E13" t="s">
        <v>124</v>
      </c>
      <c r="I13" t="s">
        <v>97</v>
      </c>
      <c r="J13" t="s">
        <v>97</v>
      </c>
      <c r="K13" t="s">
        <v>24</v>
      </c>
      <c r="L13" t="s">
        <v>103</v>
      </c>
      <c r="M13" t="s">
        <v>118</v>
      </c>
      <c r="N13" t="b">
        <f t="shared" si="0"/>
        <v>0</v>
      </c>
    </row>
    <row r="14" spans="1:14" x14ac:dyDescent="0.3">
      <c r="A14" t="s">
        <v>97</v>
      </c>
      <c r="B14" t="s">
        <v>97</v>
      </c>
      <c r="C14" t="s">
        <v>24</v>
      </c>
      <c r="D14" t="s">
        <v>103</v>
      </c>
      <c r="E14" t="s">
        <v>118</v>
      </c>
      <c r="I14" t="s">
        <v>24</v>
      </c>
      <c r="J14" t="s">
        <v>103</v>
      </c>
      <c r="K14" t="s">
        <v>25</v>
      </c>
      <c r="L14" t="s">
        <v>129</v>
      </c>
      <c r="M14" t="s">
        <v>118</v>
      </c>
      <c r="N14" t="b">
        <f t="shared" si="0"/>
        <v>0</v>
      </c>
    </row>
    <row r="15" spans="1:14" x14ac:dyDescent="0.3">
      <c r="A15" t="s">
        <v>24</v>
      </c>
      <c r="B15" t="s">
        <v>103</v>
      </c>
      <c r="C15" t="s">
        <v>25</v>
      </c>
      <c r="D15" t="s">
        <v>129</v>
      </c>
      <c r="E15" t="s">
        <v>118</v>
      </c>
      <c r="I15" t="s">
        <v>24</v>
      </c>
      <c r="J15" t="s">
        <v>103</v>
      </c>
      <c r="K15" t="s">
        <v>26</v>
      </c>
      <c r="L15" t="s">
        <v>130</v>
      </c>
      <c r="M15" t="s">
        <v>118</v>
      </c>
      <c r="N15" t="b">
        <f t="shared" si="0"/>
        <v>0</v>
      </c>
    </row>
    <row r="16" spans="1:14" x14ac:dyDescent="0.3">
      <c r="A16" t="s">
        <v>24</v>
      </c>
      <c r="B16" t="s">
        <v>103</v>
      </c>
      <c r="C16" t="s">
        <v>26</v>
      </c>
      <c r="D16" t="s">
        <v>130</v>
      </c>
      <c r="E16" t="s">
        <v>118</v>
      </c>
      <c r="I16" t="s">
        <v>97</v>
      </c>
      <c r="J16" t="s">
        <v>97</v>
      </c>
      <c r="K16" t="s">
        <v>79</v>
      </c>
      <c r="L16" t="s">
        <v>131</v>
      </c>
      <c r="M16" t="s">
        <v>114</v>
      </c>
      <c r="N16" t="b">
        <f t="shared" si="0"/>
        <v>0</v>
      </c>
    </row>
    <row r="17" spans="1:14" x14ac:dyDescent="0.3">
      <c r="A17" t="s">
        <v>97</v>
      </c>
      <c r="B17" t="s">
        <v>97</v>
      </c>
      <c r="C17" t="s">
        <v>79</v>
      </c>
      <c r="D17" t="s">
        <v>131</v>
      </c>
      <c r="E17" t="s">
        <v>114</v>
      </c>
      <c r="I17" t="s">
        <v>97</v>
      </c>
      <c r="J17" t="s">
        <v>97</v>
      </c>
      <c r="K17" t="s">
        <v>28</v>
      </c>
      <c r="L17" t="s">
        <v>132</v>
      </c>
      <c r="M17" t="s">
        <v>118</v>
      </c>
      <c r="N17" t="b">
        <f t="shared" si="0"/>
        <v>0</v>
      </c>
    </row>
    <row r="18" spans="1:14" x14ac:dyDescent="0.3">
      <c r="A18" t="s">
        <v>97</v>
      </c>
      <c r="B18" t="s">
        <v>97</v>
      </c>
      <c r="C18" t="s">
        <v>28</v>
      </c>
      <c r="D18" t="s">
        <v>132</v>
      </c>
      <c r="E18" t="s">
        <v>118</v>
      </c>
      <c r="I18" t="s">
        <v>97</v>
      </c>
      <c r="J18" t="s">
        <v>97</v>
      </c>
      <c r="K18" t="s">
        <v>29</v>
      </c>
      <c r="L18" t="s">
        <v>104</v>
      </c>
      <c r="M18" t="s">
        <v>119</v>
      </c>
      <c r="N18" t="b">
        <f t="shared" si="0"/>
        <v>1</v>
      </c>
    </row>
    <row r="19" spans="1:14" x14ac:dyDescent="0.3">
      <c r="A19" t="s">
        <v>97</v>
      </c>
      <c r="B19" t="s">
        <v>97</v>
      </c>
      <c r="C19" t="s">
        <v>29</v>
      </c>
      <c r="D19" t="s">
        <v>104</v>
      </c>
      <c r="E19" t="s">
        <v>119</v>
      </c>
      <c r="I19" t="s">
        <v>29</v>
      </c>
      <c r="J19" t="s">
        <v>104</v>
      </c>
      <c r="K19" t="s">
        <v>30</v>
      </c>
      <c r="L19" t="s">
        <v>106</v>
      </c>
      <c r="M19" t="s">
        <v>114</v>
      </c>
      <c r="N19" t="b">
        <f t="shared" si="0"/>
        <v>1</v>
      </c>
    </row>
    <row r="20" spans="1:14" x14ac:dyDescent="0.3">
      <c r="A20" t="s">
        <v>29</v>
      </c>
      <c r="B20" t="s">
        <v>104</v>
      </c>
      <c r="C20" t="s">
        <v>30</v>
      </c>
      <c r="D20" t="s">
        <v>106</v>
      </c>
      <c r="E20" t="s">
        <v>114</v>
      </c>
      <c r="I20" t="s">
        <v>29</v>
      </c>
      <c r="J20" t="s">
        <v>104</v>
      </c>
      <c r="K20" t="s">
        <v>31</v>
      </c>
      <c r="L20" t="s">
        <v>105</v>
      </c>
      <c r="M20" t="s">
        <v>114</v>
      </c>
      <c r="N20" t="b">
        <f t="shared" si="0"/>
        <v>1</v>
      </c>
    </row>
    <row r="21" spans="1:14" x14ac:dyDescent="0.3">
      <c r="A21" t="s">
        <v>29</v>
      </c>
      <c r="B21" t="s">
        <v>104</v>
      </c>
      <c r="C21" t="s">
        <v>31</v>
      </c>
      <c r="D21" t="s">
        <v>105</v>
      </c>
      <c r="E21" t="s">
        <v>114</v>
      </c>
      <c r="I21" t="s">
        <v>31</v>
      </c>
      <c r="J21" t="s">
        <v>105</v>
      </c>
      <c r="K21" t="s">
        <v>76</v>
      </c>
      <c r="L21" t="s">
        <v>107</v>
      </c>
      <c r="M21" t="s">
        <v>116</v>
      </c>
      <c r="N21" t="b">
        <f t="shared" si="0"/>
        <v>1</v>
      </c>
    </row>
    <row r="22" spans="1:14" x14ac:dyDescent="0.3">
      <c r="A22" t="s">
        <v>31</v>
      </c>
      <c r="B22" t="s">
        <v>105</v>
      </c>
      <c r="C22" t="s">
        <v>76</v>
      </c>
      <c r="D22" t="s">
        <v>107</v>
      </c>
      <c r="E22" t="s">
        <v>116</v>
      </c>
      <c r="I22" t="s">
        <v>30</v>
      </c>
      <c r="J22" t="s">
        <v>106</v>
      </c>
      <c r="K22" t="s">
        <v>77</v>
      </c>
      <c r="L22" t="s">
        <v>133</v>
      </c>
      <c r="M22" t="s">
        <v>116</v>
      </c>
      <c r="N22" t="b">
        <f t="shared" si="0"/>
        <v>0</v>
      </c>
    </row>
    <row r="23" spans="1:14" x14ac:dyDescent="0.3">
      <c r="A23" t="s">
        <v>30</v>
      </c>
      <c r="B23" t="s">
        <v>106</v>
      </c>
      <c r="C23" t="s">
        <v>77</v>
      </c>
      <c r="D23" t="s">
        <v>133</v>
      </c>
      <c r="E23" t="s">
        <v>116</v>
      </c>
      <c r="I23" t="s">
        <v>30</v>
      </c>
      <c r="J23" t="s">
        <v>106</v>
      </c>
      <c r="K23" t="s">
        <v>84</v>
      </c>
      <c r="L23" t="s">
        <v>108</v>
      </c>
      <c r="M23" t="s">
        <v>116</v>
      </c>
      <c r="N23" t="b">
        <f t="shared" si="0"/>
        <v>1</v>
      </c>
    </row>
    <row r="24" spans="1:14" x14ac:dyDescent="0.3">
      <c r="A24" t="s">
        <v>30</v>
      </c>
      <c r="B24" t="s">
        <v>106</v>
      </c>
      <c r="C24" t="s">
        <v>84</v>
      </c>
      <c r="D24" t="s">
        <v>108</v>
      </c>
      <c r="E24" t="s">
        <v>116</v>
      </c>
      <c r="I24" t="s">
        <v>30</v>
      </c>
      <c r="J24" t="s">
        <v>106</v>
      </c>
      <c r="K24" t="s">
        <v>85</v>
      </c>
      <c r="L24" t="s">
        <v>109</v>
      </c>
      <c r="M24" t="s">
        <v>118</v>
      </c>
      <c r="N24" t="b">
        <f t="shared" si="0"/>
        <v>0</v>
      </c>
    </row>
    <row r="25" spans="1:14" x14ac:dyDescent="0.3">
      <c r="A25" t="s">
        <v>30</v>
      </c>
      <c r="B25" t="s">
        <v>106</v>
      </c>
      <c r="C25" t="s">
        <v>85</v>
      </c>
      <c r="D25" t="s">
        <v>109</v>
      </c>
      <c r="E25" t="s">
        <v>118</v>
      </c>
      <c r="I25" t="s">
        <v>76</v>
      </c>
      <c r="J25" t="s">
        <v>107</v>
      </c>
      <c r="K25" t="s">
        <v>87</v>
      </c>
      <c r="L25" t="s">
        <v>134</v>
      </c>
      <c r="M25" t="s">
        <v>118</v>
      </c>
      <c r="N25" t="b">
        <f t="shared" si="0"/>
        <v>0</v>
      </c>
    </row>
    <row r="26" spans="1:14" x14ac:dyDescent="0.3">
      <c r="A26" t="s">
        <v>76</v>
      </c>
      <c r="B26" t="s">
        <v>107</v>
      </c>
      <c r="C26" t="s">
        <v>87</v>
      </c>
      <c r="D26" t="s">
        <v>134</v>
      </c>
      <c r="E26" t="s">
        <v>118</v>
      </c>
      <c r="I26" t="s">
        <v>31</v>
      </c>
      <c r="J26" t="s">
        <v>105</v>
      </c>
      <c r="K26" t="s">
        <v>89</v>
      </c>
      <c r="L26" t="s">
        <v>135</v>
      </c>
      <c r="M26" t="s">
        <v>118</v>
      </c>
      <c r="N26" t="b">
        <f t="shared" si="0"/>
        <v>0</v>
      </c>
    </row>
    <row r="27" spans="1:14" x14ac:dyDescent="0.3">
      <c r="A27" t="s">
        <v>31</v>
      </c>
      <c r="B27" t="s">
        <v>105</v>
      </c>
      <c r="C27" t="s">
        <v>89</v>
      </c>
      <c r="D27" t="s">
        <v>135</v>
      </c>
      <c r="E27" t="s">
        <v>118</v>
      </c>
      <c r="I27" t="s">
        <v>29</v>
      </c>
      <c r="J27" t="s">
        <v>104</v>
      </c>
      <c r="K27" t="s">
        <v>90</v>
      </c>
      <c r="L27" t="s">
        <v>110</v>
      </c>
      <c r="M27" t="s">
        <v>118</v>
      </c>
      <c r="N27" t="b">
        <f t="shared" si="0"/>
        <v>0</v>
      </c>
    </row>
    <row r="28" spans="1:14" x14ac:dyDescent="0.3">
      <c r="A28" t="s">
        <v>29</v>
      </c>
      <c r="B28" t="s">
        <v>104</v>
      </c>
      <c r="C28" t="s">
        <v>90</v>
      </c>
      <c r="D28" t="s">
        <v>110</v>
      </c>
      <c r="E28" t="s">
        <v>118</v>
      </c>
      <c r="I28" t="s">
        <v>30</v>
      </c>
      <c r="J28" t="s">
        <v>106</v>
      </c>
      <c r="K28" t="s">
        <v>91</v>
      </c>
      <c r="L28" t="s">
        <v>136</v>
      </c>
      <c r="M28" t="s">
        <v>118</v>
      </c>
      <c r="N28" t="b">
        <f t="shared" si="0"/>
        <v>0</v>
      </c>
    </row>
    <row r="29" spans="1:14" x14ac:dyDescent="0.3">
      <c r="A29" t="s">
        <v>30</v>
      </c>
      <c r="B29" t="s">
        <v>106</v>
      </c>
      <c r="C29" t="s">
        <v>91</v>
      </c>
      <c r="D29" t="s">
        <v>136</v>
      </c>
      <c r="E29" t="s">
        <v>118</v>
      </c>
      <c r="I29" t="s">
        <v>31</v>
      </c>
      <c r="J29" t="s">
        <v>105</v>
      </c>
      <c r="K29" t="s">
        <v>92</v>
      </c>
      <c r="L29" t="s">
        <v>137</v>
      </c>
      <c r="M29" t="s">
        <v>118</v>
      </c>
      <c r="N29" t="b">
        <f t="shared" si="0"/>
        <v>0</v>
      </c>
    </row>
    <row r="30" spans="1:14" x14ac:dyDescent="0.3">
      <c r="A30" t="s">
        <v>31</v>
      </c>
      <c r="B30" t="s">
        <v>105</v>
      </c>
      <c r="C30" t="s">
        <v>92</v>
      </c>
      <c r="D30" t="s">
        <v>137</v>
      </c>
      <c r="E30" t="s">
        <v>118</v>
      </c>
      <c r="I30" t="s">
        <v>84</v>
      </c>
      <c r="J30" t="s">
        <v>108</v>
      </c>
      <c r="K30" t="s">
        <v>94</v>
      </c>
      <c r="L30" t="s">
        <v>138</v>
      </c>
      <c r="M30" t="s">
        <v>118</v>
      </c>
      <c r="N30" t="b">
        <f t="shared" si="0"/>
        <v>0</v>
      </c>
    </row>
    <row r="31" spans="1:14" x14ac:dyDescent="0.3">
      <c r="A31" t="s">
        <v>84</v>
      </c>
      <c r="B31" t="s">
        <v>108</v>
      </c>
      <c r="C31" t="s">
        <v>94</v>
      </c>
      <c r="D31" t="s">
        <v>138</v>
      </c>
      <c r="E31" t="s">
        <v>118</v>
      </c>
      <c r="I31" t="s">
        <v>29</v>
      </c>
      <c r="J31" t="s">
        <v>104</v>
      </c>
      <c r="K31" t="s">
        <v>95</v>
      </c>
      <c r="L31" t="s">
        <v>139</v>
      </c>
      <c r="M31" t="s">
        <v>124</v>
      </c>
      <c r="N31" t="b">
        <f t="shared" si="0"/>
        <v>0</v>
      </c>
    </row>
    <row r="32" spans="1:14" x14ac:dyDescent="0.3">
      <c r="A32" t="s">
        <v>29</v>
      </c>
      <c r="B32" t="s">
        <v>104</v>
      </c>
      <c r="C32" t="s">
        <v>95</v>
      </c>
      <c r="D32" t="s">
        <v>139</v>
      </c>
      <c r="E32" t="s">
        <v>124</v>
      </c>
      <c r="I32" t="s">
        <v>76</v>
      </c>
      <c r="J32" t="s">
        <v>107</v>
      </c>
      <c r="K32" t="s">
        <v>96</v>
      </c>
      <c r="L32" t="s">
        <v>140</v>
      </c>
      <c r="M32" t="s">
        <v>118</v>
      </c>
      <c r="N32" t="b">
        <f t="shared" si="0"/>
        <v>0</v>
      </c>
    </row>
    <row r="33" spans="1:14" x14ac:dyDescent="0.3">
      <c r="A33" t="s">
        <v>76</v>
      </c>
      <c r="B33" t="s">
        <v>107</v>
      </c>
      <c r="C33" t="s">
        <v>96</v>
      </c>
      <c r="D33" t="s">
        <v>140</v>
      </c>
      <c r="E33" t="s">
        <v>118</v>
      </c>
      <c r="I33" t="s">
        <v>85</v>
      </c>
      <c r="J33" t="s">
        <v>109</v>
      </c>
      <c r="K33" t="s">
        <v>141</v>
      </c>
      <c r="L33" t="s">
        <v>142</v>
      </c>
      <c r="M33" t="s">
        <v>118</v>
      </c>
      <c r="N33" t="b">
        <f t="shared" si="0"/>
        <v>0</v>
      </c>
    </row>
    <row r="34" spans="1:14" x14ac:dyDescent="0.3">
      <c r="A34" t="s">
        <v>85</v>
      </c>
      <c r="B34" t="s">
        <v>109</v>
      </c>
      <c r="C34" t="s">
        <v>141</v>
      </c>
      <c r="D34" t="s">
        <v>142</v>
      </c>
      <c r="E34" t="s">
        <v>118</v>
      </c>
      <c r="I34" t="s">
        <v>90</v>
      </c>
      <c r="J34" t="s">
        <v>110</v>
      </c>
      <c r="K34" t="s">
        <v>143</v>
      </c>
      <c r="L34" t="s">
        <v>144</v>
      </c>
      <c r="M34" t="s">
        <v>149</v>
      </c>
      <c r="N34" t="b">
        <f t="shared" si="0"/>
        <v>0</v>
      </c>
    </row>
    <row r="35" spans="1:14" x14ac:dyDescent="0.3">
      <c r="A35" t="s">
        <v>90</v>
      </c>
      <c r="B35" t="s">
        <v>110</v>
      </c>
      <c r="C35" t="s">
        <v>143</v>
      </c>
      <c r="D35" t="s">
        <v>144</v>
      </c>
      <c r="E35" t="s">
        <v>118</v>
      </c>
      <c r="I35" t="s">
        <v>29</v>
      </c>
      <c r="J35" t="s">
        <v>104</v>
      </c>
      <c r="K35" t="s">
        <v>111</v>
      </c>
      <c r="L35" t="s">
        <v>112</v>
      </c>
      <c r="M35" t="s">
        <v>116</v>
      </c>
      <c r="N35" t="b">
        <f t="shared" si="0"/>
        <v>1</v>
      </c>
    </row>
    <row r="36" spans="1:14" x14ac:dyDescent="0.3">
      <c r="A36" t="s">
        <v>29</v>
      </c>
      <c r="B36" t="s">
        <v>104</v>
      </c>
      <c r="C36" t="s">
        <v>111</v>
      </c>
      <c r="D36" t="s">
        <v>112</v>
      </c>
      <c r="E36" t="s">
        <v>116</v>
      </c>
      <c r="I36" t="s">
        <v>31</v>
      </c>
      <c r="J36" t="s">
        <v>105</v>
      </c>
      <c r="K36" t="s">
        <v>145</v>
      </c>
      <c r="L36" t="s">
        <v>146</v>
      </c>
      <c r="M36" t="s">
        <v>118</v>
      </c>
      <c r="N36" t="b">
        <f t="shared" si="0"/>
        <v>0</v>
      </c>
    </row>
    <row r="37" spans="1:14" x14ac:dyDescent="0.3">
      <c r="A37" t="s">
        <v>31</v>
      </c>
      <c r="B37" t="s">
        <v>105</v>
      </c>
      <c r="C37" t="s">
        <v>145</v>
      </c>
      <c r="D37" t="s">
        <v>146</v>
      </c>
      <c r="E37" t="s">
        <v>118</v>
      </c>
      <c r="I37" t="s">
        <v>111</v>
      </c>
      <c r="J37" t="s">
        <v>112</v>
      </c>
      <c r="K37" t="s">
        <v>147</v>
      </c>
      <c r="L37" t="s">
        <v>148</v>
      </c>
      <c r="M37" t="s">
        <v>149</v>
      </c>
      <c r="N37" t="b">
        <f t="shared" si="0"/>
        <v>0</v>
      </c>
    </row>
    <row r="38" spans="1:14" x14ac:dyDescent="0.3">
      <c r="A38" t="s">
        <v>111</v>
      </c>
      <c r="B38" t="s">
        <v>112</v>
      </c>
      <c r="C38" t="s">
        <v>147</v>
      </c>
      <c r="D38" t="s">
        <v>148</v>
      </c>
      <c r="E38" t="s">
        <v>149</v>
      </c>
      <c r="I38" t="s">
        <v>29</v>
      </c>
      <c r="J38" t="s">
        <v>104</v>
      </c>
      <c r="K38" t="s">
        <v>154</v>
      </c>
      <c r="L38" t="s">
        <v>155</v>
      </c>
      <c r="M38" t="s">
        <v>124</v>
      </c>
      <c r="N38" t="b">
        <f t="shared" si="0"/>
        <v>0</v>
      </c>
    </row>
    <row r="39" spans="1:14" x14ac:dyDescent="0.3">
      <c r="A39" t="s">
        <v>29</v>
      </c>
      <c r="B39" t="s">
        <v>104</v>
      </c>
      <c r="C39" t="s">
        <v>150</v>
      </c>
      <c r="D39" t="s">
        <v>151</v>
      </c>
      <c r="E39" t="s">
        <v>124</v>
      </c>
      <c r="I39" t="s">
        <v>29</v>
      </c>
      <c r="J39" t="s">
        <v>104</v>
      </c>
      <c r="K39" t="s">
        <v>156</v>
      </c>
      <c r="L39" t="s">
        <v>157</v>
      </c>
      <c r="M39" t="s">
        <v>124</v>
      </c>
      <c r="N39" t="b">
        <f t="shared" si="0"/>
        <v>0</v>
      </c>
    </row>
    <row r="40" spans="1:14" x14ac:dyDescent="0.3">
      <c r="A40" t="s">
        <v>29</v>
      </c>
      <c r="B40" t="s">
        <v>104</v>
      </c>
      <c r="C40" t="s">
        <v>152</v>
      </c>
      <c r="D40" t="s">
        <v>153</v>
      </c>
      <c r="E40" t="s">
        <v>124</v>
      </c>
      <c r="N40" t="b">
        <f t="shared" si="0"/>
        <v>0</v>
      </c>
    </row>
    <row r="41" spans="1:14" x14ac:dyDescent="0.3">
      <c r="N41" t="b">
        <f t="shared" si="0"/>
        <v>0</v>
      </c>
    </row>
    <row r="42" spans="1:14" x14ac:dyDescent="0.3">
      <c r="N42" t="b">
        <f t="shared" si="0"/>
        <v>0</v>
      </c>
    </row>
    <row r="43" spans="1:14" x14ac:dyDescent="0.3">
      <c r="N43" t="b">
        <f t="shared" si="0"/>
        <v>0</v>
      </c>
    </row>
    <row r="44" spans="1:14" x14ac:dyDescent="0.3">
      <c r="N44" t="b">
        <f t="shared" si="0"/>
        <v>0</v>
      </c>
    </row>
    <row r="45" spans="1:14" x14ac:dyDescent="0.3">
      <c r="N45" t="b">
        <f t="shared" si="0"/>
        <v>0</v>
      </c>
    </row>
    <row r="46" spans="1:14" x14ac:dyDescent="0.3">
      <c r="N46" t="b">
        <f t="shared" si="0"/>
        <v>0</v>
      </c>
    </row>
    <row r="47" spans="1:14" x14ac:dyDescent="0.3">
      <c r="N47" t="b">
        <f t="shared" si="0"/>
        <v>0</v>
      </c>
    </row>
    <row r="48" spans="1:14" x14ac:dyDescent="0.3">
      <c r="N48" t="b">
        <f t="shared" si="0"/>
        <v>0</v>
      </c>
    </row>
    <row r="49" spans="14:14" x14ac:dyDescent="0.3">
      <c r="N49" t="b">
        <f t="shared" si="0"/>
        <v>0</v>
      </c>
    </row>
    <row r="50" spans="14:14" x14ac:dyDescent="0.3">
      <c r="N50" t="b">
        <f t="shared" si="0"/>
        <v>0</v>
      </c>
    </row>
    <row r="51" spans="14:14" x14ac:dyDescent="0.3">
      <c r="N51" t="b">
        <f t="shared" si="0"/>
        <v>0</v>
      </c>
    </row>
    <row r="52" spans="14:14" x14ac:dyDescent="0.3">
      <c r="N52" t="b">
        <f t="shared" si="0"/>
        <v>0</v>
      </c>
    </row>
    <row r="53" spans="14:14" x14ac:dyDescent="0.3">
      <c r="N53" t="b">
        <f t="shared" si="0"/>
        <v>0</v>
      </c>
    </row>
    <row r="54" spans="14:14" x14ac:dyDescent="0.3">
      <c r="N54" t="b">
        <f t="shared" si="0"/>
        <v>0</v>
      </c>
    </row>
    <row r="55" spans="14:14" x14ac:dyDescent="0.3">
      <c r="N55" t="b">
        <f t="shared" si="0"/>
        <v>0</v>
      </c>
    </row>
    <row r="56" spans="14:14" x14ac:dyDescent="0.3">
      <c r="N56" t="b">
        <f t="shared" si="0"/>
        <v>0</v>
      </c>
    </row>
    <row r="57" spans="14:14" x14ac:dyDescent="0.3">
      <c r="N57" t="b">
        <f t="shared" si="0"/>
        <v>0</v>
      </c>
    </row>
    <row r="58" spans="14:14" x14ac:dyDescent="0.3">
      <c r="N58" t="b">
        <f t="shared" si="0"/>
        <v>0</v>
      </c>
    </row>
    <row r="59" spans="14:14" x14ac:dyDescent="0.3">
      <c r="N59" t="b">
        <f t="shared" si="0"/>
        <v>0</v>
      </c>
    </row>
    <row r="60" spans="14:14" x14ac:dyDescent="0.3">
      <c r="N60" t="b">
        <f t="shared" si="0"/>
        <v>0</v>
      </c>
    </row>
    <row r="61" spans="14:14" x14ac:dyDescent="0.3">
      <c r="N61" t="b">
        <f t="shared" si="0"/>
        <v>0</v>
      </c>
    </row>
    <row r="62" spans="14:14" x14ac:dyDescent="0.3">
      <c r="N62" t="b">
        <f t="shared" si="0"/>
        <v>0</v>
      </c>
    </row>
    <row r="63" spans="14:14" x14ac:dyDescent="0.3">
      <c r="N63" t="b">
        <f t="shared" si="0"/>
        <v>0</v>
      </c>
    </row>
    <row r="64" spans="14:14" x14ac:dyDescent="0.3">
      <c r="N64" t="b">
        <f t="shared" si="0"/>
        <v>0</v>
      </c>
    </row>
    <row r="65" spans="14:14" x14ac:dyDescent="0.3">
      <c r="N65" t="b">
        <f t="shared" si="0"/>
        <v>0</v>
      </c>
    </row>
    <row r="66" spans="14:14" x14ac:dyDescent="0.3">
      <c r="N66" t="b">
        <f t="shared" si="0"/>
        <v>0</v>
      </c>
    </row>
    <row r="67" spans="14:14" x14ac:dyDescent="0.3">
      <c r="N67" t="b">
        <f t="shared" ref="N67:N130" si="1">AND(OR(M67="TL",M67="STL",M67="D",M67="SD"),COUNTIF($I$2:$I$595,K67)&gt;0)</f>
        <v>0</v>
      </c>
    </row>
    <row r="68" spans="14:14" x14ac:dyDescent="0.3">
      <c r="N68" t="b">
        <f t="shared" si="1"/>
        <v>0</v>
      </c>
    </row>
    <row r="69" spans="14:14" x14ac:dyDescent="0.3">
      <c r="N69" t="b">
        <f t="shared" si="1"/>
        <v>0</v>
      </c>
    </row>
    <row r="70" spans="14:14" x14ac:dyDescent="0.3">
      <c r="N70" t="b">
        <f t="shared" si="1"/>
        <v>0</v>
      </c>
    </row>
    <row r="71" spans="14:14" x14ac:dyDescent="0.3">
      <c r="N71" t="b">
        <f t="shared" si="1"/>
        <v>0</v>
      </c>
    </row>
    <row r="72" spans="14:14" x14ac:dyDescent="0.3">
      <c r="N72" t="b">
        <f t="shared" si="1"/>
        <v>0</v>
      </c>
    </row>
    <row r="73" spans="14:14" x14ac:dyDescent="0.3">
      <c r="N73" t="b">
        <f t="shared" si="1"/>
        <v>0</v>
      </c>
    </row>
    <row r="74" spans="14:14" x14ac:dyDescent="0.3">
      <c r="N74" t="b">
        <f t="shared" si="1"/>
        <v>0</v>
      </c>
    </row>
    <row r="75" spans="14:14" x14ac:dyDescent="0.3">
      <c r="N75" t="b">
        <f t="shared" si="1"/>
        <v>0</v>
      </c>
    </row>
    <row r="76" spans="14:14" x14ac:dyDescent="0.3">
      <c r="N76" t="b">
        <f t="shared" si="1"/>
        <v>0</v>
      </c>
    </row>
    <row r="77" spans="14:14" x14ac:dyDescent="0.3">
      <c r="N77" t="b">
        <f t="shared" si="1"/>
        <v>0</v>
      </c>
    </row>
    <row r="78" spans="14:14" x14ac:dyDescent="0.3">
      <c r="N78" t="b">
        <f t="shared" si="1"/>
        <v>0</v>
      </c>
    </row>
    <row r="79" spans="14:14" x14ac:dyDescent="0.3">
      <c r="N79" t="b">
        <f t="shared" si="1"/>
        <v>0</v>
      </c>
    </row>
    <row r="80" spans="14:14" x14ac:dyDescent="0.3">
      <c r="N80" t="b">
        <f t="shared" si="1"/>
        <v>0</v>
      </c>
    </row>
    <row r="81" spans="14:14" x14ac:dyDescent="0.3">
      <c r="N81" t="b">
        <f t="shared" si="1"/>
        <v>0</v>
      </c>
    </row>
    <row r="82" spans="14:14" x14ac:dyDescent="0.3">
      <c r="N82" t="b">
        <f t="shared" si="1"/>
        <v>0</v>
      </c>
    </row>
    <row r="83" spans="14:14" x14ac:dyDescent="0.3">
      <c r="N83" t="b">
        <f t="shared" si="1"/>
        <v>0</v>
      </c>
    </row>
    <row r="84" spans="14:14" x14ac:dyDescent="0.3">
      <c r="N84" t="b">
        <f t="shared" si="1"/>
        <v>0</v>
      </c>
    </row>
    <row r="85" spans="14:14" x14ac:dyDescent="0.3">
      <c r="N85" t="b">
        <f t="shared" si="1"/>
        <v>0</v>
      </c>
    </row>
    <row r="86" spans="14:14" x14ac:dyDescent="0.3">
      <c r="N86" t="b">
        <f t="shared" si="1"/>
        <v>0</v>
      </c>
    </row>
    <row r="87" spans="14:14" x14ac:dyDescent="0.3">
      <c r="N87" t="b">
        <f t="shared" si="1"/>
        <v>0</v>
      </c>
    </row>
    <row r="88" spans="14:14" x14ac:dyDescent="0.3">
      <c r="N88" t="b">
        <f t="shared" si="1"/>
        <v>0</v>
      </c>
    </row>
    <row r="89" spans="14:14" x14ac:dyDescent="0.3">
      <c r="N89" t="b">
        <f t="shared" si="1"/>
        <v>0</v>
      </c>
    </row>
    <row r="90" spans="14:14" x14ac:dyDescent="0.3">
      <c r="N90" t="b">
        <f t="shared" si="1"/>
        <v>0</v>
      </c>
    </row>
    <row r="91" spans="14:14" x14ac:dyDescent="0.3">
      <c r="N91" t="b">
        <f t="shared" si="1"/>
        <v>0</v>
      </c>
    </row>
    <row r="92" spans="14:14" x14ac:dyDescent="0.3">
      <c r="N92" t="b">
        <f t="shared" si="1"/>
        <v>0</v>
      </c>
    </row>
    <row r="93" spans="14:14" x14ac:dyDescent="0.3">
      <c r="N93" t="b">
        <f t="shared" si="1"/>
        <v>0</v>
      </c>
    </row>
    <row r="94" spans="14:14" x14ac:dyDescent="0.3">
      <c r="N94" t="b">
        <f t="shared" si="1"/>
        <v>0</v>
      </c>
    </row>
    <row r="95" spans="14:14" x14ac:dyDescent="0.3">
      <c r="N95" t="b">
        <f t="shared" si="1"/>
        <v>0</v>
      </c>
    </row>
    <row r="96" spans="14:14" x14ac:dyDescent="0.3">
      <c r="N96" t="b">
        <f t="shared" si="1"/>
        <v>0</v>
      </c>
    </row>
    <row r="97" spans="14:14" x14ac:dyDescent="0.3">
      <c r="N97" t="b">
        <f t="shared" si="1"/>
        <v>0</v>
      </c>
    </row>
    <row r="98" spans="14:14" x14ac:dyDescent="0.3">
      <c r="N98" t="b">
        <f t="shared" si="1"/>
        <v>0</v>
      </c>
    </row>
    <row r="99" spans="14:14" x14ac:dyDescent="0.3">
      <c r="N99" t="b">
        <f t="shared" si="1"/>
        <v>0</v>
      </c>
    </row>
    <row r="100" spans="14:14" x14ac:dyDescent="0.3">
      <c r="N100" t="b">
        <f t="shared" si="1"/>
        <v>0</v>
      </c>
    </row>
    <row r="101" spans="14:14" x14ac:dyDescent="0.3">
      <c r="N101" t="b">
        <f t="shared" si="1"/>
        <v>0</v>
      </c>
    </row>
    <row r="102" spans="14:14" x14ac:dyDescent="0.3">
      <c r="N102" t="b">
        <f t="shared" si="1"/>
        <v>0</v>
      </c>
    </row>
    <row r="103" spans="14:14" x14ac:dyDescent="0.3">
      <c r="N103" t="b">
        <f t="shared" si="1"/>
        <v>0</v>
      </c>
    </row>
    <row r="104" spans="14:14" x14ac:dyDescent="0.3">
      <c r="N104" t="b">
        <f t="shared" si="1"/>
        <v>0</v>
      </c>
    </row>
    <row r="105" spans="14:14" x14ac:dyDescent="0.3">
      <c r="N105" t="b">
        <f t="shared" si="1"/>
        <v>0</v>
      </c>
    </row>
    <row r="106" spans="14:14" x14ac:dyDescent="0.3">
      <c r="N106" t="b">
        <f t="shared" si="1"/>
        <v>0</v>
      </c>
    </row>
    <row r="107" spans="14:14" x14ac:dyDescent="0.3">
      <c r="N107" t="b">
        <f t="shared" si="1"/>
        <v>0</v>
      </c>
    </row>
    <row r="108" spans="14:14" x14ac:dyDescent="0.3">
      <c r="N108" t="b">
        <f t="shared" si="1"/>
        <v>0</v>
      </c>
    </row>
    <row r="109" spans="14:14" x14ac:dyDescent="0.3">
      <c r="N109" t="b">
        <f t="shared" si="1"/>
        <v>0</v>
      </c>
    </row>
    <row r="110" spans="14:14" x14ac:dyDescent="0.3">
      <c r="N110" t="b">
        <f t="shared" si="1"/>
        <v>0</v>
      </c>
    </row>
    <row r="111" spans="14:14" x14ac:dyDescent="0.3">
      <c r="N111" t="b">
        <f t="shared" si="1"/>
        <v>0</v>
      </c>
    </row>
    <row r="112" spans="14:14" x14ac:dyDescent="0.3">
      <c r="N112" t="b">
        <f t="shared" si="1"/>
        <v>0</v>
      </c>
    </row>
    <row r="113" spans="14:14" x14ac:dyDescent="0.3">
      <c r="N113" t="b">
        <f t="shared" si="1"/>
        <v>0</v>
      </c>
    </row>
    <row r="114" spans="14:14" x14ac:dyDescent="0.3">
      <c r="N114" t="b">
        <f t="shared" si="1"/>
        <v>0</v>
      </c>
    </row>
    <row r="115" spans="14:14" x14ac:dyDescent="0.3">
      <c r="N115" t="b">
        <f t="shared" si="1"/>
        <v>0</v>
      </c>
    </row>
    <row r="116" spans="14:14" x14ac:dyDescent="0.3">
      <c r="N116" t="b">
        <f t="shared" si="1"/>
        <v>0</v>
      </c>
    </row>
    <row r="117" spans="14:14" x14ac:dyDescent="0.3">
      <c r="N117" t="b">
        <f t="shared" si="1"/>
        <v>0</v>
      </c>
    </row>
    <row r="118" spans="14:14" x14ac:dyDescent="0.3">
      <c r="N118" t="b">
        <f t="shared" si="1"/>
        <v>0</v>
      </c>
    </row>
    <row r="119" spans="14:14" x14ac:dyDescent="0.3">
      <c r="N119" t="b">
        <f t="shared" si="1"/>
        <v>0</v>
      </c>
    </row>
    <row r="120" spans="14:14" x14ac:dyDescent="0.3">
      <c r="N120" t="b">
        <f t="shared" si="1"/>
        <v>0</v>
      </c>
    </row>
    <row r="121" spans="14:14" x14ac:dyDescent="0.3">
      <c r="N121" t="b">
        <f t="shared" si="1"/>
        <v>0</v>
      </c>
    </row>
    <row r="122" spans="14:14" x14ac:dyDescent="0.3">
      <c r="N122" t="b">
        <f t="shared" si="1"/>
        <v>0</v>
      </c>
    </row>
    <row r="123" spans="14:14" x14ac:dyDescent="0.3">
      <c r="N123" t="b">
        <f t="shared" si="1"/>
        <v>0</v>
      </c>
    </row>
    <row r="124" spans="14:14" x14ac:dyDescent="0.3">
      <c r="N124" t="b">
        <f t="shared" si="1"/>
        <v>0</v>
      </c>
    </row>
    <row r="125" spans="14:14" x14ac:dyDescent="0.3">
      <c r="N125" t="b">
        <f t="shared" si="1"/>
        <v>0</v>
      </c>
    </row>
    <row r="126" spans="14:14" x14ac:dyDescent="0.3">
      <c r="N126" t="b">
        <f t="shared" si="1"/>
        <v>0</v>
      </c>
    </row>
    <row r="127" spans="14:14" x14ac:dyDescent="0.3">
      <c r="N127" t="b">
        <f t="shared" si="1"/>
        <v>0</v>
      </c>
    </row>
    <row r="128" spans="14:14" x14ac:dyDescent="0.3">
      <c r="N128" t="b">
        <f t="shared" si="1"/>
        <v>0</v>
      </c>
    </row>
    <row r="129" spans="14:14" x14ac:dyDescent="0.3">
      <c r="N129" t="b">
        <f t="shared" si="1"/>
        <v>0</v>
      </c>
    </row>
    <row r="130" spans="14:14" x14ac:dyDescent="0.3">
      <c r="N130" t="b">
        <f t="shared" si="1"/>
        <v>0</v>
      </c>
    </row>
    <row r="131" spans="14:14" x14ac:dyDescent="0.3">
      <c r="N131" t="b">
        <f t="shared" ref="N131:N173" si="2">AND(OR(M131="TL",M131="STL",M131="D",M131="SD"),COUNTIF($I$2:$I$595,K131)&gt;0)</f>
        <v>0</v>
      </c>
    </row>
    <row r="132" spans="14:14" x14ac:dyDescent="0.3">
      <c r="N132" t="b">
        <f t="shared" si="2"/>
        <v>0</v>
      </c>
    </row>
    <row r="133" spans="14:14" x14ac:dyDescent="0.3">
      <c r="N133" t="b">
        <f t="shared" si="2"/>
        <v>0</v>
      </c>
    </row>
    <row r="134" spans="14:14" x14ac:dyDescent="0.3">
      <c r="N134" t="b">
        <f t="shared" si="2"/>
        <v>0</v>
      </c>
    </row>
    <row r="135" spans="14:14" x14ac:dyDescent="0.3">
      <c r="N135" t="b">
        <f t="shared" si="2"/>
        <v>0</v>
      </c>
    </row>
    <row r="136" spans="14:14" x14ac:dyDescent="0.3">
      <c r="N136" t="b">
        <f t="shared" si="2"/>
        <v>0</v>
      </c>
    </row>
    <row r="137" spans="14:14" x14ac:dyDescent="0.3">
      <c r="N137" t="b">
        <f t="shared" si="2"/>
        <v>0</v>
      </c>
    </row>
    <row r="138" spans="14:14" x14ac:dyDescent="0.3">
      <c r="N138" t="b">
        <f t="shared" si="2"/>
        <v>0</v>
      </c>
    </row>
    <row r="139" spans="14:14" x14ac:dyDescent="0.3">
      <c r="N139" t="b">
        <f t="shared" si="2"/>
        <v>0</v>
      </c>
    </row>
    <row r="140" spans="14:14" x14ac:dyDescent="0.3">
      <c r="N140" t="b">
        <f t="shared" si="2"/>
        <v>0</v>
      </c>
    </row>
    <row r="141" spans="14:14" x14ac:dyDescent="0.3">
      <c r="N141" t="b">
        <f t="shared" si="2"/>
        <v>0</v>
      </c>
    </row>
    <row r="142" spans="14:14" x14ac:dyDescent="0.3">
      <c r="N142" t="b">
        <f t="shared" si="2"/>
        <v>0</v>
      </c>
    </row>
    <row r="143" spans="14:14" x14ac:dyDescent="0.3">
      <c r="N143" t="b">
        <f t="shared" si="2"/>
        <v>0</v>
      </c>
    </row>
    <row r="144" spans="14:14" x14ac:dyDescent="0.3">
      <c r="N144" t="b">
        <f t="shared" si="2"/>
        <v>0</v>
      </c>
    </row>
    <row r="145" spans="14:14" x14ac:dyDescent="0.3">
      <c r="N145" t="b">
        <f t="shared" si="2"/>
        <v>0</v>
      </c>
    </row>
    <row r="146" spans="14:14" x14ac:dyDescent="0.3">
      <c r="N146" t="b">
        <f t="shared" si="2"/>
        <v>0</v>
      </c>
    </row>
    <row r="147" spans="14:14" x14ac:dyDescent="0.3">
      <c r="N147" t="b">
        <f t="shared" si="2"/>
        <v>0</v>
      </c>
    </row>
    <row r="148" spans="14:14" x14ac:dyDescent="0.3">
      <c r="N148" t="b">
        <f t="shared" si="2"/>
        <v>0</v>
      </c>
    </row>
    <row r="149" spans="14:14" x14ac:dyDescent="0.3">
      <c r="N149" t="b">
        <f t="shared" si="2"/>
        <v>0</v>
      </c>
    </row>
    <row r="150" spans="14:14" x14ac:dyDescent="0.3">
      <c r="N150" t="b">
        <f t="shared" si="2"/>
        <v>0</v>
      </c>
    </row>
    <row r="151" spans="14:14" x14ac:dyDescent="0.3">
      <c r="N151" t="b">
        <f t="shared" si="2"/>
        <v>0</v>
      </c>
    </row>
    <row r="152" spans="14:14" x14ac:dyDescent="0.3">
      <c r="N152" t="b">
        <f t="shared" si="2"/>
        <v>0</v>
      </c>
    </row>
    <row r="153" spans="14:14" x14ac:dyDescent="0.3">
      <c r="N153" t="b">
        <f t="shared" si="2"/>
        <v>0</v>
      </c>
    </row>
    <row r="154" spans="14:14" x14ac:dyDescent="0.3">
      <c r="N154" t="b">
        <f t="shared" si="2"/>
        <v>0</v>
      </c>
    </row>
    <row r="155" spans="14:14" x14ac:dyDescent="0.3">
      <c r="N155" t="b">
        <f t="shared" si="2"/>
        <v>0</v>
      </c>
    </row>
    <row r="156" spans="14:14" x14ac:dyDescent="0.3">
      <c r="N156" t="b">
        <f t="shared" si="2"/>
        <v>0</v>
      </c>
    </row>
    <row r="157" spans="14:14" x14ac:dyDescent="0.3">
      <c r="N157" t="b">
        <f t="shared" si="2"/>
        <v>0</v>
      </c>
    </row>
    <row r="158" spans="14:14" x14ac:dyDescent="0.3">
      <c r="N158" t="b">
        <f t="shared" si="2"/>
        <v>0</v>
      </c>
    </row>
    <row r="159" spans="14:14" x14ac:dyDescent="0.3">
      <c r="N159" t="b">
        <f t="shared" si="2"/>
        <v>0</v>
      </c>
    </row>
    <row r="160" spans="14:14" x14ac:dyDescent="0.3">
      <c r="N160" t="b">
        <f t="shared" si="2"/>
        <v>0</v>
      </c>
    </row>
    <row r="161" spans="14:14" x14ac:dyDescent="0.3">
      <c r="N161" t="b">
        <f t="shared" si="2"/>
        <v>0</v>
      </c>
    </row>
    <row r="162" spans="14:14" x14ac:dyDescent="0.3">
      <c r="N162" t="b">
        <f t="shared" si="2"/>
        <v>0</v>
      </c>
    </row>
    <row r="163" spans="14:14" x14ac:dyDescent="0.3">
      <c r="N163" t="b">
        <f t="shared" si="2"/>
        <v>0</v>
      </c>
    </row>
    <row r="164" spans="14:14" x14ac:dyDescent="0.3">
      <c r="N164" t="b">
        <f t="shared" si="2"/>
        <v>0</v>
      </c>
    </row>
    <row r="165" spans="14:14" x14ac:dyDescent="0.3">
      <c r="N165" t="b">
        <f t="shared" si="2"/>
        <v>0</v>
      </c>
    </row>
    <row r="166" spans="14:14" x14ac:dyDescent="0.3">
      <c r="N166" t="b">
        <f t="shared" si="2"/>
        <v>0</v>
      </c>
    </row>
    <row r="167" spans="14:14" x14ac:dyDescent="0.3">
      <c r="N167" t="b">
        <f t="shared" si="2"/>
        <v>0</v>
      </c>
    </row>
    <row r="168" spans="14:14" x14ac:dyDescent="0.3">
      <c r="N168" t="b">
        <f t="shared" si="2"/>
        <v>0</v>
      </c>
    </row>
    <row r="169" spans="14:14" x14ac:dyDescent="0.3">
      <c r="N169" t="b">
        <f t="shared" si="2"/>
        <v>0</v>
      </c>
    </row>
    <row r="170" spans="14:14" x14ac:dyDescent="0.3">
      <c r="N170" t="b">
        <f t="shared" si="2"/>
        <v>0</v>
      </c>
    </row>
    <row r="171" spans="14:14" x14ac:dyDescent="0.3">
      <c r="N171" t="b">
        <f t="shared" si="2"/>
        <v>0</v>
      </c>
    </row>
    <row r="172" spans="14:14" x14ac:dyDescent="0.3">
      <c r="N172" t="b">
        <f t="shared" si="2"/>
        <v>0</v>
      </c>
    </row>
    <row r="173" spans="14:14" x14ac:dyDescent="0.3">
      <c r="N173" t="b">
        <f t="shared" si="2"/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F5A4D-3C80-4A42-B36B-CE0BA9FCD7CD}">
  <sheetPr codeName="Sheet12">
    <tabColor theme="4" tint="0.59999389629810485"/>
  </sheetPr>
  <dimension ref="A1:N55"/>
  <sheetViews>
    <sheetView workbookViewId="0">
      <selection activeCell="A5" sqref="A5"/>
    </sheetView>
  </sheetViews>
  <sheetFormatPr defaultRowHeight="16.5" x14ac:dyDescent="0.3"/>
  <cols>
    <col min="3" max="3" width="11.5" customWidth="1"/>
    <col min="4" max="4" width="10.25" customWidth="1"/>
    <col min="5" max="5" width="12.375" customWidth="1"/>
    <col min="6" max="6" width="13.5" style="3" customWidth="1"/>
    <col min="7" max="7" width="13.625" style="3" bestFit="1" customWidth="1"/>
    <col min="8" max="8" width="11.875" style="3" customWidth="1"/>
    <col min="9" max="10" width="12.5" style="3" customWidth="1"/>
    <col min="11" max="12" width="14.875" style="3" bestFit="1" customWidth="1"/>
    <col min="13" max="13" width="12.375" style="3" bestFit="1" customWidth="1"/>
    <col min="14" max="14" width="14.875" style="3" bestFit="1" customWidth="1"/>
    <col min="16" max="18" width="10" customWidth="1"/>
  </cols>
  <sheetData>
    <row r="1" spans="1:14" x14ac:dyDescent="0.3">
      <c r="F1"/>
      <c r="G1"/>
      <c r="H1"/>
      <c r="I1"/>
      <c r="J1"/>
      <c r="K1"/>
      <c r="L1"/>
      <c r="M1"/>
      <c r="N1"/>
    </row>
    <row r="2" spans="1:14" x14ac:dyDescent="0.3">
      <c r="C2" s="49" t="s">
        <v>75</v>
      </c>
      <c r="D2">
        <f>COUNTIF(data!I:I,"출금완료")</f>
        <v>785</v>
      </c>
      <c r="E2" s="31">
        <f>SUMIF(data!I:I,"출금완료",data!J:J)</f>
        <v>18550000</v>
      </c>
      <c r="F2" s="31">
        <f>SUMIF(data!I:I,"출금완료",data!K:K)</f>
        <v>76015000</v>
      </c>
      <c r="G2" s="31">
        <f>SUM(override!H2:H1000)</f>
        <v>15096750</v>
      </c>
      <c r="H2" s="31">
        <f>SUM(training_fee!D2:D1000)</f>
        <v>2250000</v>
      </c>
      <c r="I2" s="31">
        <f>SUM(unsettled!C2:C1000)</f>
        <v>0</v>
      </c>
      <c r="J2" s="31">
        <f>SUM(bonus!C2:C1000)</f>
        <v>0</v>
      </c>
      <c r="K2" s="31">
        <f>F2+G2+H2+I2+J2</f>
        <v>93361750</v>
      </c>
      <c r="L2" s="31">
        <f>SUMIF(K5:K2000,"&gt;0")</f>
        <v>93361750</v>
      </c>
      <c r="M2" s="31" cm="1">
        <f t="array" ref="M2">SUM(ROUNDDOWN((L5:L1000)*3%,-1))+SUM(ROUNDDOWN((L5:L1000)*0.3%,-1))</f>
        <v>3080850</v>
      </c>
      <c r="N2" s="31">
        <f>L2-M2</f>
        <v>90280900</v>
      </c>
    </row>
    <row r="3" spans="1:14" x14ac:dyDescent="0.3">
      <c r="A3" s="68" t="s">
        <v>11</v>
      </c>
      <c r="B3" s="68" t="s">
        <v>12</v>
      </c>
      <c r="C3" s="68" t="s">
        <v>38</v>
      </c>
      <c r="D3" s="27" t="s">
        <v>58</v>
      </c>
      <c r="E3" s="27" t="s">
        <v>59</v>
      </c>
      <c r="F3" s="30" t="s">
        <v>64</v>
      </c>
      <c r="G3" s="27" t="s">
        <v>60</v>
      </c>
      <c r="H3" s="27" t="s">
        <v>61</v>
      </c>
      <c r="I3" s="27" t="s">
        <v>80</v>
      </c>
      <c r="J3" s="51" t="s">
        <v>83</v>
      </c>
      <c r="K3" s="27" t="s">
        <v>7</v>
      </c>
      <c r="L3" s="27" t="s">
        <v>81</v>
      </c>
      <c r="M3" s="27" t="s">
        <v>62</v>
      </c>
      <c r="N3" s="27" t="s">
        <v>63</v>
      </c>
    </row>
    <row r="4" spans="1:14" x14ac:dyDescent="0.3">
      <c r="A4" s="68"/>
      <c r="B4" s="68"/>
      <c r="C4" s="68"/>
      <c r="D4" s="28">
        <f>SUM(D5:D1000)</f>
        <v>785</v>
      </c>
      <c r="E4" s="28">
        <f t="shared" ref="E4:N4" si="0">SUM(E5:E1000)</f>
        <v>18550000</v>
      </c>
      <c r="F4" s="28">
        <f t="shared" si="0"/>
        <v>76015000</v>
      </c>
      <c r="G4" s="28">
        <f t="shared" si="0"/>
        <v>15096750</v>
      </c>
      <c r="H4" s="28">
        <f t="shared" si="0"/>
        <v>2250000</v>
      </c>
      <c r="I4" s="28">
        <f t="shared" si="0"/>
        <v>0</v>
      </c>
      <c r="J4" s="28">
        <f t="shared" si="0"/>
        <v>0</v>
      </c>
      <c r="K4" s="28">
        <f t="shared" si="0"/>
        <v>93361750</v>
      </c>
      <c r="L4" s="28">
        <f t="shared" si="0"/>
        <v>93361750</v>
      </c>
      <c r="M4" s="28">
        <f t="shared" si="0"/>
        <v>3080850</v>
      </c>
      <c r="N4" s="28">
        <f t="shared" si="0"/>
        <v>90280900</v>
      </c>
    </row>
    <row r="5" spans="1:14" x14ac:dyDescent="0.3">
      <c r="A5" t="s">
        <v>22</v>
      </c>
      <c r="B5" t="s">
        <v>98</v>
      </c>
      <c r="C5" t="s">
        <v>113</v>
      </c>
      <c r="D5">
        <v>25</v>
      </c>
      <c r="E5">
        <v>600000</v>
      </c>
      <c r="F5" s="3">
        <v>2720000</v>
      </c>
      <c r="G5" s="3">
        <v>2085000</v>
      </c>
      <c r="H5" s="3">
        <v>0</v>
      </c>
      <c r="I5" s="3">
        <v>0</v>
      </c>
      <c r="J5" s="3">
        <v>0</v>
      </c>
      <c r="K5" s="3">
        <v>4805000</v>
      </c>
      <c r="L5" s="3">
        <v>4805000</v>
      </c>
      <c r="M5" s="3">
        <v>158560</v>
      </c>
      <c r="N5" s="3">
        <v>4646440</v>
      </c>
    </row>
    <row r="6" spans="1:14" x14ac:dyDescent="0.3">
      <c r="A6" t="s">
        <v>169</v>
      </c>
      <c r="B6" t="s">
        <v>171</v>
      </c>
      <c r="C6" t="s">
        <v>5158</v>
      </c>
      <c r="D6">
        <v>1</v>
      </c>
      <c r="E6">
        <v>30000</v>
      </c>
      <c r="F6" s="3">
        <v>135000</v>
      </c>
      <c r="G6" s="3">
        <v>0</v>
      </c>
      <c r="H6" s="3">
        <v>0</v>
      </c>
      <c r="I6" s="3">
        <v>0</v>
      </c>
      <c r="J6" s="3">
        <v>0</v>
      </c>
      <c r="K6" s="3">
        <v>135000</v>
      </c>
      <c r="L6" s="3">
        <v>135000</v>
      </c>
      <c r="M6" s="3">
        <v>4450</v>
      </c>
      <c r="N6" s="3">
        <v>130550</v>
      </c>
    </row>
    <row r="7" spans="1:14" x14ac:dyDescent="0.3">
      <c r="A7" t="s">
        <v>23</v>
      </c>
      <c r="B7" t="s">
        <v>99</v>
      </c>
      <c r="C7" t="s">
        <v>114</v>
      </c>
      <c r="D7">
        <v>18</v>
      </c>
      <c r="E7">
        <v>420000</v>
      </c>
      <c r="F7" s="3">
        <v>2100000</v>
      </c>
      <c r="G7" s="3">
        <v>344000</v>
      </c>
      <c r="H7" s="3">
        <v>0</v>
      </c>
      <c r="I7" s="3">
        <v>0</v>
      </c>
      <c r="J7" s="3">
        <v>0</v>
      </c>
      <c r="K7" s="3">
        <v>2444000</v>
      </c>
      <c r="L7" s="3">
        <v>2444000</v>
      </c>
      <c r="M7" s="3">
        <v>80650</v>
      </c>
      <c r="N7" s="3">
        <v>2363350</v>
      </c>
    </row>
    <row r="8" spans="1:14" x14ac:dyDescent="0.3">
      <c r="A8" t="s">
        <v>73</v>
      </c>
      <c r="B8" t="s">
        <v>115</v>
      </c>
      <c r="C8" t="s">
        <v>116</v>
      </c>
      <c r="D8">
        <v>7</v>
      </c>
      <c r="E8">
        <v>180000</v>
      </c>
      <c r="F8" s="3">
        <v>900000</v>
      </c>
      <c r="G8" s="3">
        <v>0</v>
      </c>
      <c r="H8" s="3">
        <v>0</v>
      </c>
      <c r="I8" s="3">
        <v>0</v>
      </c>
      <c r="J8" s="3">
        <v>0</v>
      </c>
      <c r="K8" s="3">
        <v>900000</v>
      </c>
      <c r="L8" s="3">
        <v>900000</v>
      </c>
      <c r="M8" s="3">
        <v>29700</v>
      </c>
      <c r="N8" s="3">
        <v>870300</v>
      </c>
    </row>
    <row r="9" spans="1:14" x14ac:dyDescent="0.3">
      <c r="A9" t="s">
        <v>78</v>
      </c>
      <c r="B9" t="s">
        <v>100</v>
      </c>
      <c r="C9" t="s">
        <v>116</v>
      </c>
      <c r="D9">
        <v>21</v>
      </c>
      <c r="E9">
        <v>510000</v>
      </c>
      <c r="F9" s="3">
        <v>2295000</v>
      </c>
      <c r="G9" s="3">
        <v>210750</v>
      </c>
      <c r="H9" s="3">
        <v>0</v>
      </c>
      <c r="I9" s="3">
        <v>0</v>
      </c>
      <c r="J9" s="3">
        <v>0</v>
      </c>
      <c r="K9" s="3">
        <v>2505750</v>
      </c>
      <c r="L9" s="3">
        <v>2505750</v>
      </c>
      <c r="M9" s="3">
        <v>82680</v>
      </c>
      <c r="N9" s="3">
        <v>2423070</v>
      </c>
    </row>
    <row r="10" spans="1:14" x14ac:dyDescent="0.3">
      <c r="A10" t="s">
        <v>88</v>
      </c>
      <c r="B10" t="s">
        <v>117</v>
      </c>
      <c r="C10" t="s">
        <v>118</v>
      </c>
      <c r="D10">
        <v>19</v>
      </c>
      <c r="E10">
        <v>480000</v>
      </c>
      <c r="F10" s="3">
        <v>1920000</v>
      </c>
      <c r="G10" s="3">
        <v>0</v>
      </c>
      <c r="H10" s="3">
        <v>0</v>
      </c>
      <c r="I10" s="3">
        <v>0</v>
      </c>
      <c r="J10" s="3">
        <v>0</v>
      </c>
      <c r="K10" s="3">
        <v>1920000</v>
      </c>
      <c r="L10" s="3">
        <v>1920000</v>
      </c>
      <c r="M10" s="3">
        <v>63360</v>
      </c>
      <c r="N10" s="3">
        <v>1856640</v>
      </c>
    </row>
    <row r="11" spans="1:14" x14ac:dyDescent="0.3">
      <c r="A11" t="s">
        <v>812</v>
      </c>
      <c r="B11" t="s">
        <v>814</v>
      </c>
      <c r="C11" t="s">
        <v>5158</v>
      </c>
      <c r="D11">
        <v>4</v>
      </c>
      <c r="E11">
        <v>110000</v>
      </c>
      <c r="F11" s="3">
        <v>440000</v>
      </c>
      <c r="G11" s="3">
        <v>0</v>
      </c>
      <c r="H11" s="3">
        <v>0</v>
      </c>
      <c r="I11" s="3">
        <v>0</v>
      </c>
      <c r="J11" s="3">
        <v>0</v>
      </c>
      <c r="K11" s="3">
        <v>440000</v>
      </c>
      <c r="L11" s="3">
        <v>440000</v>
      </c>
      <c r="M11" s="3">
        <v>14520</v>
      </c>
      <c r="N11" s="3">
        <v>425480</v>
      </c>
    </row>
    <row r="12" spans="1:14" x14ac:dyDescent="0.3">
      <c r="A12" t="s">
        <v>817</v>
      </c>
      <c r="B12" t="s">
        <v>819</v>
      </c>
      <c r="C12" t="s">
        <v>5158</v>
      </c>
      <c r="D12">
        <v>1</v>
      </c>
      <c r="E12">
        <v>30000</v>
      </c>
      <c r="F12" s="3">
        <v>30000</v>
      </c>
      <c r="G12" s="3">
        <v>0</v>
      </c>
      <c r="H12" s="3">
        <v>500000</v>
      </c>
      <c r="I12" s="3">
        <v>0</v>
      </c>
      <c r="J12" s="3">
        <v>0</v>
      </c>
      <c r="K12" s="3">
        <v>530000</v>
      </c>
      <c r="L12" s="3">
        <v>530000</v>
      </c>
      <c r="M12" s="3">
        <v>17490</v>
      </c>
      <c r="N12" s="3">
        <v>512510</v>
      </c>
    </row>
    <row r="13" spans="1:14" x14ac:dyDescent="0.3">
      <c r="A13" t="s">
        <v>24</v>
      </c>
      <c r="B13" t="s">
        <v>103</v>
      </c>
      <c r="C13" t="s">
        <v>118</v>
      </c>
      <c r="D13">
        <v>10</v>
      </c>
      <c r="E13">
        <v>330000</v>
      </c>
      <c r="F13" s="3">
        <v>1320000</v>
      </c>
      <c r="G13" s="3">
        <v>0</v>
      </c>
      <c r="H13" s="3">
        <v>0</v>
      </c>
      <c r="I13" s="3">
        <v>0</v>
      </c>
      <c r="J13" s="3">
        <v>0</v>
      </c>
      <c r="K13" s="3">
        <v>1320000</v>
      </c>
      <c r="L13" s="3">
        <v>1320000</v>
      </c>
      <c r="M13" s="3">
        <v>43560</v>
      </c>
      <c r="N13" s="3">
        <v>1276440</v>
      </c>
    </row>
    <row r="14" spans="1:14" x14ac:dyDescent="0.3">
      <c r="A14" t="s">
        <v>25</v>
      </c>
      <c r="B14" t="s">
        <v>129</v>
      </c>
      <c r="C14" t="s">
        <v>118</v>
      </c>
      <c r="D14">
        <v>3</v>
      </c>
      <c r="E14">
        <v>100000</v>
      </c>
      <c r="F14" s="3">
        <v>400000</v>
      </c>
      <c r="G14" s="3">
        <v>0</v>
      </c>
      <c r="H14" s="3">
        <v>0</v>
      </c>
      <c r="I14" s="3">
        <v>0</v>
      </c>
      <c r="J14" s="3">
        <v>0</v>
      </c>
      <c r="K14" s="3">
        <v>400000</v>
      </c>
      <c r="L14" s="3">
        <v>400000</v>
      </c>
      <c r="M14" s="3">
        <v>13200</v>
      </c>
      <c r="N14" s="3">
        <v>386800</v>
      </c>
    </row>
    <row r="15" spans="1:14" x14ac:dyDescent="0.3">
      <c r="A15" t="s">
        <v>26</v>
      </c>
      <c r="B15" t="s">
        <v>130</v>
      </c>
      <c r="C15" t="s">
        <v>118</v>
      </c>
      <c r="D15">
        <v>0</v>
      </c>
      <c r="E15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</row>
    <row r="16" spans="1:14" x14ac:dyDescent="0.3">
      <c r="A16" t="s">
        <v>79</v>
      </c>
      <c r="B16" t="s">
        <v>131</v>
      </c>
      <c r="C16" t="s">
        <v>114</v>
      </c>
      <c r="D16">
        <v>62</v>
      </c>
      <c r="E16">
        <v>1280000</v>
      </c>
      <c r="F16" s="3">
        <v>5760000</v>
      </c>
      <c r="G16" s="3">
        <v>0</v>
      </c>
      <c r="H16" s="3">
        <v>0</v>
      </c>
      <c r="I16" s="3">
        <v>0</v>
      </c>
      <c r="J16" s="3">
        <v>0</v>
      </c>
      <c r="K16" s="3">
        <v>5760000</v>
      </c>
      <c r="L16" s="3">
        <v>5760000</v>
      </c>
      <c r="M16" s="3">
        <v>190080</v>
      </c>
      <c r="N16" s="3">
        <v>5569920</v>
      </c>
    </row>
    <row r="17" spans="1:14" x14ac:dyDescent="0.3">
      <c r="A17" t="s">
        <v>1067</v>
      </c>
      <c r="B17" t="s">
        <v>1069</v>
      </c>
      <c r="C17" t="s">
        <v>5158</v>
      </c>
      <c r="D17">
        <v>1</v>
      </c>
      <c r="E17">
        <v>20000</v>
      </c>
      <c r="F17" s="3">
        <v>80000</v>
      </c>
      <c r="G17" s="3">
        <v>0</v>
      </c>
      <c r="H17" s="3">
        <v>0</v>
      </c>
      <c r="I17" s="3">
        <v>0</v>
      </c>
      <c r="J17" s="3">
        <v>0</v>
      </c>
      <c r="K17" s="3">
        <v>80000</v>
      </c>
      <c r="L17" s="3">
        <v>80000</v>
      </c>
      <c r="M17" s="3">
        <v>2640</v>
      </c>
      <c r="N17" s="3">
        <v>77360</v>
      </c>
    </row>
    <row r="18" spans="1:14" x14ac:dyDescent="0.3">
      <c r="A18" t="s">
        <v>27</v>
      </c>
      <c r="B18" t="s">
        <v>101</v>
      </c>
      <c r="C18" t="s">
        <v>119</v>
      </c>
      <c r="D18">
        <v>26</v>
      </c>
      <c r="E18">
        <v>710000</v>
      </c>
      <c r="F18" s="3">
        <v>3195000</v>
      </c>
      <c r="G18" s="3">
        <v>1773000</v>
      </c>
      <c r="H18" s="3">
        <v>0</v>
      </c>
      <c r="I18" s="3">
        <v>0</v>
      </c>
      <c r="J18" s="3">
        <v>0</v>
      </c>
      <c r="K18" s="3">
        <v>4968000</v>
      </c>
      <c r="L18" s="3">
        <v>4968000</v>
      </c>
      <c r="M18" s="3">
        <v>163940</v>
      </c>
      <c r="N18" s="3">
        <v>4804060</v>
      </c>
    </row>
    <row r="19" spans="1:14" x14ac:dyDescent="0.3">
      <c r="A19" t="s">
        <v>65</v>
      </c>
      <c r="B19" t="s">
        <v>102</v>
      </c>
      <c r="C19" t="s">
        <v>116</v>
      </c>
      <c r="D19">
        <v>28</v>
      </c>
      <c r="E19">
        <v>680000</v>
      </c>
      <c r="F19" s="3">
        <v>3060000</v>
      </c>
      <c r="G19" s="3">
        <v>378000</v>
      </c>
      <c r="H19" s="3">
        <v>0</v>
      </c>
      <c r="I19" s="3">
        <v>0</v>
      </c>
      <c r="J19" s="3">
        <v>0</v>
      </c>
      <c r="K19" s="3">
        <v>3438000</v>
      </c>
      <c r="L19" s="3">
        <v>3438000</v>
      </c>
      <c r="M19" s="3">
        <v>113450</v>
      </c>
      <c r="N19" s="3">
        <v>3324550</v>
      </c>
    </row>
    <row r="20" spans="1:14" x14ac:dyDescent="0.3">
      <c r="A20" t="s">
        <v>86</v>
      </c>
      <c r="B20" t="s">
        <v>120</v>
      </c>
      <c r="C20" t="s">
        <v>118</v>
      </c>
      <c r="D20">
        <v>27</v>
      </c>
      <c r="E20">
        <v>760000</v>
      </c>
      <c r="F20" s="3">
        <v>3040000</v>
      </c>
      <c r="G20" s="3">
        <v>0</v>
      </c>
      <c r="H20" s="3">
        <v>0</v>
      </c>
      <c r="I20" s="3">
        <v>0</v>
      </c>
      <c r="J20" s="3">
        <v>0</v>
      </c>
      <c r="K20" s="3">
        <v>3040000</v>
      </c>
      <c r="L20" s="3">
        <v>3040000</v>
      </c>
      <c r="M20" s="3">
        <v>100320</v>
      </c>
      <c r="N20" s="3">
        <v>2939680</v>
      </c>
    </row>
    <row r="21" spans="1:14" x14ac:dyDescent="0.3">
      <c r="A21" t="s">
        <v>93</v>
      </c>
      <c r="B21" t="s">
        <v>121</v>
      </c>
      <c r="C21" t="s">
        <v>118</v>
      </c>
      <c r="D21">
        <v>20</v>
      </c>
      <c r="E21">
        <v>460000</v>
      </c>
      <c r="F21" s="3">
        <v>1510000</v>
      </c>
      <c r="G21" s="3">
        <v>0</v>
      </c>
      <c r="H21" s="3">
        <v>0</v>
      </c>
      <c r="I21" s="3">
        <v>0</v>
      </c>
      <c r="J21" s="3">
        <v>0</v>
      </c>
      <c r="K21" s="3">
        <v>1510000</v>
      </c>
      <c r="L21" s="3">
        <v>1510000</v>
      </c>
      <c r="M21" s="3">
        <v>49830</v>
      </c>
      <c r="N21" s="3">
        <v>1460170</v>
      </c>
    </row>
    <row r="22" spans="1:14" x14ac:dyDescent="0.3">
      <c r="A22" t="s">
        <v>122</v>
      </c>
      <c r="B22" t="s">
        <v>123</v>
      </c>
      <c r="C22" t="s">
        <v>124</v>
      </c>
      <c r="D22">
        <v>0</v>
      </c>
      <c r="E22">
        <v>0</v>
      </c>
      <c r="F22" s="3">
        <v>0</v>
      </c>
      <c r="G22" s="3">
        <v>0</v>
      </c>
      <c r="H22" s="3">
        <v>200000</v>
      </c>
      <c r="I22" s="3">
        <v>0</v>
      </c>
      <c r="J22" s="3">
        <v>0</v>
      </c>
      <c r="K22" s="3">
        <v>200000</v>
      </c>
      <c r="L22" s="3">
        <v>200000</v>
      </c>
      <c r="M22" s="3">
        <v>6600</v>
      </c>
      <c r="N22" s="3">
        <v>193400</v>
      </c>
    </row>
    <row r="23" spans="1:14" x14ac:dyDescent="0.3">
      <c r="A23" t="s">
        <v>125</v>
      </c>
      <c r="B23" t="s">
        <v>126</v>
      </c>
      <c r="C23" t="s">
        <v>149</v>
      </c>
      <c r="D23">
        <v>0</v>
      </c>
      <c r="E23">
        <v>0</v>
      </c>
      <c r="F23" s="3">
        <v>0</v>
      </c>
      <c r="G23" s="3">
        <v>0</v>
      </c>
      <c r="H23" s="3">
        <v>200000</v>
      </c>
      <c r="I23" s="3">
        <v>0</v>
      </c>
      <c r="J23" s="3">
        <v>0</v>
      </c>
      <c r="K23" s="3">
        <v>200000</v>
      </c>
      <c r="L23" s="3">
        <v>200000</v>
      </c>
      <c r="M23" s="3">
        <v>6600</v>
      </c>
      <c r="N23" s="3">
        <v>193400</v>
      </c>
    </row>
    <row r="24" spans="1:14" x14ac:dyDescent="0.3">
      <c r="A24" t="s">
        <v>28</v>
      </c>
      <c r="B24" t="s">
        <v>132</v>
      </c>
      <c r="C24" t="s">
        <v>118</v>
      </c>
      <c r="D24">
        <v>43</v>
      </c>
      <c r="E24">
        <v>1000000</v>
      </c>
      <c r="F24" s="3">
        <v>4000000</v>
      </c>
      <c r="G24" s="3">
        <v>0</v>
      </c>
      <c r="H24" s="3">
        <v>0</v>
      </c>
      <c r="I24" s="3">
        <v>0</v>
      </c>
      <c r="J24" s="3">
        <v>0</v>
      </c>
      <c r="K24" s="3">
        <v>4000000</v>
      </c>
      <c r="L24" s="3">
        <v>4000000</v>
      </c>
      <c r="M24" s="3">
        <v>132000</v>
      </c>
      <c r="N24" s="3">
        <v>3868000</v>
      </c>
    </row>
    <row r="25" spans="1:14" x14ac:dyDescent="0.3">
      <c r="A25" t="s">
        <v>29</v>
      </c>
      <c r="B25" t="s">
        <v>104</v>
      </c>
      <c r="C25" t="s">
        <v>119</v>
      </c>
      <c r="D25">
        <v>21</v>
      </c>
      <c r="E25">
        <v>450000</v>
      </c>
      <c r="F25" s="3">
        <v>2025000</v>
      </c>
      <c r="G25" s="3">
        <v>6934500</v>
      </c>
      <c r="H25" s="3">
        <v>0</v>
      </c>
      <c r="I25" s="3">
        <v>0</v>
      </c>
      <c r="J25" s="3">
        <v>0</v>
      </c>
      <c r="K25" s="3">
        <v>8959500</v>
      </c>
      <c r="L25" s="3">
        <v>8959500</v>
      </c>
      <c r="M25" s="3">
        <v>295650</v>
      </c>
      <c r="N25" s="3">
        <v>8663850</v>
      </c>
    </row>
    <row r="26" spans="1:14" x14ac:dyDescent="0.3">
      <c r="A26" t="s">
        <v>30</v>
      </c>
      <c r="B26" t="s">
        <v>106</v>
      </c>
      <c r="C26" t="s">
        <v>114</v>
      </c>
      <c r="D26">
        <v>23</v>
      </c>
      <c r="E26">
        <v>520000</v>
      </c>
      <c r="F26" s="3">
        <v>2340000</v>
      </c>
      <c r="G26" s="3">
        <v>1278500</v>
      </c>
      <c r="H26" s="3">
        <v>0</v>
      </c>
      <c r="I26" s="3">
        <v>0</v>
      </c>
      <c r="J26" s="3">
        <v>0</v>
      </c>
      <c r="K26" s="3">
        <v>3618500</v>
      </c>
      <c r="L26" s="3">
        <v>3618500</v>
      </c>
      <c r="M26" s="3">
        <v>119400</v>
      </c>
      <c r="N26" s="3">
        <v>3499100</v>
      </c>
    </row>
    <row r="27" spans="1:14" x14ac:dyDescent="0.3">
      <c r="A27" t="s">
        <v>31</v>
      </c>
      <c r="B27" t="s">
        <v>105</v>
      </c>
      <c r="C27" t="s">
        <v>114</v>
      </c>
      <c r="D27">
        <v>30</v>
      </c>
      <c r="E27">
        <v>680000</v>
      </c>
      <c r="F27" s="3">
        <v>3060000</v>
      </c>
      <c r="G27" s="3">
        <v>1341750</v>
      </c>
      <c r="H27" s="3">
        <v>0</v>
      </c>
      <c r="I27" s="3">
        <v>0</v>
      </c>
      <c r="J27" s="3">
        <v>0</v>
      </c>
      <c r="K27" s="3">
        <v>4401750</v>
      </c>
      <c r="L27" s="3">
        <v>4401750</v>
      </c>
      <c r="M27" s="3">
        <v>145250</v>
      </c>
      <c r="N27" s="3">
        <v>4256500</v>
      </c>
    </row>
    <row r="28" spans="1:14" x14ac:dyDescent="0.3">
      <c r="A28" t="s">
        <v>76</v>
      </c>
      <c r="B28" t="s">
        <v>107</v>
      </c>
      <c r="C28" t="s">
        <v>116</v>
      </c>
      <c r="D28">
        <v>33</v>
      </c>
      <c r="E28">
        <v>730000</v>
      </c>
      <c r="F28" s="3">
        <v>3285000</v>
      </c>
      <c r="G28" s="3">
        <v>357750</v>
      </c>
      <c r="H28" s="3">
        <v>0</v>
      </c>
      <c r="I28" s="3">
        <v>0</v>
      </c>
      <c r="J28" s="3">
        <v>0</v>
      </c>
      <c r="K28" s="3">
        <v>3642750</v>
      </c>
      <c r="L28" s="3">
        <v>3642750</v>
      </c>
      <c r="M28" s="3">
        <v>120200</v>
      </c>
      <c r="N28" s="3">
        <v>3522550</v>
      </c>
    </row>
    <row r="29" spans="1:14" x14ac:dyDescent="0.3">
      <c r="A29" t="s">
        <v>77</v>
      </c>
      <c r="B29" t="s">
        <v>133</v>
      </c>
      <c r="C29" t="s">
        <v>116</v>
      </c>
      <c r="D29">
        <v>16</v>
      </c>
      <c r="E29">
        <v>380000</v>
      </c>
      <c r="F29" s="3">
        <v>1710000</v>
      </c>
      <c r="G29" s="3">
        <v>0</v>
      </c>
      <c r="H29" s="3">
        <v>0</v>
      </c>
      <c r="I29" s="3">
        <v>0</v>
      </c>
      <c r="J29" s="3">
        <v>0</v>
      </c>
      <c r="K29" s="3">
        <v>1710000</v>
      </c>
      <c r="L29" s="3">
        <v>1710000</v>
      </c>
      <c r="M29" s="3">
        <v>56430</v>
      </c>
      <c r="N29" s="3">
        <v>1653570</v>
      </c>
    </row>
    <row r="30" spans="1:14" x14ac:dyDescent="0.3">
      <c r="A30" t="s">
        <v>2729</v>
      </c>
      <c r="B30" t="s">
        <v>121</v>
      </c>
      <c r="C30" t="s">
        <v>5158</v>
      </c>
      <c r="D30">
        <v>10</v>
      </c>
      <c r="E30">
        <v>230000</v>
      </c>
      <c r="F30" s="3">
        <v>920000</v>
      </c>
      <c r="G30" s="3">
        <v>0</v>
      </c>
      <c r="H30" s="3">
        <v>0</v>
      </c>
      <c r="I30" s="3">
        <v>0</v>
      </c>
      <c r="J30" s="3">
        <v>0</v>
      </c>
      <c r="K30" s="3">
        <v>920000</v>
      </c>
      <c r="L30" s="3">
        <v>920000</v>
      </c>
      <c r="M30" s="3">
        <v>30360</v>
      </c>
      <c r="N30" s="3">
        <v>889640</v>
      </c>
    </row>
    <row r="31" spans="1:14" x14ac:dyDescent="0.3">
      <c r="A31" t="s">
        <v>2831</v>
      </c>
      <c r="B31" t="s">
        <v>2833</v>
      </c>
      <c r="C31" t="s">
        <v>5158</v>
      </c>
      <c r="D31">
        <v>1</v>
      </c>
      <c r="E31">
        <v>20000</v>
      </c>
      <c r="F31" s="3">
        <v>90000</v>
      </c>
      <c r="G31" s="3">
        <v>0</v>
      </c>
      <c r="H31" s="3">
        <v>0</v>
      </c>
      <c r="I31" s="3">
        <v>0</v>
      </c>
      <c r="J31" s="3">
        <v>0</v>
      </c>
      <c r="K31" s="3">
        <v>90000</v>
      </c>
      <c r="L31" s="3">
        <v>90000</v>
      </c>
      <c r="M31" s="3">
        <v>2970</v>
      </c>
      <c r="N31" s="3">
        <v>87030</v>
      </c>
    </row>
    <row r="32" spans="1:14" x14ac:dyDescent="0.3">
      <c r="A32" t="s">
        <v>2845</v>
      </c>
      <c r="B32" t="s">
        <v>2847</v>
      </c>
      <c r="C32" t="s">
        <v>5158</v>
      </c>
      <c r="D32">
        <v>16</v>
      </c>
      <c r="E32">
        <v>340000</v>
      </c>
      <c r="F32" s="3">
        <v>1160000</v>
      </c>
      <c r="G32" s="3">
        <v>0</v>
      </c>
      <c r="H32" s="3">
        <v>0</v>
      </c>
      <c r="I32" s="3">
        <v>0</v>
      </c>
      <c r="J32" s="3">
        <v>0</v>
      </c>
      <c r="K32" s="3">
        <v>1160000</v>
      </c>
      <c r="L32" s="3">
        <v>1160000</v>
      </c>
      <c r="M32" s="3">
        <v>38280</v>
      </c>
      <c r="N32" s="3">
        <v>1121720</v>
      </c>
    </row>
    <row r="33" spans="1:14" x14ac:dyDescent="0.3">
      <c r="A33" t="s">
        <v>2854</v>
      </c>
      <c r="B33" t="s">
        <v>2856</v>
      </c>
      <c r="C33" t="s">
        <v>5158</v>
      </c>
      <c r="D33">
        <v>3</v>
      </c>
      <c r="E33">
        <v>70000</v>
      </c>
      <c r="F33" s="3">
        <v>280000</v>
      </c>
      <c r="G33" s="3">
        <v>0</v>
      </c>
      <c r="H33" s="3">
        <v>0</v>
      </c>
      <c r="I33" s="3">
        <v>0</v>
      </c>
      <c r="J33" s="3">
        <v>0</v>
      </c>
      <c r="K33" s="3">
        <v>280000</v>
      </c>
      <c r="L33" s="3">
        <v>280000</v>
      </c>
      <c r="M33" s="3">
        <v>9240</v>
      </c>
      <c r="N33" s="3">
        <v>270760</v>
      </c>
    </row>
    <row r="34" spans="1:14" x14ac:dyDescent="0.3">
      <c r="A34" t="s">
        <v>84</v>
      </c>
      <c r="B34" t="s">
        <v>108</v>
      </c>
      <c r="C34" t="s">
        <v>116</v>
      </c>
      <c r="D34">
        <v>29</v>
      </c>
      <c r="E34">
        <v>800000</v>
      </c>
      <c r="F34" s="3">
        <v>3210000</v>
      </c>
      <c r="G34" s="3">
        <v>287500</v>
      </c>
      <c r="H34" s="3">
        <v>0</v>
      </c>
      <c r="I34" s="3">
        <v>0</v>
      </c>
      <c r="J34" s="3">
        <v>0</v>
      </c>
      <c r="K34" s="3">
        <v>3497500</v>
      </c>
      <c r="L34" s="3">
        <v>3497500</v>
      </c>
      <c r="M34" s="3">
        <v>115410</v>
      </c>
      <c r="N34" s="3">
        <v>3382090</v>
      </c>
    </row>
    <row r="35" spans="1:14" x14ac:dyDescent="0.3">
      <c r="A35" t="s">
        <v>85</v>
      </c>
      <c r="B35" t="s">
        <v>109</v>
      </c>
      <c r="C35" t="s">
        <v>118</v>
      </c>
      <c r="D35">
        <v>35</v>
      </c>
      <c r="E35">
        <v>750000</v>
      </c>
      <c r="F35" s="3">
        <v>3000000</v>
      </c>
      <c r="G35" s="3">
        <v>0</v>
      </c>
      <c r="H35" s="3">
        <v>0</v>
      </c>
      <c r="I35" s="3">
        <v>0</v>
      </c>
      <c r="J35" s="3">
        <v>0</v>
      </c>
      <c r="K35" s="3">
        <v>3000000</v>
      </c>
      <c r="L35" s="3">
        <v>3000000</v>
      </c>
      <c r="M35" s="3">
        <v>99000</v>
      </c>
      <c r="N35" s="3">
        <v>2901000</v>
      </c>
    </row>
    <row r="36" spans="1:14" x14ac:dyDescent="0.3">
      <c r="A36" t="s">
        <v>87</v>
      </c>
      <c r="B36" t="s">
        <v>134</v>
      </c>
      <c r="C36" t="s">
        <v>118</v>
      </c>
      <c r="D36">
        <v>20</v>
      </c>
      <c r="E36">
        <v>560000</v>
      </c>
      <c r="F36" s="3">
        <v>2240000</v>
      </c>
      <c r="G36" s="3">
        <v>0</v>
      </c>
      <c r="H36" s="3">
        <v>0</v>
      </c>
      <c r="I36" s="3">
        <v>0</v>
      </c>
      <c r="J36" s="3">
        <v>0</v>
      </c>
      <c r="K36" s="3">
        <v>2240000</v>
      </c>
      <c r="L36" s="3">
        <v>2240000</v>
      </c>
      <c r="M36" s="3">
        <v>73920</v>
      </c>
      <c r="N36" s="3">
        <v>2166080</v>
      </c>
    </row>
    <row r="37" spans="1:14" x14ac:dyDescent="0.3">
      <c r="A37" t="s">
        <v>89</v>
      </c>
      <c r="B37" t="s">
        <v>135</v>
      </c>
      <c r="C37" t="s">
        <v>118</v>
      </c>
      <c r="D37">
        <v>3</v>
      </c>
      <c r="E37">
        <v>70000</v>
      </c>
      <c r="F37" s="3">
        <v>150000</v>
      </c>
      <c r="G37" s="3">
        <v>0</v>
      </c>
      <c r="H37" s="3">
        <v>0</v>
      </c>
      <c r="I37" s="3">
        <v>0</v>
      </c>
      <c r="J37" s="3">
        <v>0</v>
      </c>
      <c r="K37" s="3">
        <v>150000</v>
      </c>
      <c r="L37" s="3">
        <v>150000</v>
      </c>
      <c r="M37" s="3">
        <v>4950</v>
      </c>
      <c r="N37" s="3">
        <v>145050</v>
      </c>
    </row>
    <row r="38" spans="1:14" x14ac:dyDescent="0.3">
      <c r="A38" t="s">
        <v>90</v>
      </c>
      <c r="B38" t="s">
        <v>110</v>
      </c>
      <c r="C38" t="s">
        <v>118</v>
      </c>
      <c r="D38">
        <v>35</v>
      </c>
      <c r="E38">
        <v>830000</v>
      </c>
      <c r="F38" s="3">
        <v>3320000</v>
      </c>
      <c r="G38" s="3">
        <v>0</v>
      </c>
      <c r="H38" s="3">
        <v>0</v>
      </c>
      <c r="I38" s="3">
        <v>0</v>
      </c>
      <c r="J38" s="3">
        <v>0</v>
      </c>
      <c r="K38" s="3">
        <v>3320000</v>
      </c>
      <c r="L38" s="3">
        <v>3320000</v>
      </c>
      <c r="M38" s="3">
        <v>109560</v>
      </c>
      <c r="N38" s="3">
        <v>3210440</v>
      </c>
    </row>
    <row r="39" spans="1:14" x14ac:dyDescent="0.3">
      <c r="A39" t="s">
        <v>91</v>
      </c>
      <c r="B39" t="s">
        <v>136</v>
      </c>
      <c r="C39" t="s">
        <v>118</v>
      </c>
      <c r="D39">
        <v>30</v>
      </c>
      <c r="E39">
        <v>750000</v>
      </c>
      <c r="F39" s="3">
        <v>2880000</v>
      </c>
      <c r="G39" s="3">
        <v>0</v>
      </c>
      <c r="H39" s="3">
        <v>0</v>
      </c>
      <c r="I39" s="3">
        <v>0</v>
      </c>
      <c r="J39" s="3">
        <v>0</v>
      </c>
      <c r="K39" s="3">
        <v>2880000</v>
      </c>
      <c r="L39" s="3">
        <v>2880000</v>
      </c>
      <c r="M39" s="3">
        <v>95040</v>
      </c>
      <c r="N39" s="3">
        <v>2784960</v>
      </c>
    </row>
    <row r="40" spans="1:14" x14ac:dyDescent="0.3">
      <c r="A40" t="s">
        <v>92</v>
      </c>
      <c r="B40" t="s">
        <v>137</v>
      </c>
      <c r="C40" t="s">
        <v>118</v>
      </c>
      <c r="D40">
        <v>43</v>
      </c>
      <c r="E40">
        <v>970000</v>
      </c>
      <c r="F40" s="3">
        <v>3780000</v>
      </c>
      <c r="G40" s="3">
        <v>0</v>
      </c>
      <c r="H40" s="3">
        <v>0</v>
      </c>
      <c r="I40" s="3">
        <v>0</v>
      </c>
      <c r="J40" s="3">
        <v>0</v>
      </c>
      <c r="K40" s="3">
        <v>3780000</v>
      </c>
      <c r="L40" s="3">
        <v>3780000</v>
      </c>
      <c r="M40" s="3">
        <v>124740</v>
      </c>
      <c r="N40" s="3">
        <v>3655260</v>
      </c>
    </row>
    <row r="41" spans="1:14" x14ac:dyDescent="0.3">
      <c r="A41" t="s">
        <v>3020</v>
      </c>
      <c r="B41" t="s">
        <v>2852</v>
      </c>
      <c r="C41" t="s">
        <v>5158</v>
      </c>
      <c r="D41">
        <v>13</v>
      </c>
      <c r="E41">
        <v>270000</v>
      </c>
      <c r="F41" s="3">
        <v>810000</v>
      </c>
      <c r="G41" s="3">
        <v>0</v>
      </c>
      <c r="H41" s="3">
        <v>0</v>
      </c>
      <c r="I41" s="3">
        <v>0</v>
      </c>
      <c r="J41" s="3">
        <v>0</v>
      </c>
      <c r="K41" s="3">
        <v>810000</v>
      </c>
      <c r="L41" s="3">
        <v>810000</v>
      </c>
      <c r="M41" s="3">
        <v>26730</v>
      </c>
      <c r="N41" s="3">
        <v>783270</v>
      </c>
    </row>
    <row r="42" spans="1:14" x14ac:dyDescent="0.3">
      <c r="A42" t="s">
        <v>3023</v>
      </c>
      <c r="B42" t="s">
        <v>3025</v>
      </c>
      <c r="C42" t="s">
        <v>5158</v>
      </c>
      <c r="D42">
        <v>17</v>
      </c>
      <c r="E42">
        <v>360000</v>
      </c>
      <c r="F42" s="3">
        <v>1350000</v>
      </c>
      <c r="G42" s="3">
        <v>0</v>
      </c>
      <c r="H42" s="3">
        <v>0</v>
      </c>
      <c r="I42" s="3">
        <v>0</v>
      </c>
      <c r="J42" s="3">
        <v>0</v>
      </c>
      <c r="K42" s="3">
        <v>1350000</v>
      </c>
      <c r="L42" s="3">
        <v>1350000</v>
      </c>
      <c r="M42" s="3">
        <v>44550</v>
      </c>
      <c r="N42" s="3">
        <v>1305450</v>
      </c>
    </row>
    <row r="43" spans="1:14" x14ac:dyDescent="0.3">
      <c r="A43" t="s">
        <v>3033</v>
      </c>
      <c r="B43" t="s">
        <v>3035</v>
      </c>
      <c r="C43" t="s">
        <v>5158</v>
      </c>
      <c r="D43">
        <v>25</v>
      </c>
      <c r="E43">
        <v>560000</v>
      </c>
      <c r="F43" s="3">
        <v>2010000</v>
      </c>
      <c r="G43" s="3">
        <v>0</v>
      </c>
      <c r="H43" s="3">
        <v>0</v>
      </c>
      <c r="I43" s="3">
        <v>0</v>
      </c>
      <c r="J43" s="3">
        <v>0</v>
      </c>
      <c r="K43" s="3">
        <v>2010000</v>
      </c>
      <c r="L43" s="3">
        <v>2010000</v>
      </c>
      <c r="M43" s="3">
        <v>66330</v>
      </c>
      <c r="N43" s="3">
        <v>1943670</v>
      </c>
    </row>
    <row r="44" spans="1:14" x14ac:dyDescent="0.3">
      <c r="A44" t="s">
        <v>94</v>
      </c>
      <c r="B44" t="s">
        <v>138</v>
      </c>
      <c r="C44" t="s">
        <v>118</v>
      </c>
      <c r="D44">
        <v>32</v>
      </c>
      <c r="E44">
        <v>730000</v>
      </c>
      <c r="F44" s="3">
        <v>2600000</v>
      </c>
      <c r="G44" s="3">
        <v>0</v>
      </c>
      <c r="H44" s="3">
        <v>0</v>
      </c>
      <c r="I44" s="3">
        <v>0</v>
      </c>
      <c r="J44" s="3">
        <v>0</v>
      </c>
      <c r="K44" s="3">
        <v>2600000</v>
      </c>
      <c r="L44" s="3">
        <v>2600000</v>
      </c>
      <c r="M44" s="3">
        <v>85800</v>
      </c>
      <c r="N44" s="3">
        <v>2514200</v>
      </c>
    </row>
    <row r="45" spans="1:14" x14ac:dyDescent="0.3">
      <c r="A45" t="s">
        <v>95</v>
      </c>
      <c r="B45" t="s">
        <v>139</v>
      </c>
      <c r="C45" t="s">
        <v>124</v>
      </c>
      <c r="D45">
        <v>0</v>
      </c>
      <c r="E45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</row>
    <row r="46" spans="1:14" x14ac:dyDescent="0.3">
      <c r="A46" t="s">
        <v>96</v>
      </c>
      <c r="B46" t="s">
        <v>140</v>
      </c>
      <c r="C46" t="s">
        <v>118</v>
      </c>
      <c r="D46">
        <v>10</v>
      </c>
      <c r="E46">
        <v>220000</v>
      </c>
      <c r="F46" s="3">
        <v>730000</v>
      </c>
      <c r="G46" s="3">
        <v>0</v>
      </c>
      <c r="H46" s="3">
        <v>150000</v>
      </c>
      <c r="I46" s="3">
        <v>0</v>
      </c>
      <c r="J46" s="3">
        <v>0</v>
      </c>
      <c r="K46" s="3">
        <v>880000</v>
      </c>
      <c r="L46" s="3">
        <v>880000</v>
      </c>
      <c r="M46" s="3">
        <v>29040</v>
      </c>
      <c r="N46" s="3">
        <v>850960</v>
      </c>
    </row>
    <row r="47" spans="1:14" x14ac:dyDescent="0.3">
      <c r="A47" t="s">
        <v>3057</v>
      </c>
      <c r="B47" t="s">
        <v>3059</v>
      </c>
      <c r="C47" t="s">
        <v>5158</v>
      </c>
      <c r="D47">
        <v>1</v>
      </c>
      <c r="E47">
        <v>20000</v>
      </c>
      <c r="F47" s="3">
        <v>20000</v>
      </c>
      <c r="G47" s="3">
        <v>0</v>
      </c>
      <c r="H47" s="3">
        <v>200000</v>
      </c>
      <c r="I47" s="3">
        <v>0</v>
      </c>
      <c r="J47" s="3">
        <v>0</v>
      </c>
      <c r="K47" s="3">
        <v>220000</v>
      </c>
      <c r="L47" s="3">
        <v>220000</v>
      </c>
      <c r="M47" s="3">
        <v>7260</v>
      </c>
      <c r="N47" s="3">
        <v>212740</v>
      </c>
    </row>
    <row r="48" spans="1:14" x14ac:dyDescent="0.3">
      <c r="A48" t="s">
        <v>141</v>
      </c>
      <c r="B48" t="s">
        <v>142</v>
      </c>
      <c r="C48" t="s">
        <v>118</v>
      </c>
      <c r="D48">
        <v>1</v>
      </c>
      <c r="E48">
        <v>20000</v>
      </c>
      <c r="F48" s="3">
        <v>20000</v>
      </c>
      <c r="G48" s="3">
        <v>0</v>
      </c>
      <c r="H48" s="3">
        <v>250000</v>
      </c>
      <c r="I48" s="3">
        <v>0</v>
      </c>
      <c r="J48" s="3">
        <v>0</v>
      </c>
      <c r="K48" s="3">
        <v>270000</v>
      </c>
      <c r="L48" s="3">
        <v>270000</v>
      </c>
      <c r="M48" s="3">
        <v>8910</v>
      </c>
      <c r="N48" s="3">
        <v>261090</v>
      </c>
    </row>
    <row r="49" spans="1:14" x14ac:dyDescent="0.3">
      <c r="A49" t="s">
        <v>3065</v>
      </c>
      <c r="B49" t="s">
        <v>3067</v>
      </c>
      <c r="C49" t="s">
        <v>5158</v>
      </c>
      <c r="D49">
        <v>0</v>
      </c>
      <c r="E49">
        <v>0</v>
      </c>
      <c r="F49" s="3">
        <v>0</v>
      </c>
      <c r="G49" s="3">
        <v>0</v>
      </c>
      <c r="H49" s="3">
        <v>150000</v>
      </c>
      <c r="I49" s="3">
        <v>0</v>
      </c>
      <c r="J49" s="3">
        <v>0</v>
      </c>
      <c r="K49" s="3">
        <v>150000</v>
      </c>
      <c r="L49" s="3">
        <v>150000</v>
      </c>
      <c r="M49" s="3">
        <v>4950</v>
      </c>
      <c r="N49" s="3">
        <v>145050</v>
      </c>
    </row>
    <row r="50" spans="1:14" x14ac:dyDescent="0.3">
      <c r="A50" t="s">
        <v>143</v>
      </c>
      <c r="B50" t="s">
        <v>144</v>
      </c>
      <c r="C50" t="s">
        <v>118</v>
      </c>
      <c r="D50">
        <v>0</v>
      </c>
      <c r="E50">
        <v>0</v>
      </c>
      <c r="F50" s="3">
        <v>0</v>
      </c>
      <c r="G50" s="3">
        <v>0</v>
      </c>
      <c r="H50" s="3">
        <v>250000</v>
      </c>
      <c r="I50" s="3">
        <v>0</v>
      </c>
      <c r="J50" s="3">
        <v>0</v>
      </c>
      <c r="K50" s="3">
        <v>250000</v>
      </c>
      <c r="L50" s="3">
        <v>250000</v>
      </c>
      <c r="M50" s="3">
        <v>8250</v>
      </c>
      <c r="N50" s="3">
        <v>241750</v>
      </c>
    </row>
    <row r="51" spans="1:14" x14ac:dyDescent="0.3">
      <c r="A51" t="s">
        <v>111</v>
      </c>
      <c r="B51" t="s">
        <v>112</v>
      </c>
      <c r="C51" t="s">
        <v>116</v>
      </c>
      <c r="D51">
        <v>4</v>
      </c>
      <c r="E51">
        <v>90000</v>
      </c>
      <c r="F51" s="3">
        <v>450000</v>
      </c>
      <c r="G51" s="3">
        <v>106000</v>
      </c>
      <c r="H51" s="3">
        <v>0</v>
      </c>
      <c r="I51" s="3">
        <v>0</v>
      </c>
      <c r="J51" s="3">
        <v>0</v>
      </c>
      <c r="K51" s="3">
        <v>556000</v>
      </c>
      <c r="L51" s="3">
        <v>556000</v>
      </c>
      <c r="M51" s="3">
        <v>18340</v>
      </c>
      <c r="N51" s="3">
        <v>537660</v>
      </c>
    </row>
    <row r="52" spans="1:14" x14ac:dyDescent="0.3">
      <c r="A52" t="s">
        <v>145</v>
      </c>
      <c r="B52" t="s">
        <v>146</v>
      </c>
      <c r="C52" t="s">
        <v>118</v>
      </c>
      <c r="D52">
        <v>11</v>
      </c>
      <c r="E52">
        <v>260000</v>
      </c>
      <c r="F52" s="3">
        <v>1010000</v>
      </c>
      <c r="G52" s="3">
        <v>0</v>
      </c>
      <c r="H52" s="3">
        <v>0</v>
      </c>
      <c r="I52" s="3">
        <v>0</v>
      </c>
      <c r="J52" s="3">
        <v>0</v>
      </c>
      <c r="K52" s="3">
        <v>1010000</v>
      </c>
      <c r="L52" s="3">
        <v>1010000</v>
      </c>
      <c r="M52" s="3">
        <v>33330</v>
      </c>
      <c r="N52" s="3">
        <v>976670</v>
      </c>
    </row>
    <row r="53" spans="1:14" x14ac:dyDescent="0.3">
      <c r="A53" t="s">
        <v>147</v>
      </c>
      <c r="B53" t="s">
        <v>148</v>
      </c>
      <c r="C53" t="s">
        <v>149</v>
      </c>
      <c r="D53">
        <v>7</v>
      </c>
      <c r="E53">
        <v>170000</v>
      </c>
      <c r="F53" s="3">
        <v>660000</v>
      </c>
      <c r="G53" s="3">
        <v>0</v>
      </c>
      <c r="H53" s="3">
        <v>0</v>
      </c>
      <c r="I53" s="3">
        <v>0</v>
      </c>
      <c r="J53" s="3">
        <v>0</v>
      </c>
      <c r="K53" s="3">
        <v>660000</v>
      </c>
      <c r="L53" s="3">
        <v>660000</v>
      </c>
      <c r="M53" s="3">
        <v>21780</v>
      </c>
      <c r="N53" s="3">
        <v>638220</v>
      </c>
    </row>
    <row r="54" spans="1:14" x14ac:dyDescent="0.3">
      <c r="A54" t="s">
        <v>154</v>
      </c>
      <c r="B54" t="s">
        <v>155</v>
      </c>
      <c r="C54" t="s">
        <v>124</v>
      </c>
      <c r="D54">
        <v>0</v>
      </c>
      <c r="E54">
        <v>0</v>
      </c>
      <c r="F54" s="3">
        <v>0</v>
      </c>
      <c r="G54" s="3">
        <v>0</v>
      </c>
      <c r="H54" s="3">
        <v>150000</v>
      </c>
      <c r="I54" s="3">
        <v>0</v>
      </c>
      <c r="J54" s="3">
        <v>0</v>
      </c>
      <c r="K54" s="3">
        <v>150000</v>
      </c>
      <c r="L54" s="3">
        <v>150000</v>
      </c>
      <c r="M54" s="3">
        <v>4950</v>
      </c>
      <c r="N54" s="3">
        <v>145050</v>
      </c>
    </row>
    <row r="55" spans="1:14" x14ac:dyDescent="0.3">
      <c r="A55" t="s">
        <v>156</v>
      </c>
      <c r="B55" t="s">
        <v>157</v>
      </c>
      <c r="C55" t="s">
        <v>124</v>
      </c>
      <c r="D55">
        <v>0</v>
      </c>
      <c r="E55">
        <v>0</v>
      </c>
      <c r="F55" s="3">
        <v>0</v>
      </c>
      <c r="G55" s="3">
        <v>0</v>
      </c>
      <c r="H55" s="3">
        <v>200000</v>
      </c>
      <c r="I55" s="3">
        <v>0</v>
      </c>
      <c r="J55" s="3">
        <v>0</v>
      </c>
      <c r="K55" s="3">
        <v>200000</v>
      </c>
      <c r="L55" s="3">
        <v>200000</v>
      </c>
      <c r="M55" s="3">
        <v>6600</v>
      </c>
      <c r="N55" s="3">
        <v>193400</v>
      </c>
    </row>
  </sheetData>
  <mergeCells count="3">
    <mergeCell ref="A3:A4"/>
    <mergeCell ref="B3:B4"/>
    <mergeCell ref="C3:C4"/>
  </mergeCells>
  <phoneticPr fontId="1" type="noConversion"/>
  <conditionalFormatting sqref="D2:N2">
    <cfRule type="expression" dxfId="27" priority="2">
      <formula>D2&lt;&gt;D4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87DD-00FD-4C50-8AA7-2D687BEFE4DF}">
  <sheetPr codeName="Sheet8">
    <pageSetUpPr fitToPage="1"/>
  </sheetPr>
  <dimension ref="A1:P50"/>
  <sheetViews>
    <sheetView view="pageBreakPreview" zoomScale="85" zoomScaleNormal="100" zoomScaleSheetLayoutView="85" workbookViewId="0">
      <selection activeCell="A14" sqref="A14"/>
    </sheetView>
  </sheetViews>
  <sheetFormatPr defaultRowHeight="16.5" x14ac:dyDescent="0.3"/>
  <cols>
    <col min="1" max="1" width="13.875" style="15" bestFit="1" customWidth="1"/>
    <col min="2" max="2" width="12.125" style="14" customWidth="1"/>
    <col min="3" max="3" width="27.625" style="14" bestFit="1" customWidth="1"/>
    <col min="4" max="4" width="7.125" style="16" customWidth="1"/>
    <col min="5" max="5" width="9" style="14"/>
    <col min="6" max="6" width="6.25" style="14" customWidth="1"/>
    <col min="7" max="7" width="9" style="14"/>
    <col min="8" max="8" width="10.375" style="3" customWidth="1"/>
    <col min="9" max="9" width="9" style="48"/>
    <col min="10" max="10" width="9.125" style="3" bestFit="1" customWidth="1"/>
    <col min="11" max="11" width="10.625" style="3" bestFit="1" customWidth="1"/>
    <col min="12" max="12" width="9" style="14" customWidth="1"/>
    <col min="15" max="16" width="11.125" bestFit="1" customWidth="1"/>
  </cols>
  <sheetData>
    <row r="1" spans="1:16" ht="39" x14ac:dyDescent="0.3">
      <c r="A1" s="70" t="e">
        <f>setting!#REF!&amp;"년 "&amp;setting!#REF!&amp;"월 PROJECT-N 급여명세서"</f>
        <v>#REF!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t="b">
        <f>AND(M2:M9)</f>
        <v>1</v>
      </c>
    </row>
    <row r="2" spans="1:16" x14ac:dyDescent="0.3">
      <c r="A2" s="6"/>
      <c r="B2"/>
      <c r="C2"/>
      <c r="D2" s="7"/>
      <c r="E2"/>
      <c r="F2"/>
      <c r="I2"/>
      <c r="J2" s="19" t="str">
        <f>IF(K2=0,"","이월 (-)급여 : ")</f>
        <v/>
      </c>
      <c r="K2" s="72">
        <f>_xlfn.XLOOKUP(B5,unsettled!A:A,unsettled!C:C,0)</f>
        <v>0</v>
      </c>
      <c r="L2" s="72"/>
      <c r="M2" t="b">
        <f>K2=_xlfn.XLOOKUP(B5,종합!A:A,종합!I:I)</f>
        <v>1</v>
      </c>
    </row>
    <row r="3" spans="1:16" x14ac:dyDescent="0.3">
      <c r="A3" s="6"/>
      <c r="B3"/>
      <c r="C3"/>
      <c r="D3" s="7"/>
      <c r="E3"/>
      <c r="F3"/>
      <c r="I3"/>
      <c r="J3" s="19" t="str">
        <f>IF(K3=0,"","신입교육비 : ")</f>
        <v/>
      </c>
      <c r="K3" s="72">
        <f>_xlfn.XLOOKUP(B5,training_fee!A:A,training_fee!D:D,0)</f>
        <v>0</v>
      </c>
      <c r="L3" s="72"/>
      <c r="M3" t="b">
        <f>K3=_xlfn.XLOOKUP(B5,종합!A:A,종합!H:H)</f>
        <v>1</v>
      </c>
    </row>
    <row r="4" spans="1:16" x14ac:dyDescent="0.3">
      <c r="A4" s="6"/>
      <c r="B4"/>
      <c r="C4"/>
      <c r="D4" s="7"/>
      <c r="E4"/>
      <c r="F4"/>
      <c r="G4" s="53"/>
      <c r="I4"/>
      <c r="J4" s="52" t="str">
        <f>IF(K4=0,"","보너스 : ")</f>
        <v/>
      </c>
      <c r="K4" s="72">
        <f>_xlfn.XLOOKUP(B5,bonus!A:A,bonus!C:C,0)</f>
        <v>0</v>
      </c>
      <c r="L4" s="72"/>
      <c r="M4" t="b">
        <f>K4=_xlfn.XLOOKUP(B5,종합!A:A,종합!J:J)</f>
        <v>1</v>
      </c>
    </row>
    <row r="5" spans="1:16" x14ac:dyDescent="0.3">
      <c r="A5" s="12" t="s">
        <v>47</v>
      </c>
      <c r="B5" s="39" t="s">
        <v>158</v>
      </c>
      <c r="C5"/>
      <c r="D5" s="7"/>
      <c r="E5"/>
      <c r="F5"/>
      <c r="I5"/>
      <c r="J5" s="13" t="s">
        <v>66</v>
      </c>
      <c r="K5" s="71">
        <f>SUMIF(I13:I2003,"출금완료",K13:K2003)</f>
        <v>2025000</v>
      </c>
      <c r="L5" s="71"/>
      <c r="M5" t="b">
        <f>K5=_xlfn.XLOOKUP(B5,종합!A:A,종합!F:F)</f>
        <v>1</v>
      </c>
    </row>
    <row r="6" spans="1:16" x14ac:dyDescent="0.3">
      <c r="A6" s="12" t="s">
        <v>48</v>
      </c>
      <c r="B6" s="39" t="str">
        <f>_xlfn.XLOOKUP(B5,members!A:A,members!C:C)</f>
        <v>황정민</v>
      </c>
      <c r="C6"/>
      <c r="D6" s="7"/>
      <c r="E6"/>
      <c r="F6"/>
      <c r="I6"/>
      <c r="J6" s="13" t="s">
        <v>50</v>
      </c>
      <c r="K6" s="71">
        <f>_xlfn.XLOOKUP(B5,override!A:A,override!H:H,0)</f>
        <v>6934500</v>
      </c>
      <c r="L6" s="71"/>
      <c r="M6" t="b">
        <f>K6=_xlfn.XLOOKUP(B5,종합!A:A,종합!G:G)</f>
        <v>1</v>
      </c>
    </row>
    <row r="7" spans="1:16" x14ac:dyDescent="0.3">
      <c r="A7" s="12" t="s">
        <v>49</v>
      </c>
      <c r="B7" s="39" t="str">
        <f>_xlfn.XLOOKUP(B5,종합!A:A,종합!C:C)</f>
        <v>D</v>
      </c>
      <c r="C7"/>
      <c r="D7" s="7"/>
      <c r="E7"/>
      <c r="F7"/>
      <c r="G7"/>
      <c r="H7" s="18"/>
      <c r="I7"/>
      <c r="J7" s="13" t="s">
        <v>53</v>
      </c>
      <c r="K7" s="71">
        <f>K2+K3+K4+K5+K6</f>
        <v>8959500</v>
      </c>
      <c r="L7" s="71"/>
      <c r="M7" t="b">
        <f>K7=_xlfn.XLOOKUP(B5,종합!A:A,종합!K:K)</f>
        <v>1</v>
      </c>
    </row>
    <row r="8" spans="1:16" x14ac:dyDescent="0.3">
      <c r="A8" s="12"/>
      <c r="B8"/>
      <c r="C8"/>
      <c r="D8" s="7"/>
      <c r="E8"/>
      <c r="F8"/>
      <c r="G8" s="17" t="s">
        <v>54</v>
      </c>
      <c r="H8" s="29">
        <f>COUNTIF(I13:I1048576,"출금완료")</f>
        <v>21</v>
      </c>
      <c r="I8"/>
      <c r="J8" s="13" t="s">
        <v>51</v>
      </c>
      <c r="K8" s="71">
        <f>IF(K7&lt;0,0,ROUNDDOWN(K7*3%,-1) + ROUNDDOWN(K7*0.3%,-1))</f>
        <v>295650</v>
      </c>
      <c r="L8" s="71"/>
      <c r="M8" t="b">
        <f>K8=_xlfn.XLOOKUP(B5,종합!A:A,종합!M:M)</f>
        <v>1</v>
      </c>
    </row>
    <row r="9" spans="1:16" x14ac:dyDescent="0.3">
      <c r="A9" s="12"/>
      <c r="B9"/>
      <c r="C9"/>
      <c r="D9" s="7"/>
      <c r="E9"/>
      <c r="F9"/>
      <c r="G9" s="17" t="s">
        <v>55</v>
      </c>
      <c r="H9" s="29">
        <f>COUNTIF(I13:I1048576,"진행중")</f>
        <v>13</v>
      </c>
      <c r="I9"/>
      <c r="J9" s="13" t="s">
        <v>52</v>
      </c>
      <c r="K9" s="69">
        <f>IF(K7&lt;0,0,K7-K8)</f>
        <v>8663850</v>
      </c>
      <c r="L9" s="69"/>
      <c r="M9" t="b">
        <f>K9=_xlfn.XLOOKUP(B5,종합!A:A,종합!N:N)</f>
        <v>1</v>
      </c>
    </row>
    <row r="10" spans="1:16" x14ac:dyDescent="0.3">
      <c r="A10" s="12"/>
      <c r="B10"/>
      <c r="C10"/>
      <c r="D10" s="7"/>
      <c r="E10"/>
      <c r="F10"/>
      <c r="G10"/>
      <c r="I10"/>
      <c r="L10"/>
    </row>
    <row r="11" spans="1:16" x14ac:dyDescent="0.3">
      <c r="A11" s="6"/>
      <c r="B11"/>
      <c r="C11"/>
      <c r="D11" s="7"/>
      <c r="E11"/>
      <c r="F11"/>
      <c r="G11"/>
      <c r="I11"/>
      <c r="L11"/>
    </row>
    <row r="12" spans="1:16" ht="17.25" thickBot="1" x14ac:dyDescent="0.35">
      <c r="A12" s="35" t="s">
        <v>0</v>
      </c>
      <c r="B12" s="36" t="s">
        <v>1</v>
      </c>
      <c r="C12" s="36" t="s">
        <v>13</v>
      </c>
      <c r="D12" s="37" t="s">
        <v>2</v>
      </c>
      <c r="E12" s="36" t="s">
        <v>3</v>
      </c>
      <c r="F12" s="36" t="s">
        <v>9</v>
      </c>
      <c r="G12" s="36" t="s">
        <v>4</v>
      </c>
      <c r="H12" s="38" t="s">
        <v>5</v>
      </c>
      <c r="I12" s="36" t="s">
        <v>8</v>
      </c>
      <c r="J12" s="38" t="s">
        <v>6</v>
      </c>
      <c r="K12" s="38" t="s">
        <v>7</v>
      </c>
      <c r="L12" s="36" t="s">
        <v>10</v>
      </c>
      <c r="O12" s="4"/>
      <c r="P12" s="4"/>
    </row>
    <row r="13" spans="1:16" ht="17.25" thickTop="1" x14ac:dyDescent="0.3">
      <c r="A13" s="15" cm="1">
        <f t="array" ref="A13:L50">IFERROR(_xlfn._xlws.FILTER(data!A:L,data!M:M=B5),"내역없음")</f>
        <v>44606</v>
      </c>
      <c r="B13" s="14" t="str">
        <v>P0142806B</v>
      </c>
      <c r="C13" s="14" t="str">
        <v>다이소대구테크노폴리스점</v>
      </c>
      <c r="D13" s="16">
        <v>0.74305555555555547</v>
      </c>
      <c r="E13" s="14" t="str">
        <v>MSF</v>
      </c>
      <c r="F13" s="14">
        <v>27</v>
      </c>
      <c r="G13" s="14" t="str">
        <v>정기후원</v>
      </c>
      <c r="H13" s="3">
        <v>20000</v>
      </c>
      <c r="I13" s="48" t="str">
        <v>출금완료</v>
      </c>
      <c r="J13" s="3">
        <v>20000</v>
      </c>
      <c r="K13" s="3">
        <v>90000</v>
      </c>
      <c r="L13" s="14" t="str">
        <v>D</v>
      </c>
    </row>
    <row r="14" spans="1:16" x14ac:dyDescent="0.3">
      <c r="A14" s="15">
        <v>44609</v>
      </c>
      <c r="B14" s="14" t="str">
        <v>P0142810B</v>
      </c>
      <c r="C14" s="14" t="str">
        <v>동양마트서창점</v>
      </c>
      <c r="D14" s="16">
        <v>0.75</v>
      </c>
      <c r="E14" s="14" t="str">
        <v>MSF</v>
      </c>
      <c r="F14" s="14">
        <v>61</v>
      </c>
      <c r="G14" s="14" t="str">
        <v>정기후원</v>
      </c>
      <c r="H14" s="3">
        <v>20000</v>
      </c>
      <c r="I14" s="48" t="str">
        <v>출금완료</v>
      </c>
      <c r="J14" s="3">
        <v>20000</v>
      </c>
      <c r="K14" s="3">
        <v>90000</v>
      </c>
      <c r="L14" s="14" t="str">
        <v>D</v>
      </c>
    </row>
    <row r="15" spans="1:16" x14ac:dyDescent="0.3">
      <c r="A15" s="15">
        <v>44611</v>
      </c>
      <c r="B15" s="14" t="str">
        <v>P0141589B</v>
      </c>
      <c r="C15" s="14" t="str">
        <v>다이소테크노폴리스점</v>
      </c>
      <c r="D15" s="16">
        <v>0.60069444444444442</v>
      </c>
      <c r="E15" s="14" t="str">
        <v>MSF</v>
      </c>
      <c r="F15" s="14">
        <v>33</v>
      </c>
      <c r="G15" s="14" t="str">
        <v>정기후원</v>
      </c>
      <c r="H15" s="3">
        <v>20000</v>
      </c>
      <c r="I15" s="48" t="str">
        <v>출금완료</v>
      </c>
      <c r="J15" s="3">
        <v>20000</v>
      </c>
      <c r="K15" s="3">
        <v>90000</v>
      </c>
      <c r="L15" s="14" t="str">
        <v>D</v>
      </c>
    </row>
    <row r="16" spans="1:16" x14ac:dyDescent="0.3">
      <c r="A16" s="15">
        <v>44611</v>
      </c>
      <c r="B16" s="14" t="str">
        <v>P0141028B</v>
      </c>
      <c r="C16" s="14" t="str">
        <v>다이소테크노폴리스점</v>
      </c>
      <c r="D16" s="16">
        <v>0.6875</v>
      </c>
      <c r="E16" s="14" t="str">
        <v>MSF</v>
      </c>
      <c r="F16" s="14">
        <v>55</v>
      </c>
      <c r="G16" s="14" t="str">
        <v>정기후원</v>
      </c>
      <c r="H16" s="3">
        <v>20000</v>
      </c>
      <c r="I16" s="48" t="str">
        <v>출금완료</v>
      </c>
      <c r="J16" s="3">
        <v>20000</v>
      </c>
      <c r="K16" s="3">
        <v>90000</v>
      </c>
      <c r="L16" s="14" t="str">
        <v>D</v>
      </c>
    </row>
    <row r="17" spans="1:12" x14ac:dyDescent="0.3">
      <c r="A17" s="15">
        <v>44613</v>
      </c>
      <c r="B17" s="14" t="str">
        <v>P0142887B</v>
      </c>
      <c r="C17" s="14" t="str">
        <v>다이소함안점</v>
      </c>
      <c r="D17" s="16">
        <v>0.7944444444444444</v>
      </c>
      <c r="E17" s="14" t="str">
        <v>MSF</v>
      </c>
      <c r="F17" s="14">
        <v>40</v>
      </c>
      <c r="G17" s="14" t="str">
        <v>정기후원</v>
      </c>
      <c r="H17" s="3">
        <v>20000</v>
      </c>
      <c r="I17" s="48" t="str">
        <v>출금완료</v>
      </c>
      <c r="J17" s="3">
        <v>20000</v>
      </c>
      <c r="K17" s="3">
        <v>90000</v>
      </c>
      <c r="L17" s="14" t="str">
        <v>D</v>
      </c>
    </row>
    <row r="18" spans="1:12" x14ac:dyDescent="0.3">
      <c r="A18" s="15">
        <v>44617</v>
      </c>
      <c r="B18" s="14" t="str">
        <v>P0142519B</v>
      </c>
      <c r="C18" s="14" t="str">
        <v>다이소대구논공점</v>
      </c>
      <c r="D18" s="16">
        <v>0.79513888888888884</v>
      </c>
      <c r="E18" s="14" t="str">
        <v>MSF</v>
      </c>
      <c r="F18" s="14">
        <v>40</v>
      </c>
      <c r="G18" s="14" t="str">
        <v>정기후원</v>
      </c>
      <c r="H18" s="3">
        <v>20000</v>
      </c>
      <c r="I18" s="48" t="str">
        <v>출금완료</v>
      </c>
      <c r="J18" s="3">
        <v>20000</v>
      </c>
      <c r="K18" s="3">
        <v>90000</v>
      </c>
      <c r="L18" s="14" t="str">
        <v>D</v>
      </c>
    </row>
    <row r="19" spans="1:12" x14ac:dyDescent="0.3">
      <c r="A19" s="15">
        <v>44620</v>
      </c>
      <c r="B19" s="14" t="str">
        <v>P0142503B</v>
      </c>
      <c r="C19" s="14" t="str">
        <v>청량농협율리지점</v>
      </c>
      <c r="D19" s="16">
        <v>0.72916666666666663</v>
      </c>
      <c r="E19" s="14" t="str">
        <v>MSF</v>
      </c>
      <c r="F19" s="14">
        <v>65</v>
      </c>
      <c r="G19" s="14" t="str">
        <v>정기후원</v>
      </c>
      <c r="H19" s="3">
        <v>20000</v>
      </c>
      <c r="I19" s="48" t="str">
        <v>출금완료</v>
      </c>
      <c r="J19" s="3">
        <v>20000</v>
      </c>
      <c r="K19" s="3">
        <v>90000</v>
      </c>
      <c r="L19" s="14" t="str">
        <v>D</v>
      </c>
    </row>
    <row r="20" spans="1:12" x14ac:dyDescent="0.3">
      <c r="A20" s="15">
        <v>44620</v>
      </c>
      <c r="B20" s="14" t="str">
        <v>P0142222B</v>
      </c>
      <c r="C20" s="14" t="str">
        <v>청량농협율리지점</v>
      </c>
      <c r="D20" s="16">
        <v>0.8125</v>
      </c>
      <c r="E20" s="14" t="str">
        <v>MSF</v>
      </c>
      <c r="F20" s="14">
        <v>57</v>
      </c>
      <c r="G20" s="14" t="str">
        <v>정기후원</v>
      </c>
      <c r="H20" s="3">
        <v>20000</v>
      </c>
      <c r="I20" s="48" t="str">
        <v>출금완료</v>
      </c>
      <c r="J20" s="3">
        <v>20000</v>
      </c>
      <c r="K20" s="3">
        <v>90000</v>
      </c>
      <c r="L20" s="14" t="str">
        <v>D</v>
      </c>
    </row>
    <row r="21" spans="1:12" x14ac:dyDescent="0.3">
      <c r="A21" s="15">
        <v>44621</v>
      </c>
      <c r="B21" s="14" t="str">
        <v>P0142225B</v>
      </c>
      <c r="C21" s="14" t="str">
        <v>고려당</v>
      </c>
      <c r="D21" s="16">
        <v>0.61458333333333337</v>
      </c>
      <c r="E21" s="14" t="str">
        <v>MSF</v>
      </c>
      <c r="F21" s="14">
        <v>63</v>
      </c>
      <c r="G21" s="14" t="str">
        <v>정기후원</v>
      </c>
      <c r="H21" s="3">
        <v>20000</v>
      </c>
      <c r="I21" s="48" t="str">
        <v>출금완료</v>
      </c>
      <c r="J21" s="3">
        <v>20000</v>
      </c>
      <c r="K21" s="3">
        <v>90000</v>
      </c>
      <c r="L21" s="14" t="str">
        <v>D</v>
      </c>
    </row>
    <row r="22" spans="1:12" x14ac:dyDescent="0.3">
      <c r="A22" s="15">
        <v>44621</v>
      </c>
      <c r="B22" s="14" t="str">
        <v>P0142425B</v>
      </c>
      <c r="C22" s="14" t="str">
        <v>고려당</v>
      </c>
      <c r="D22" s="16">
        <v>0.69444444444444453</v>
      </c>
      <c r="E22" s="14" t="str">
        <v>MSF</v>
      </c>
      <c r="F22" s="14">
        <v>52</v>
      </c>
      <c r="G22" s="14" t="str">
        <v>정기후원</v>
      </c>
      <c r="H22" s="3">
        <v>30000</v>
      </c>
      <c r="I22" s="48" t="str">
        <v>출금완료</v>
      </c>
      <c r="J22" s="3">
        <v>30000</v>
      </c>
      <c r="K22" s="3">
        <v>135000</v>
      </c>
      <c r="L22" s="14" t="str">
        <v>D</v>
      </c>
    </row>
    <row r="23" spans="1:12" x14ac:dyDescent="0.3">
      <c r="A23" s="15">
        <v>44623</v>
      </c>
      <c r="B23" s="14" t="str">
        <v>P0153714B</v>
      </c>
      <c r="C23" s="14" t="str">
        <v>진해새마을금고본점</v>
      </c>
      <c r="D23" s="16">
        <v>0.60416666666666663</v>
      </c>
      <c r="E23" s="14" t="str">
        <v>MSF</v>
      </c>
      <c r="F23" s="14">
        <v>40</v>
      </c>
      <c r="G23" s="14" t="str">
        <v>정기후원</v>
      </c>
      <c r="H23" s="3">
        <v>20000</v>
      </c>
      <c r="I23" s="48" t="str">
        <v>진행중</v>
      </c>
      <c r="J23" s="3">
        <v>20000</v>
      </c>
      <c r="K23" s="3">
        <v>90000</v>
      </c>
      <c r="L23" s="14" t="str">
        <v>D</v>
      </c>
    </row>
    <row r="24" spans="1:12" x14ac:dyDescent="0.3">
      <c r="A24" s="15">
        <v>44624</v>
      </c>
      <c r="B24" s="14" t="str">
        <v>P0142428B</v>
      </c>
      <c r="C24" s="14" t="str">
        <v>파리바게뜨덕계점</v>
      </c>
      <c r="D24" s="16">
        <v>0.41666666666666669</v>
      </c>
      <c r="E24" s="14" t="str">
        <v>MSF</v>
      </c>
      <c r="F24" s="14">
        <v>54</v>
      </c>
      <c r="G24" s="14" t="str">
        <v>정기후원</v>
      </c>
      <c r="H24" s="3">
        <v>20000</v>
      </c>
      <c r="I24" s="48" t="str">
        <v>출금완료</v>
      </c>
      <c r="J24" s="3">
        <v>20000</v>
      </c>
      <c r="K24" s="3">
        <v>90000</v>
      </c>
      <c r="L24" s="14" t="str">
        <v>D</v>
      </c>
    </row>
    <row r="25" spans="1:12" x14ac:dyDescent="0.3">
      <c r="A25" s="15">
        <v>44624</v>
      </c>
      <c r="B25" s="14" t="str">
        <v>P0140932B</v>
      </c>
      <c r="C25" s="14" t="str">
        <v>파리바게뜨덕계점</v>
      </c>
      <c r="D25" s="16">
        <v>0.65625</v>
      </c>
      <c r="E25" s="14" t="str">
        <v>MSF</v>
      </c>
      <c r="F25" s="14">
        <v>54</v>
      </c>
      <c r="G25" s="14" t="str">
        <v>정기후원</v>
      </c>
      <c r="H25" s="3">
        <v>20000</v>
      </c>
      <c r="I25" s="48" t="str">
        <v>출금완료</v>
      </c>
      <c r="J25" s="3">
        <v>20000</v>
      </c>
      <c r="K25" s="3">
        <v>90000</v>
      </c>
      <c r="L25" s="14" t="str">
        <v>D</v>
      </c>
    </row>
    <row r="26" spans="1:12" x14ac:dyDescent="0.3">
      <c r="A26" s="15">
        <v>44624</v>
      </c>
      <c r="B26" s="14" t="str">
        <v>P0142429B</v>
      </c>
      <c r="C26" s="14" t="str">
        <v>파리바게뜨덕계점</v>
      </c>
      <c r="D26" s="16">
        <v>0.76736111111111116</v>
      </c>
      <c r="E26" s="14" t="str">
        <v>MSF</v>
      </c>
      <c r="F26" s="14">
        <v>74</v>
      </c>
      <c r="G26" s="14" t="str">
        <v>정기후원</v>
      </c>
      <c r="H26" s="3">
        <v>30000</v>
      </c>
      <c r="I26" s="48" t="str">
        <v>출금완료</v>
      </c>
      <c r="J26" s="3">
        <v>30000</v>
      </c>
      <c r="K26" s="3">
        <v>135000</v>
      </c>
      <c r="L26" s="14" t="str">
        <v>D</v>
      </c>
    </row>
    <row r="27" spans="1:12" x14ac:dyDescent="0.3">
      <c r="A27" s="15">
        <v>44627</v>
      </c>
      <c r="B27" s="14" t="str">
        <v>P0142431B</v>
      </c>
      <c r="C27" s="14" t="str">
        <v>새마을금고진해본점</v>
      </c>
      <c r="D27" s="16">
        <v>0.60763888888888895</v>
      </c>
      <c r="E27" s="14" t="str">
        <v>MSF</v>
      </c>
      <c r="F27" s="14">
        <v>42</v>
      </c>
      <c r="G27" s="14" t="str">
        <v>정기후원</v>
      </c>
      <c r="H27" s="3">
        <v>30000</v>
      </c>
      <c r="I27" s="48" t="str">
        <v>진행중</v>
      </c>
      <c r="J27" s="3">
        <v>30000</v>
      </c>
      <c r="K27" s="3">
        <v>135000</v>
      </c>
      <c r="L27" s="14" t="str">
        <v>D</v>
      </c>
    </row>
    <row r="28" spans="1:12" x14ac:dyDescent="0.3">
      <c r="A28" s="15">
        <v>44627</v>
      </c>
      <c r="B28" s="14" t="str">
        <v>P0142433B</v>
      </c>
      <c r="C28" s="14" t="str">
        <v>새마을금고진해본점</v>
      </c>
      <c r="D28" s="16">
        <v>0.625</v>
      </c>
      <c r="E28" s="14" t="str">
        <v>MSF</v>
      </c>
      <c r="F28" s="14">
        <v>51</v>
      </c>
      <c r="G28" s="14" t="str">
        <v>정기후원</v>
      </c>
      <c r="H28" s="3">
        <v>20000</v>
      </c>
      <c r="I28" s="48" t="str">
        <v>출금완료</v>
      </c>
      <c r="J28" s="3">
        <v>20000</v>
      </c>
      <c r="K28" s="3">
        <v>90000</v>
      </c>
      <c r="L28" s="14" t="str">
        <v>D</v>
      </c>
    </row>
    <row r="29" spans="1:12" x14ac:dyDescent="0.3">
      <c r="A29" s="15">
        <v>44627</v>
      </c>
      <c r="B29" s="14" t="str">
        <v>P0142434B</v>
      </c>
      <c r="C29" s="14" t="str">
        <v>새마을금고진해본점</v>
      </c>
      <c r="D29" s="16">
        <v>0.65625</v>
      </c>
      <c r="E29" s="14" t="str">
        <v>MSF</v>
      </c>
      <c r="F29" s="14">
        <v>58</v>
      </c>
      <c r="G29" s="14" t="str">
        <v>정기후원</v>
      </c>
      <c r="H29" s="3">
        <v>20000</v>
      </c>
      <c r="I29" s="48" t="str">
        <v>진행중</v>
      </c>
      <c r="J29" s="3">
        <v>20000</v>
      </c>
      <c r="K29" s="3">
        <v>90000</v>
      </c>
      <c r="L29" s="14" t="str">
        <v>D</v>
      </c>
    </row>
    <row r="30" spans="1:12" x14ac:dyDescent="0.3">
      <c r="A30" s="15">
        <v>44627</v>
      </c>
      <c r="B30" s="14" t="str">
        <v>P0142435B</v>
      </c>
      <c r="C30" s="14" t="str">
        <v>새마을금고진해본점</v>
      </c>
      <c r="D30" s="16">
        <v>0.74305555555555547</v>
      </c>
      <c r="E30" s="14" t="str">
        <v>MSF</v>
      </c>
      <c r="F30" s="14">
        <v>63</v>
      </c>
      <c r="G30" s="14" t="str">
        <v>정기후원</v>
      </c>
      <c r="H30" s="3">
        <v>20000</v>
      </c>
      <c r="I30" s="48" t="str">
        <v>출금완료</v>
      </c>
      <c r="J30" s="3">
        <v>20000</v>
      </c>
      <c r="K30" s="3">
        <v>90000</v>
      </c>
      <c r="L30" s="14" t="str">
        <v>D</v>
      </c>
    </row>
    <row r="31" spans="1:12" x14ac:dyDescent="0.3">
      <c r="A31" s="15">
        <v>44627</v>
      </c>
      <c r="B31" s="14" t="str">
        <v>P0141542B</v>
      </c>
      <c r="C31" s="14" t="str">
        <v>새마을금고진해본점</v>
      </c>
      <c r="D31" s="16">
        <v>0.77777777777777779</v>
      </c>
      <c r="E31" s="14" t="str">
        <v>MSF</v>
      </c>
      <c r="F31" s="14">
        <v>55</v>
      </c>
      <c r="G31" s="14" t="str">
        <v>정기후원</v>
      </c>
      <c r="H31" s="3">
        <v>20000</v>
      </c>
      <c r="I31" s="48" t="str">
        <v>출금완료</v>
      </c>
      <c r="J31" s="3">
        <v>20000</v>
      </c>
      <c r="K31" s="3">
        <v>90000</v>
      </c>
      <c r="L31" s="14" t="str">
        <v>D</v>
      </c>
    </row>
    <row r="32" spans="1:12" x14ac:dyDescent="0.3">
      <c r="A32" s="15">
        <v>44628</v>
      </c>
      <c r="B32" s="14" t="str">
        <v>P0142436B</v>
      </c>
      <c r="C32" s="14" t="str">
        <v>하북농협하나로마트</v>
      </c>
      <c r="D32" s="16">
        <v>0.64236111111111105</v>
      </c>
      <c r="E32" s="14" t="str">
        <v>MSF</v>
      </c>
      <c r="F32" s="14">
        <v>61</v>
      </c>
      <c r="G32" s="14" t="str">
        <v>정기후원</v>
      </c>
      <c r="H32" s="3">
        <v>20000</v>
      </c>
      <c r="I32" s="48" t="str">
        <v>출금완료</v>
      </c>
      <c r="J32" s="3">
        <v>20000</v>
      </c>
      <c r="K32" s="3">
        <v>90000</v>
      </c>
      <c r="L32" s="14" t="str">
        <v>D</v>
      </c>
    </row>
    <row r="33" spans="1:12" x14ac:dyDescent="0.3">
      <c r="A33" s="15">
        <v>44628</v>
      </c>
      <c r="B33" s="14" t="str">
        <v>P0142437B</v>
      </c>
      <c r="C33" s="14" t="str">
        <v>하북농협하나로마트</v>
      </c>
      <c r="D33" s="16">
        <v>0.76388888888888884</v>
      </c>
      <c r="E33" s="14" t="str">
        <v>MSF</v>
      </c>
      <c r="F33" s="14">
        <v>47</v>
      </c>
      <c r="G33" s="14" t="str">
        <v>정보오류</v>
      </c>
      <c r="H33" s="3">
        <v>20000</v>
      </c>
      <c r="I33" s="48" t="str">
        <v>정보오류</v>
      </c>
      <c r="J33" s="3">
        <v>20000</v>
      </c>
      <c r="K33" s="3">
        <v>90000</v>
      </c>
      <c r="L33" s="14" t="str">
        <v>D</v>
      </c>
    </row>
    <row r="34" spans="1:12" x14ac:dyDescent="0.3">
      <c r="A34" s="15">
        <v>44630</v>
      </c>
      <c r="B34" s="14" t="str">
        <v>P0155998B</v>
      </c>
      <c r="C34" s="14" t="str">
        <v>다이소대구테크노폴리스점</v>
      </c>
      <c r="D34" s="16">
        <v>0.66666666666666663</v>
      </c>
      <c r="E34" s="14" t="str">
        <v>MSF</v>
      </c>
      <c r="F34" s="14">
        <v>31</v>
      </c>
      <c r="G34" s="14" t="str">
        <v>정기후원</v>
      </c>
      <c r="H34" s="3">
        <v>30000</v>
      </c>
      <c r="I34" s="48" t="str">
        <v>출금완료</v>
      </c>
      <c r="J34" s="3">
        <v>30000</v>
      </c>
      <c r="K34" s="3">
        <v>135000</v>
      </c>
      <c r="L34" s="14" t="str">
        <v>D</v>
      </c>
    </row>
    <row r="35" spans="1:12" x14ac:dyDescent="0.3">
      <c r="A35" s="15">
        <v>44630</v>
      </c>
      <c r="B35" s="14" t="str">
        <v>P0156608B</v>
      </c>
      <c r="C35" s="14" t="str">
        <v>다이소대구테크노폴리스점</v>
      </c>
      <c r="D35" s="16">
        <v>0.70833333333333337</v>
      </c>
      <c r="E35" s="14" t="str">
        <v>MSF</v>
      </c>
      <c r="F35" s="14">
        <v>32</v>
      </c>
      <c r="G35" s="14" t="str">
        <v>정기후원</v>
      </c>
      <c r="H35" s="3">
        <v>20000</v>
      </c>
      <c r="I35" s="48" t="str">
        <v>출금완료</v>
      </c>
      <c r="J35" s="3">
        <v>20000</v>
      </c>
      <c r="K35" s="3">
        <v>90000</v>
      </c>
      <c r="L35" s="14" t="str">
        <v>D</v>
      </c>
    </row>
    <row r="36" spans="1:12" x14ac:dyDescent="0.3">
      <c r="A36" s="15">
        <v>44631</v>
      </c>
      <c r="B36" s="14" t="str">
        <v>P0156607B</v>
      </c>
      <c r="C36" s="14" t="str">
        <v>다이소대구논공점</v>
      </c>
      <c r="D36" s="16">
        <v>0.66666666666666663</v>
      </c>
      <c r="E36" s="14" t="str">
        <v>MSF</v>
      </c>
      <c r="F36" s="14">
        <v>50</v>
      </c>
      <c r="G36" s="14" t="str">
        <v>정기후원</v>
      </c>
      <c r="H36" s="3">
        <v>20000</v>
      </c>
      <c r="I36" s="48" t="str">
        <v>출금완료</v>
      </c>
      <c r="J36" s="3">
        <v>20000</v>
      </c>
      <c r="K36" s="3">
        <v>90000</v>
      </c>
      <c r="L36" s="14" t="str">
        <v>D</v>
      </c>
    </row>
    <row r="37" spans="1:12" x14ac:dyDescent="0.3">
      <c r="A37" s="15">
        <v>44632</v>
      </c>
      <c r="B37" s="14" t="str">
        <v>P0156636B</v>
      </c>
      <c r="C37" s="14" t="str">
        <v>고려당</v>
      </c>
      <c r="D37" s="16">
        <v>0.67708333333333337</v>
      </c>
      <c r="E37" s="14" t="str">
        <v>MSF</v>
      </c>
      <c r="F37" s="14">
        <v>42</v>
      </c>
      <c r="G37" s="14" t="str">
        <v>정기후원</v>
      </c>
      <c r="H37" s="3">
        <v>20000</v>
      </c>
      <c r="I37" s="48" t="str">
        <v>진행중</v>
      </c>
      <c r="J37" s="3">
        <v>20000</v>
      </c>
      <c r="K37" s="3">
        <v>90000</v>
      </c>
      <c r="L37" s="14" t="str">
        <v>D</v>
      </c>
    </row>
    <row r="38" spans="1:12" x14ac:dyDescent="0.3">
      <c r="A38" s="15">
        <v>44636</v>
      </c>
      <c r="B38" s="14" t="str">
        <v>P0156606B</v>
      </c>
      <c r="C38" s="14" t="str">
        <v>진해새마을금고본점</v>
      </c>
      <c r="D38" s="16">
        <v>0.59027777777777779</v>
      </c>
      <c r="E38" s="14" t="str">
        <v>MSF</v>
      </c>
      <c r="F38" s="14">
        <v>25</v>
      </c>
      <c r="G38" s="14" t="str">
        <v>정기후원</v>
      </c>
      <c r="H38" s="3">
        <v>20000</v>
      </c>
      <c r="I38" s="48" t="str">
        <v>출금완료</v>
      </c>
      <c r="J38" s="3">
        <v>20000</v>
      </c>
      <c r="K38" s="3">
        <v>90000</v>
      </c>
      <c r="L38" s="14" t="str">
        <v>D</v>
      </c>
    </row>
    <row r="39" spans="1:12" x14ac:dyDescent="0.3">
      <c r="A39" s="15">
        <v>44637</v>
      </c>
      <c r="B39" s="14" t="str">
        <v>P0156604B</v>
      </c>
      <c r="C39" s="14" t="str">
        <v>진해새마을금고본점</v>
      </c>
      <c r="D39" s="16">
        <v>0.64583333333333337</v>
      </c>
      <c r="E39" s="14" t="str">
        <v>MSF</v>
      </c>
      <c r="F39" s="14">
        <v>64</v>
      </c>
      <c r="G39" s="14" t="str">
        <v>취소</v>
      </c>
      <c r="H39" s="3">
        <v>20000</v>
      </c>
      <c r="I39" s="48" t="str">
        <v>취소</v>
      </c>
      <c r="J39" s="3">
        <v>20000</v>
      </c>
      <c r="K39" s="3">
        <v>90000</v>
      </c>
      <c r="L39" s="14" t="str">
        <v>D</v>
      </c>
    </row>
    <row r="40" spans="1:12" x14ac:dyDescent="0.3">
      <c r="A40" s="15">
        <v>44637</v>
      </c>
      <c r="B40" s="14" t="str">
        <v>P0156605B</v>
      </c>
      <c r="C40" s="14" t="str">
        <v>진해새마을금고본점</v>
      </c>
      <c r="D40" s="16">
        <v>0.6875</v>
      </c>
      <c r="E40" s="14" t="str">
        <v>MSF</v>
      </c>
      <c r="F40" s="14">
        <v>32</v>
      </c>
      <c r="G40" s="14" t="str">
        <v>정기후원</v>
      </c>
      <c r="H40" s="3">
        <v>30000</v>
      </c>
      <c r="I40" s="48" t="str">
        <v>진행중</v>
      </c>
      <c r="J40" s="3">
        <v>30000</v>
      </c>
      <c r="K40" s="3">
        <v>135000</v>
      </c>
      <c r="L40" s="14" t="str">
        <v>D</v>
      </c>
    </row>
    <row r="41" spans="1:12" x14ac:dyDescent="0.3">
      <c r="A41" s="15">
        <v>44638</v>
      </c>
      <c r="B41" s="14" t="str">
        <v>P0156602B</v>
      </c>
      <c r="C41" s="14" t="str">
        <v>웅상농협본점</v>
      </c>
      <c r="D41" s="16">
        <v>0.69444444444444453</v>
      </c>
      <c r="E41" s="14" t="str">
        <v>MSF</v>
      </c>
      <c r="F41" s="14">
        <v>58</v>
      </c>
      <c r="G41" s="14" t="str">
        <v>정기후원</v>
      </c>
      <c r="H41" s="3">
        <v>30000</v>
      </c>
      <c r="I41" s="48" t="str">
        <v>진행중</v>
      </c>
      <c r="J41" s="3">
        <v>30000</v>
      </c>
      <c r="K41" s="3">
        <v>135000</v>
      </c>
      <c r="L41" s="14" t="str">
        <v>D</v>
      </c>
    </row>
    <row r="42" spans="1:12" x14ac:dyDescent="0.3">
      <c r="A42" s="15">
        <v>44638</v>
      </c>
      <c r="B42" s="14" t="str">
        <v>P0156601B</v>
      </c>
      <c r="C42" s="14" t="str">
        <v>웅상농협본점</v>
      </c>
      <c r="D42" s="16">
        <v>0.73263888888888884</v>
      </c>
      <c r="E42" s="14" t="str">
        <v>MSF</v>
      </c>
      <c r="F42" s="14">
        <v>47</v>
      </c>
      <c r="G42" s="14" t="str">
        <v>정기후원</v>
      </c>
      <c r="H42" s="3">
        <v>20000</v>
      </c>
      <c r="I42" s="48" t="str">
        <v>진행중</v>
      </c>
      <c r="J42" s="3">
        <v>20000</v>
      </c>
      <c r="K42" s="3">
        <v>90000</v>
      </c>
      <c r="L42" s="14" t="str">
        <v>D</v>
      </c>
    </row>
    <row r="43" spans="1:12" x14ac:dyDescent="0.3">
      <c r="A43" s="15">
        <v>44638</v>
      </c>
      <c r="B43" s="14" t="str">
        <v>P0155670B</v>
      </c>
      <c r="C43" s="14" t="str">
        <v>웅상농협본점</v>
      </c>
      <c r="D43" s="16">
        <v>0.76041666666666663</v>
      </c>
      <c r="E43" s="14" t="str">
        <v>MSF</v>
      </c>
      <c r="F43" s="14">
        <v>68</v>
      </c>
      <c r="G43" s="14" t="str">
        <v>정기후원</v>
      </c>
      <c r="H43" s="3">
        <v>20000</v>
      </c>
      <c r="I43" s="48" t="str">
        <v>진행중</v>
      </c>
      <c r="J43" s="3">
        <v>20000</v>
      </c>
      <c r="K43" s="3">
        <v>90000</v>
      </c>
      <c r="L43" s="14" t="str">
        <v>D</v>
      </c>
    </row>
    <row r="44" spans="1:12" x14ac:dyDescent="0.3">
      <c r="A44" s="15">
        <v>44641</v>
      </c>
      <c r="B44" s="14" t="str">
        <v>P0155669B</v>
      </c>
      <c r="C44" s="14" t="str">
        <v>진해새마을금고본점</v>
      </c>
      <c r="D44" s="16">
        <v>0.66666666666666663</v>
      </c>
      <c r="E44" s="14" t="str">
        <v>MSF</v>
      </c>
      <c r="F44" s="14">
        <v>72</v>
      </c>
      <c r="G44" s="14" t="str">
        <v>보류</v>
      </c>
      <c r="H44" s="3">
        <v>20000</v>
      </c>
      <c r="I44" s="48" t="str">
        <v>보류</v>
      </c>
      <c r="J44" s="3">
        <v>20000</v>
      </c>
      <c r="K44" s="3">
        <v>90000</v>
      </c>
      <c r="L44" s="14" t="str">
        <v>D</v>
      </c>
    </row>
    <row r="45" spans="1:12" x14ac:dyDescent="0.3">
      <c r="A45" s="15">
        <v>44641</v>
      </c>
      <c r="B45" s="14" t="str">
        <v>P0155668B</v>
      </c>
      <c r="C45" s="14" t="str">
        <v>진해새마을금고본점</v>
      </c>
      <c r="D45" s="16">
        <v>0.68055555555555547</v>
      </c>
      <c r="E45" s="14" t="str">
        <v>MSF</v>
      </c>
      <c r="F45" s="14">
        <v>50</v>
      </c>
      <c r="G45" s="14" t="str">
        <v>정기후원</v>
      </c>
      <c r="H45" s="3">
        <v>30000</v>
      </c>
      <c r="I45" s="48" t="str">
        <v>진행중</v>
      </c>
      <c r="J45" s="3">
        <v>30000</v>
      </c>
      <c r="K45" s="3">
        <v>135000</v>
      </c>
      <c r="L45" s="14" t="str">
        <v>D</v>
      </c>
    </row>
    <row r="46" spans="1:12" x14ac:dyDescent="0.3">
      <c r="A46" s="15">
        <v>44641</v>
      </c>
      <c r="B46" s="14" t="str">
        <v>P0155666B</v>
      </c>
      <c r="C46" s="14" t="str">
        <v>진해새마을금고본점</v>
      </c>
      <c r="D46" s="16">
        <v>0.70138888888888884</v>
      </c>
      <c r="E46" s="14" t="str">
        <v>MSF</v>
      </c>
      <c r="F46" s="14">
        <v>41</v>
      </c>
      <c r="G46" s="14" t="str">
        <v>정기후원</v>
      </c>
      <c r="H46" s="3">
        <v>20000</v>
      </c>
      <c r="I46" s="48" t="str">
        <v>진행중</v>
      </c>
      <c r="J46" s="3">
        <v>20000</v>
      </c>
      <c r="K46" s="3">
        <v>90000</v>
      </c>
      <c r="L46" s="14" t="str">
        <v>D</v>
      </c>
    </row>
    <row r="47" spans="1:12" x14ac:dyDescent="0.3">
      <c r="A47" s="15">
        <v>44641</v>
      </c>
      <c r="B47" s="14" t="str">
        <v>P0155665B</v>
      </c>
      <c r="C47" s="14" t="str">
        <v>진해새마을금고본점</v>
      </c>
      <c r="D47" s="16">
        <v>0.74305555555555547</v>
      </c>
      <c r="E47" s="14" t="str">
        <v>MSF</v>
      </c>
      <c r="F47" s="14">
        <v>58</v>
      </c>
      <c r="G47" s="14" t="str">
        <v>정기후원</v>
      </c>
      <c r="H47" s="3">
        <v>20000</v>
      </c>
      <c r="I47" s="48" t="str">
        <v>진행중</v>
      </c>
      <c r="J47" s="3">
        <v>20000</v>
      </c>
      <c r="K47" s="3">
        <v>90000</v>
      </c>
      <c r="L47" s="14" t="str">
        <v>D</v>
      </c>
    </row>
    <row r="48" spans="1:12" x14ac:dyDescent="0.3">
      <c r="A48" s="15">
        <v>44643</v>
      </c>
      <c r="B48" s="14" t="str">
        <v>P0155664B</v>
      </c>
      <c r="C48" s="14" t="str">
        <v>하북농협하나로마트</v>
      </c>
      <c r="D48" s="16">
        <v>0.6875</v>
      </c>
      <c r="E48" s="14" t="str">
        <v>MSF</v>
      </c>
      <c r="F48" s="14">
        <v>62</v>
      </c>
      <c r="G48" s="14" t="str">
        <v>일시후원</v>
      </c>
      <c r="H48" s="3">
        <v>20000</v>
      </c>
      <c r="I48" s="48" t="str">
        <v>일시후원</v>
      </c>
      <c r="J48" s="3">
        <v>20000</v>
      </c>
      <c r="K48" s="3">
        <v>90000</v>
      </c>
      <c r="L48" s="14" t="str">
        <v>D</v>
      </c>
    </row>
    <row r="49" spans="1:12" x14ac:dyDescent="0.3">
      <c r="A49" s="15">
        <v>44645</v>
      </c>
      <c r="B49" s="14" t="str">
        <v>P0155663B</v>
      </c>
      <c r="C49" s="14" t="str">
        <v>다이소김해대청점</v>
      </c>
      <c r="D49" s="16">
        <v>0.57291666666666663</v>
      </c>
      <c r="E49" s="14" t="str">
        <v>MSF</v>
      </c>
      <c r="F49" s="14">
        <v>31</v>
      </c>
      <c r="G49" s="14" t="str">
        <v>정기후원</v>
      </c>
      <c r="H49" s="3">
        <v>20000</v>
      </c>
      <c r="I49" s="48" t="str">
        <v>진행중</v>
      </c>
      <c r="J49" s="3">
        <v>20000</v>
      </c>
      <c r="K49" s="3">
        <v>90000</v>
      </c>
      <c r="L49" s="14" t="str">
        <v>D</v>
      </c>
    </row>
    <row r="50" spans="1:12" x14ac:dyDescent="0.3">
      <c r="A50" s="15">
        <v>44648</v>
      </c>
      <c r="B50" s="14" t="str">
        <v>PN0032468</v>
      </c>
      <c r="C50" s="14" t="str">
        <v>파리바게뜨덕계점</v>
      </c>
      <c r="D50" s="16">
        <v>0.75</v>
      </c>
      <c r="E50" s="14" t="str">
        <v>OXFAM</v>
      </c>
      <c r="F50" s="14">
        <v>38</v>
      </c>
      <c r="G50" s="14" t="str">
        <v>정기후원</v>
      </c>
      <c r="H50" s="3">
        <v>20000</v>
      </c>
      <c r="I50" s="48" t="str">
        <v>진행중</v>
      </c>
      <c r="J50" s="3">
        <v>20000</v>
      </c>
      <c r="K50" s="3">
        <v>100000</v>
      </c>
      <c r="L50" s="14" t="str">
        <v>D</v>
      </c>
    </row>
  </sheetData>
  <mergeCells count="9">
    <mergeCell ref="K9:L9"/>
    <mergeCell ref="A1:L1"/>
    <mergeCell ref="K5:L5"/>
    <mergeCell ref="K6:L6"/>
    <mergeCell ref="K7:L7"/>
    <mergeCell ref="K8:L8"/>
    <mergeCell ref="K2:L2"/>
    <mergeCell ref="K3:L3"/>
    <mergeCell ref="K4:L4"/>
  </mergeCells>
  <phoneticPr fontId="1" type="noConversion"/>
  <conditionalFormatting sqref="A13:L671">
    <cfRule type="expression" dxfId="26" priority="11">
      <formula>AND($A13&lt;&gt;"",$A14="")</formula>
    </cfRule>
    <cfRule type="expression" dxfId="25" priority="13">
      <formula>$A13&lt;&gt;$A14</formula>
    </cfRule>
  </conditionalFormatting>
  <conditionalFormatting sqref="A13:L1001">
    <cfRule type="expression" dxfId="24" priority="1">
      <formula>$I13="진행중"</formula>
    </cfRule>
    <cfRule type="expression" dxfId="23" priority="2">
      <formula>$I13="보류"</formula>
    </cfRule>
    <cfRule type="expression" dxfId="22" priority="3">
      <formula>$I13="금액미만"</formula>
    </cfRule>
    <cfRule type="expression" dxfId="21" priority="4">
      <formula>$I13="나이미만"</formula>
    </cfRule>
    <cfRule type="expression" dxfId="20" priority="5">
      <formula>$I13="정보오류"</formula>
    </cfRule>
    <cfRule type="expression" dxfId="19" priority="6">
      <formula>$I13="일시후원"</formula>
    </cfRule>
    <cfRule type="expression" dxfId="18" priority="7">
      <formula>$I13="기간한정"</formula>
    </cfRule>
    <cfRule type="expression" dxfId="17" priority="8">
      <formula>$I13="취소"</formula>
    </cfRule>
  </conditionalFormatting>
  <pageMargins left="0.70866141732283472" right="0.70866141732283472" top="0.74803149606299213" bottom="0.74803149606299213" header="0.31496062992125984" footer="0.31496062992125984"/>
  <pageSetup paperSize="9" scale="60" fitToHeight="0" orientation="portrait" horizontalDpi="300" verticalDpi="300" r:id="rId1"/>
  <headerFooter>
    <oddHeader>&amp;L&amp;G</oddHeader>
    <oddFooter>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B24E6-5D8E-4024-8FC0-35746D2E0262}">
  <sheetPr codeName="Sheet9">
    <pageSetUpPr fitToPage="1"/>
  </sheetPr>
  <dimension ref="A1:Q94"/>
  <sheetViews>
    <sheetView view="pageBreakPreview" zoomScale="85" zoomScaleNormal="100" zoomScaleSheetLayoutView="85" workbookViewId="0">
      <selection activeCell="D18" sqref="D18"/>
    </sheetView>
  </sheetViews>
  <sheetFormatPr defaultRowHeight="16.5" x14ac:dyDescent="0.3"/>
  <cols>
    <col min="1" max="1" width="13.875" style="15" bestFit="1" customWidth="1"/>
    <col min="2" max="2" width="10.375" style="14" customWidth="1"/>
    <col min="3" max="3" width="30.25" style="14" bestFit="1" customWidth="1"/>
    <col min="4" max="4" width="6.375" style="16" customWidth="1"/>
    <col min="5" max="5" width="9" style="14"/>
    <col min="6" max="6" width="5.25" style="14" bestFit="1" customWidth="1"/>
    <col min="7" max="7" width="9" style="14"/>
    <col min="8" max="8" width="9.875" style="9" bestFit="1" customWidth="1"/>
    <col min="9" max="9" width="11.25" style="48" bestFit="1" customWidth="1"/>
    <col min="10" max="11" width="9.875" style="9" bestFit="1" customWidth="1"/>
    <col min="12" max="12" width="7.625" style="14" customWidth="1"/>
    <col min="13" max="14" width="9" style="14"/>
    <col min="16" max="16" width="13.25" customWidth="1"/>
    <col min="17" max="17" width="11.25" bestFit="1" customWidth="1"/>
  </cols>
  <sheetData>
    <row r="1" spans="1:17" ht="39" x14ac:dyDescent="0.3">
      <c r="A1" s="70" t="e">
        <f>setting!#REF!&amp;"년 "&amp;setting!#REF!&amp;"월 PROJECT-N 팀 출금명세서"</f>
        <v>#REF!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t="b">
        <f>AND(O2:O7)</f>
        <v>0</v>
      </c>
    </row>
    <row r="2" spans="1:17" x14ac:dyDescent="0.3">
      <c r="A2" s="6"/>
      <c r="B2"/>
      <c r="C2"/>
      <c r="D2" s="7"/>
      <c r="E2"/>
      <c r="F2"/>
      <c r="G2" s="74" t="str">
        <f>IF(G3="","","차하위멤버의 오버라이드")</f>
        <v/>
      </c>
      <c r="H2" s="74"/>
      <c r="I2" s="74"/>
      <c r="L2" s="17" t="s">
        <v>72</v>
      </c>
      <c r="M2" s="73">
        <f>SUMIF(I:I,"출금완료",K:K)</f>
        <v>2120000</v>
      </c>
      <c r="N2" s="73"/>
      <c r="O2" t="b">
        <f>M2=Q2</f>
        <v>1</v>
      </c>
      <c r="Q2" s="3">
        <f>SUMIFS(data!K:K,data!I:I,"출금완료",data!O:O,"*"&amp;B3&amp;"*")</f>
        <v>2120000</v>
      </c>
    </row>
    <row r="3" spans="1:17" x14ac:dyDescent="0.3">
      <c r="A3" s="12" t="s">
        <v>47</v>
      </c>
      <c r="B3" s="39" t="s">
        <v>159</v>
      </c>
      <c r="C3"/>
      <c r="D3" s="7"/>
      <c r="E3"/>
      <c r="F3"/>
      <c r="G3" t="str" cm="1">
        <f t="array" ref="G3">IFERROR(_xlfn._xlws.FILTER(override!A:B,override!#REF!=B3),"")</f>
        <v/>
      </c>
      <c r="I3" s="34" cm="1">
        <f t="array" ref="I3">IFERROR(_xlfn._xlws.FILTER(override!G:G,override!#REF!=B3),0)</f>
        <v>0</v>
      </c>
      <c r="L3" s="17" t="s">
        <v>71</v>
      </c>
      <c r="M3" s="73">
        <f>SUMIF(I:I,"출금완료",K:K)-SUMIFS(K:K,I:I,"출금완료",L:L,"INTERN")</f>
        <v>2120000</v>
      </c>
      <c r="N3" s="73"/>
      <c r="O3" t="b">
        <f>IF(P3="",M3=Q3,M3=P3)</f>
        <v>1</v>
      </c>
      <c r="P3" s="33" cm="1">
        <f t="array" ref="P3:P6">TRANSPOSE(_xlfn.XLOOKUP(B3,override!A:A,override!D:G,""))</f>
        <v>2120000</v>
      </c>
      <c r="Q3" s="3">
        <f>SUMIFS(data!K:K,data!L:L,"&lt;&gt;INTERN",data!I:I,"출금완료",data!O:O,"*"&amp;B3&amp;"*")</f>
        <v>2120000</v>
      </c>
    </row>
    <row r="4" spans="1:17" x14ac:dyDescent="0.3">
      <c r="A4" s="12" t="s">
        <v>48</v>
      </c>
      <c r="B4" s="39" t="str">
        <f>_xlfn.XLOOKUP(B3,members!A:A,members!C:C)</f>
        <v>김명규</v>
      </c>
      <c r="C4"/>
      <c r="D4" s="7"/>
      <c r="E4"/>
      <c r="F4"/>
      <c r="G4"/>
      <c r="I4" s="34"/>
      <c r="L4" s="17" t="s">
        <v>69</v>
      </c>
      <c r="M4" s="73" cm="1">
        <f t="array" ref="M4">IFERROR(SUM(_xlfn._xlws.FILTER(H11:H10002,(YEAR(A11:A10002)=setting!#REF!)*(MONTH(A11:A10002)=setting!#REF!)*(G11:G10002="정기후원")*(L11:L10002&lt;&gt;"INTERN"))),0)</f>
        <v>0</v>
      </c>
      <c r="N4" s="73"/>
      <c r="O4" t="b">
        <f>IF(P4="",M4=Q4,M4=P4)</f>
        <v>0</v>
      </c>
      <c r="P4" s="33">
        <v>1370000</v>
      </c>
      <c r="Q4" s="3" cm="1">
        <f t="array" ref="Q4">IFERROR(SUM(_xlfn._xlws.FILTER(data!#REF!,(YEAR(data!#REF!)=setting!#REF!)*(MONTH(data!#REF!)=setting!#REF!)*(ISNUMBER(FIND(B3,data!#REF!)))*(data!#REF!="정기후원")*(data!#REF!&lt;&gt;"INTERN"))),0)</f>
        <v>0</v>
      </c>
    </row>
    <row r="5" spans="1:17" x14ac:dyDescent="0.3">
      <c r="A5" s="12" t="s">
        <v>49</v>
      </c>
      <c r="B5" s="39" t="str">
        <f>_xlfn.XLOOKUP(B3,종합!A:A,종합!C:C)</f>
        <v>TL</v>
      </c>
      <c r="C5"/>
      <c r="D5" s="7"/>
      <c r="E5"/>
      <c r="F5"/>
      <c r="G5"/>
      <c r="I5" s="34"/>
      <c r="L5" s="17" t="s">
        <v>67</v>
      </c>
      <c r="M5" s="76">
        <f>IF(COUNTIF(override!A:A,B3)=0,0,IF(B5="TL",5%,IF(B5="STL",10%,IF(M4&gt;=8000000,25%,20%))))</f>
        <v>0.05</v>
      </c>
      <c r="N5" s="76"/>
      <c r="O5" t="b">
        <f t="shared" ref="O5:O7" si="0">M5=P5</f>
        <v>1</v>
      </c>
      <c r="P5" s="50">
        <v>0.05</v>
      </c>
    </row>
    <row r="6" spans="1:17" x14ac:dyDescent="0.3">
      <c r="A6" s="6"/>
      <c r="B6"/>
      <c r="C6"/>
      <c r="D6" s="7"/>
      <c r="E6"/>
      <c r="F6"/>
      <c r="G6"/>
      <c r="I6" s="34"/>
      <c r="L6" s="17" t="s">
        <v>68</v>
      </c>
      <c r="M6" s="73">
        <f>M3*M5</f>
        <v>106000</v>
      </c>
      <c r="N6" s="73"/>
      <c r="O6" t="b">
        <f t="shared" si="0"/>
        <v>1</v>
      </c>
      <c r="P6" s="33">
        <v>106000</v>
      </c>
    </row>
    <row r="7" spans="1:17" x14ac:dyDescent="0.3">
      <c r="A7" s="6"/>
      <c r="B7"/>
      <c r="C7"/>
      <c r="D7" s="7"/>
      <c r="E7"/>
      <c r="F7"/>
      <c r="G7"/>
      <c r="I7" s="34"/>
      <c r="L7" s="17" t="s">
        <v>70</v>
      </c>
      <c r="M7" s="73">
        <f>M6-SUM(I3:I7)+I9</f>
        <v>106000</v>
      </c>
      <c r="N7" s="73"/>
      <c r="O7" t="b">
        <f t="shared" si="0"/>
        <v>0</v>
      </c>
      <c r="P7" s="33"/>
    </row>
    <row r="8" spans="1:17" x14ac:dyDescent="0.3">
      <c r="A8" s="6"/>
      <c r="B8"/>
      <c r="C8"/>
      <c r="D8" s="7"/>
      <c r="E8"/>
      <c r="F8"/>
      <c r="G8" s="75" t="str">
        <f>IF(B3="AM0001","하위 브랜치 급여계 * 5%","")</f>
        <v/>
      </c>
      <c r="H8" s="75"/>
      <c r="I8" s="75"/>
      <c r="L8" s="17"/>
      <c r="M8" s="33"/>
      <c r="N8" s="33"/>
    </row>
    <row r="9" spans="1:17" x14ac:dyDescent="0.3">
      <c r="A9" s="6"/>
      <c r="B9"/>
      <c r="C9"/>
      <c r="D9" s="7"/>
      <c r="E9"/>
      <c r="F9"/>
      <c r="G9" t="str">
        <f>IF(B3="AM0001","HA0001","")</f>
        <v/>
      </c>
      <c r="I9" s="34">
        <f>IFERROR(_xlfn.XLOOKUP(G9,override!A:A,override!D:D)*5%,0)</f>
        <v>0</v>
      </c>
      <c r="L9" s="17"/>
      <c r="M9" s="33"/>
      <c r="N9" s="33"/>
    </row>
    <row r="10" spans="1:17" ht="17.25" thickBot="1" x14ac:dyDescent="0.35">
      <c r="A10" s="41" t="s">
        <v>0</v>
      </c>
      <c r="B10" s="42" t="s">
        <v>1</v>
      </c>
      <c r="C10" s="42" t="s">
        <v>13</v>
      </c>
      <c r="D10" s="43" t="s">
        <v>2</v>
      </c>
      <c r="E10" s="42" t="s">
        <v>3</v>
      </c>
      <c r="F10" s="42" t="s">
        <v>9</v>
      </c>
      <c r="G10" s="42" t="s">
        <v>4</v>
      </c>
      <c r="H10" s="44" t="s">
        <v>5</v>
      </c>
      <c r="I10" s="42" t="s">
        <v>8</v>
      </c>
      <c r="J10" s="44" t="s">
        <v>6</v>
      </c>
      <c r="K10" s="44" t="s">
        <v>7</v>
      </c>
      <c r="L10" s="42" t="s">
        <v>10</v>
      </c>
      <c r="M10" s="45" t="s">
        <v>11</v>
      </c>
      <c r="N10" s="45" t="s">
        <v>12</v>
      </c>
    </row>
    <row r="11" spans="1:17" ht="17.25" thickTop="1" x14ac:dyDescent="0.3">
      <c r="A11" s="15" cm="1">
        <f t="array" ref="A11:N94">_xlfn._xlws.SORT(_xlfn._xlws.FILTER(data!A:N,ISNUMBER(FIND(B3,data!O:O))),13)</f>
        <v>44574</v>
      </c>
      <c r="B11" s="14" t="str">
        <v>PN0032602</v>
      </c>
      <c r="C11" s="14" t="str">
        <v>춘해병원</v>
      </c>
      <c r="D11" s="16">
        <v>0.63541666666666663</v>
      </c>
      <c r="E11" s="14" t="str">
        <v>OXFAM</v>
      </c>
      <c r="F11" s="14">
        <v>26</v>
      </c>
      <c r="G11" s="14" t="str">
        <v>정보오류</v>
      </c>
      <c r="H11" s="9">
        <v>20000</v>
      </c>
      <c r="I11" s="48" t="str">
        <v>취소</v>
      </c>
      <c r="J11" s="9">
        <v>20000</v>
      </c>
      <c r="K11" s="9">
        <v>100000</v>
      </c>
      <c r="L11" s="14" t="str">
        <v>TL</v>
      </c>
      <c r="M11" s="14" t="str">
        <v>UQ0204</v>
      </c>
      <c r="N11" s="14" t="str">
        <v>김명규</v>
      </c>
    </row>
    <row r="12" spans="1:17" x14ac:dyDescent="0.3">
      <c r="A12" s="15">
        <v>44581</v>
      </c>
      <c r="B12" s="14" t="str">
        <v>PN0032652</v>
      </c>
      <c r="C12" s="14" t="str">
        <v>진주시외버스터미널</v>
      </c>
      <c r="D12" s="16">
        <v>0.65763888888888888</v>
      </c>
      <c r="E12" s="14" t="str">
        <v>OXFAM</v>
      </c>
      <c r="F12" s="14">
        <v>28</v>
      </c>
      <c r="G12" s="14" t="str">
        <v>정보오류</v>
      </c>
      <c r="H12" s="9">
        <v>30000</v>
      </c>
      <c r="I12" s="48" t="str">
        <v>취소</v>
      </c>
      <c r="J12" s="9">
        <v>30000</v>
      </c>
      <c r="K12" s="9">
        <v>150000</v>
      </c>
      <c r="L12" s="14" t="str">
        <v>TL</v>
      </c>
      <c r="M12" s="14" t="str">
        <v>UQ0204</v>
      </c>
      <c r="N12" s="14" t="str">
        <v>김명규</v>
      </c>
    </row>
    <row r="13" spans="1:17" x14ac:dyDescent="0.3">
      <c r="A13" s="15">
        <v>44589</v>
      </c>
      <c r="B13" s="14" t="str">
        <v>PN0032636</v>
      </c>
      <c r="C13" s="14" t="str">
        <v>울산시외버스터미널</v>
      </c>
      <c r="D13" s="16">
        <v>0.54305555555555551</v>
      </c>
      <c r="E13" s="14" t="str">
        <v>OXFAM</v>
      </c>
      <c r="F13" s="14">
        <v>51</v>
      </c>
      <c r="G13" s="14" t="str">
        <v>정기후원</v>
      </c>
      <c r="H13" s="9">
        <v>20000</v>
      </c>
      <c r="I13" s="48" t="str">
        <v>취소</v>
      </c>
      <c r="J13" s="9">
        <v>20000</v>
      </c>
      <c r="K13" s="9">
        <v>100000</v>
      </c>
      <c r="L13" s="14" t="str">
        <v>TL</v>
      </c>
      <c r="M13" s="14" t="str">
        <v>UQ0204</v>
      </c>
      <c r="N13" s="14" t="str">
        <v>김명규</v>
      </c>
    </row>
    <row r="14" spans="1:17" x14ac:dyDescent="0.3">
      <c r="A14" s="15">
        <v>44592</v>
      </c>
      <c r="B14" s="14" t="str">
        <v>PN0032681</v>
      </c>
      <c r="C14" s="14" t="str">
        <v>통영종합버스터미널</v>
      </c>
      <c r="D14" s="16">
        <v>0.6069444444444444</v>
      </c>
      <c r="E14" s="14" t="str">
        <v>OXFAM</v>
      </c>
      <c r="F14" s="14">
        <v>28</v>
      </c>
      <c r="G14" s="14" t="str">
        <v>정보오류</v>
      </c>
      <c r="H14" s="9">
        <v>30000</v>
      </c>
      <c r="I14" s="48" t="str">
        <v>취소</v>
      </c>
      <c r="J14" s="9">
        <v>30000</v>
      </c>
      <c r="K14" s="9">
        <v>150000</v>
      </c>
      <c r="L14" s="14" t="str">
        <v>TL</v>
      </c>
      <c r="M14" s="14" t="str">
        <v>UQ0204</v>
      </c>
      <c r="N14" s="14" t="str">
        <v>김명규</v>
      </c>
    </row>
    <row r="15" spans="1:17" x14ac:dyDescent="0.3">
      <c r="A15" s="15">
        <v>44592</v>
      </c>
      <c r="B15" s="14" t="str">
        <v>PN0032682</v>
      </c>
      <c r="C15" s="14" t="str">
        <v>통영종합버스터미널</v>
      </c>
      <c r="D15" s="16">
        <v>0.65763888888888888</v>
      </c>
      <c r="E15" s="14" t="str">
        <v>OXFAM</v>
      </c>
      <c r="F15" s="14">
        <v>29</v>
      </c>
      <c r="G15" s="14" t="str">
        <v>정보오류</v>
      </c>
      <c r="H15" s="9">
        <v>20000</v>
      </c>
      <c r="I15" s="48" t="str">
        <v>취소</v>
      </c>
      <c r="J15" s="9">
        <v>20000</v>
      </c>
      <c r="K15" s="9">
        <v>100000</v>
      </c>
      <c r="L15" s="14" t="str">
        <v>TL</v>
      </c>
      <c r="M15" s="14" t="str">
        <v>UQ0204</v>
      </c>
      <c r="N15" s="14" t="str">
        <v>김명규</v>
      </c>
    </row>
    <row r="16" spans="1:17" x14ac:dyDescent="0.3">
      <c r="A16" s="15">
        <v>44594</v>
      </c>
      <c r="B16" s="14" t="str">
        <v>PN0032638</v>
      </c>
      <c r="C16" s="14" t="str">
        <v>부원역</v>
      </c>
      <c r="D16" s="16">
        <v>0.50069444444444444</v>
      </c>
      <c r="E16" s="14" t="str">
        <v>OXFAM</v>
      </c>
      <c r="F16" s="14">
        <v>40</v>
      </c>
      <c r="G16" s="14" t="str">
        <v>정보오류</v>
      </c>
      <c r="H16" s="9">
        <v>30000</v>
      </c>
      <c r="I16" s="48" t="str">
        <v>취소</v>
      </c>
      <c r="J16" s="9">
        <v>30000</v>
      </c>
      <c r="K16" s="9">
        <v>120000</v>
      </c>
      <c r="L16" s="14" t="str">
        <v>LR</v>
      </c>
      <c r="M16" s="14" t="str">
        <v>UQ0204</v>
      </c>
      <c r="N16" s="14" t="str">
        <v>김명규</v>
      </c>
    </row>
    <row r="17" spans="1:14" x14ac:dyDescent="0.3">
      <c r="A17" s="15">
        <v>44596</v>
      </c>
      <c r="B17" s="14" t="str">
        <v>PN0032639</v>
      </c>
      <c r="C17" s="14" t="str">
        <v>구미역</v>
      </c>
      <c r="D17" s="16">
        <v>0.53680555555555554</v>
      </c>
      <c r="E17" s="14" t="str">
        <v>OXFAM</v>
      </c>
      <c r="F17" s="14">
        <v>27</v>
      </c>
      <c r="G17" s="14" t="str">
        <v>정기후원</v>
      </c>
      <c r="H17" s="9">
        <v>30000</v>
      </c>
      <c r="I17" s="48" t="str">
        <v>일시후원</v>
      </c>
      <c r="J17" s="9">
        <v>30000</v>
      </c>
      <c r="K17" s="9">
        <v>120000</v>
      </c>
      <c r="L17" s="14" t="str">
        <v>LR</v>
      </c>
      <c r="M17" s="14" t="str">
        <v>UQ0204</v>
      </c>
      <c r="N17" s="14" t="str">
        <v>김명규</v>
      </c>
    </row>
    <row r="18" spans="1:14" x14ac:dyDescent="0.3">
      <c r="A18" s="15">
        <v>44596</v>
      </c>
      <c r="B18" s="14" t="str">
        <v>PN0032658</v>
      </c>
      <c r="C18" s="14" t="str">
        <v>구미역</v>
      </c>
      <c r="D18" s="16">
        <v>0.56319444444444444</v>
      </c>
      <c r="E18" s="14" t="str">
        <v>OXFAM</v>
      </c>
      <c r="F18" s="14">
        <v>25</v>
      </c>
      <c r="G18" s="14" t="str">
        <v>정기후원</v>
      </c>
      <c r="H18" s="9">
        <v>20000</v>
      </c>
      <c r="I18" s="48" t="str">
        <v>취소</v>
      </c>
      <c r="J18" s="9">
        <v>20000</v>
      </c>
      <c r="K18" s="9">
        <v>80000</v>
      </c>
      <c r="L18" s="14" t="str">
        <v>LR</v>
      </c>
      <c r="M18" s="14" t="str">
        <v>UQ0204</v>
      </c>
      <c r="N18" s="14" t="str">
        <v>김명규</v>
      </c>
    </row>
    <row r="19" spans="1:14" x14ac:dyDescent="0.3">
      <c r="A19" s="15">
        <v>44601</v>
      </c>
      <c r="B19" s="14" t="str">
        <v>PN0032546</v>
      </c>
      <c r="C19" s="14" t="str">
        <v>경산역</v>
      </c>
      <c r="D19" s="16">
        <v>0.75902777777777775</v>
      </c>
      <c r="E19" s="14" t="str">
        <v>OXFAM</v>
      </c>
      <c r="F19" s="14">
        <v>58</v>
      </c>
      <c r="G19" s="14" t="str">
        <v>정기후원</v>
      </c>
      <c r="H19" s="9">
        <v>70000</v>
      </c>
      <c r="I19" s="48" t="str">
        <v>취소</v>
      </c>
      <c r="J19" s="9">
        <v>70000</v>
      </c>
      <c r="K19" s="9">
        <v>280000</v>
      </c>
      <c r="L19" s="14" t="str">
        <v>LR</v>
      </c>
      <c r="M19" s="14" t="str">
        <v>UQ0204</v>
      </c>
      <c r="N19" s="14" t="str">
        <v>김명규</v>
      </c>
    </row>
    <row r="20" spans="1:14" x14ac:dyDescent="0.3">
      <c r="A20" s="15">
        <v>44613</v>
      </c>
      <c r="B20" s="14" t="str">
        <v>PN0032559</v>
      </c>
      <c r="C20" s="14" t="str">
        <v>홈플러스사직점</v>
      </c>
      <c r="D20" s="16">
        <v>0.62013888888888891</v>
      </c>
      <c r="E20" s="14" t="str">
        <v>OXFAM</v>
      </c>
      <c r="F20" s="14">
        <v>24</v>
      </c>
      <c r="G20" s="14" t="str">
        <v>나이미만</v>
      </c>
      <c r="H20" s="9">
        <v>30000</v>
      </c>
      <c r="I20" s="48" t="str">
        <v>나이미만</v>
      </c>
      <c r="J20" s="9">
        <v>30000</v>
      </c>
      <c r="K20" s="9">
        <v>150000</v>
      </c>
      <c r="L20" s="14" t="str">
        <v>TL</v>
      </c>
      <c r="M20" s="14" t="str">
        <v>UQ0204</v>
      </c>
      <c r="N20" s="14" t="str">
        <v>김명규</v>
      </c>
    </row>
    <row r="21" spans="1:14" x14ac:dyDescent="0.3">
      <c r="A21" s="15">
        <v>44617</v>
      </c>
      <c r="B21" s="14" t="str">
        <v>PN0032419</v>
      </c>
      <c r="C21" s="14" t="str">
        <v>대백마트경산중산점</v>
      </c>
      <c r="D21" s="16">
        <v>0.6118055555555556</v>
      </c>
      <c r="E21" s="14" t="str">
        <v>OXFAM</v>
      </c>
      <c r="F21" s="14">
        <v>25</v>
      </c>
      <c r="G21" s="14" t="str">
        <v>정기후원</v>
      </c>
      <c r="H21" s="9">
        <v>20000</v>
      </c>
      <c r="I21" s="48" t="str">
        <v>출금완료</v>
      </c>
      <c r="J21" s="9">
        <v>20000</v>
      </c>
      <c r="K21" s="9">
        <v>100000</v>
      </c>
      <c r="L21" s="14" t="str">
        <v>TL</v>
      </c>
      <c r="M21" s="14" t="str">
        <v>UQ0204</v>
      </c>
      <c r="N21" s="14" t="str">
        <v>김명규</v>
      </c>
    </row>
    <row r="22" spans="1:14" x14ac:dyDescent="0.3">
      <c r="A22" s="15">
        <v>44618</v>
      </c>
      <c r="B22" s="14" t="str">
        <v>PN0032420</v>
      </c>
      <c r="C22" s="14" t="str">
        <v>동대구역</v>
      </c>
      <c r="D22" s="16">
        <v>0.48402777777777778</v>
      </c>
      <c r="E22" s="14" t="str">
        <v>OXFAM</v>
      </c>
      <c r="F22" s="14">
        <v>60</v>
      </c>
      <c r="G22" s="14" t="str">
        <v>정기후원</v>
      </c>
      <c r="H22" s="9">
        <v>20000</v>
      </c>
      <c r="I22" s="48" t="str">
        <v>출금완료</v>
      </c>
      <c r="J22" s="9">
        <v>20000</v>
      </c>
      <c r="K22" s="9">
        <v>100000</v>
      </c>
      <c r="L22" s="14" t="str">
        <v>TL</v>
      </c>
      <c r="M22" s="14" t="str">
        <v>UQ0204</v>
      </c>
      <c r="N22" s="14" t="str">
        <v>김명규</v>
      </c>
    </row>
    <row r="23" spans="1:14" x14ac:dyDescent="0.3">
      <c r="A23" s="15">
        <v>44622</v>
      </c>
      <c r="B23" s="14" t="str">
        <v>PN0032441</v>
      </c>
      <c r="C23" s="14" t="str">
        <v>다이소남부시장</v>
      </c>
      <c r="D23" s="16">
        <v>0.65069444444444446</v>
      </c>
      <c r="E23" s="14" t="str">
        <v>OXFAM</v>
      </c>
      <c r="F23" s="14">
        <v>25</v>
      </c>
      <c r="G23" s="14" t="str">
        <v>정기후원</v>
      </c>
      <c r="H23" s="9">
        <v>20000</v>
      </c>
      <c r="I23" s="48" t="str">
        <v>진행중</v>
      </c>
      <c r="J23" s="9">
        <v>20000</v>
      </c>
      <c r="K23" s="9">
        <v>100000</v>
      </c>
      <c r="L23" s="14" t="str">
        <v>TL</v>
      </c>
      <c r="M23" s="14" t="str">
        <v>UQ0204</v>
      </c>
      <c r="N23" s="14" t="str">
        <v>김명규</v>
      </c>
    </row>
    <row r="24" spans="1:14" x14ac:dyDescent="0.3">
      <c r="A24" s="15">
        <v>44622</v>
      </c>
      <c r="B24" s="14" t="str">
        <v>PN0032486</v>
      </c>
      <c r="C24" s="14" t="str">
        <v>다이소남부시장</v>
      </c>
      <c r="D24" s="16">
        <v>0.76736111111111116</v>
      </c>
      <c r="E24" s="14" t="str">
        <v>OXFAM</v>
      </c>
      <c r="F24" s="14">
        <v>36</v>
      </c>
      <c r="G24" s="14" t="str">
        <v>정기후원</v>
      </c>
      <c r="H24" s="9">
        <v>30000</v>
      </c>
      <c r="I24" s="48" t="str">
        <v>진행중</v>
      </c>
      <c r="J24" s="9">
        <v>30000</v>
      </c>
      <c r="K24" s="9">
        <v>150000</v>
      </c>
      <c r="L24" s="14" t="str">
        <v>TL</v>
      </c>
      <c r="M24" s="14" t="str">
        <v>UQ0204</v>
      </c>
      <c r="N24" s="14" t="str">
        <v>김명규</v>
      </c>
    </row>
    <row r="25" spans="1:14" x14ac:dyDescent="0.3">
      <c r="A25" s="15">
        <v>44623</v>
      </c>
      <c r="B25" s="14" t="str">
        <v>PN0032562</v>
      </c>
      <c r="C25" s="14" t="str">
        <v>하나로마트사직점</v>
      </c>
      <c r="D25" s="16">
        <v>0.72222222222222221</v>
      </c>
      <c r="E25" s="14" t="str">
        <v>OXFAM</v>
      </c>
      <c r="F25" s="14">
        <v>29</v>
      </c>
      <c r="G25" s="14" t="str">
        <v>정기후원</v>
      </c>
      <c r="H25" s="9">
        <v>20000</v>
      </c>
      <c r="I25" s="48" t="str">
        <v>진행중</v>
      </c>
      <c r="J25" s="9">
        <v>20000</v>
      </c>
      <c r="K25" s="9">
        <v>100000</v>
      </c>
      <c r="L25" s="14" t="str">
        <v>TL</v>
      </c>
      <c r="M25" s="14" t="str">
        <v>UQ0204</v>
      </c>
      <c r="N25" s="14" t="str">
        <v>김명규</v>
      </c>
    </row>
    <row r="26" spans="1:14" x14ac:dyDescent="0.3">
      <c r="A26" s="15">
        <v>44623</v>
      </c>
      <c r="B26" s="14" t="str">
        <v>PN0032439</v>
      </c>
      <c r="C26" s="14" t="str">
        <v>하나로마트사직점</v>
      </c>
      <c r="D26" s="16">
        <v>0.77777777777777779</v>
      </c>
      <c r="E26" s="14" t="str">
        <v>OXFAM</v>
      </c>
      <c r="F26" s="14">
        <v>64</v>
      </c>
      <c r="G26" s="14" t="str">
        <v>정기후원</v>
      </c>
      <c r="H26" s="9">
        <v>30000</v>
      </c>
      <c r="I26" s="48" t="str">
        <v>진행중</v>
      </c>
      <c r="J26" s="9">
        <v>30000</v>
      </c>
      <c r="K26" s="9">
        <v>150000</v>
      </c>
      <c r="L26" s="14" t="str">
        <v>TL</v>
      </c>
      <c r="M26" s="14" t="str">
        <v>UQ0204</v>
      </c>
      <c r="N26" s="14" t="str">
        <v>김명규</v>
      </c>
    </row>
    <row r="27" spans="1:14" x14ac:dyDescent="0.3">
      <c r="A27" s="15">
        <v>44625</v>
      </c>
      <c r="B27" s="14" t="str">
        <v>PN0032563</v>
      </c>
      <c r="C27" s="14" t="str">
        <v>나이스마트</v>
      </c>
      <c r="D27" s="16">
        <v>0.59791666666666665</v>
      </c>
      <c r="E27" s="14" t="str">
        <v>OXFAM</v>
      </c>
      <c r="F27" s="14">
        <v>29</v>
      </c>
      <c r="G27" s="14" t="str">
        <v>정기후원</v>
      </c>
      <c r="H27" s="9">
        <v>30000</v>
      </c>
      <c r="I27" s="48" t="str">
        <v>진행중</v>
      </c>
      <c r="J27" s="9">
        <v>30000</v>
      </c>
      <c r="K27" s="9">
        <v>150000</v>
      </c>
      <c r="L27" s="14" t="str">
        <v>TL</v>
      </c>
      <c r="M27" s="14" t="str">
        <v>UQ0204</v>
      </c>
      <c r="N27" s="14" t="str">
        <v>김명규</v>
      </c>
    </row>
    <row r="28" spans="1:14" x14ac:dyDescent="0.3">
      <c r="A28" s="15">
        <v>44625</v>
      </c>
      <c r="B28" s="14" t="str">
        <v>PN0032698</v>
      </c>
      <c r="C28" s="14" t="str">
        <v>나이스마트</v>
      </c>
      <c r="D28" s="16">
        <v>0.61458333333333337</v>
      </c>
      <c r="E28" s="14" t="str">
        <v>OXFAM</v>
      </c>
      <c r="F28" s="14">
        <v>32</v>
      </c>
      <c r="G28" s="14" t="str">
        <v>보류</v>
      </c>
      <c r="H28" s="9">
        <v>30000</v>
      </c>
      <c r="I28" s="48" t="str">
        <v>보류</v>
      </c>
      <c r="J28" s="9">
        <v>30000</v>
      </c>
      <c r="K28" s="9">
        <v>150000</v>
      </c>
      <c r="L28" s="14" t="str">
        <v>TL</v>
      </c>
      <c r="M28" s="14" t="str">
        <v>UQ0204</v>
      </c>
      <c r="N28" s="14" t="str">
        <v>김명규</v>
      </c>
    </row>
    <row r="29" spans="1:14" x14ac:dyDescent="0.3">
      <c r="A29" s="15">
        <v>44628</v>
      </c>
      <c r="B29" s="14" t="str">
        <v>PN0030879</v>
      </c>
      <c r="C29" s="14" t="str">
        <v>다이소부산연산교차로점</v>
      </c>
      <c r="D29" s="16">
        <v>0.70138888888888884</v>
      </c>
      <c r="E29" s="14" t="str">
        <v>OXFAM</v>
      </c>
      <c r="F29" s="14">
        <v>35</v>
      </c>
      <c r="G29" s="14" t="str">
        <v>정기후원</v>
      </c>
      <c r="H29" s="9">
        <v>30000</v>
      </c>
      <c r="I29" s="48" t="str">
        <v>진행중</v>
      </c>
      <c r="J29" s="9">
        <v>30000</v>
      </c>
      <c r="K29" s="9">
        <v>150000</v>
      </c>
      <c r="L29" s="14" t="str">
        <v>TL</v>
      </c>
      <c r="M29" s="14" t="str">
        <v>UQ0204</v>
      </c>
      <c r="N29" s="14" t="str">
        <v>김명규</v>
      </c>
    </row>
    <row r="30" spans="1:14" x14ac:dyDescent="0.3">
      <c r="A30" s="15">
        <v>44628</v>
      </c>
      <c r="B30" s="14" t="str">
        <v>PN0032565</v>
      </c>
      <c r="C30" s="14" t="str">
        <v>다이소부산연산교차로점</v>
      </c>
      <c r="D30" s="16">
        <v>0.7284722222222223</v>
      </c>
      <c r="E30" s="14" t="str">
        <v>OXFAM</v>
      </c>
      <c r="F30" s="14">
        <v>25</v>
      </c>
      <c r="G30" s="14" t="str">
        <v>정보오류</v>
      </c>
      <c r="H30" s="9">
        <v>20000</v>
      </c>
      <c r="I30" s="48" t="str">
        <v>정보오류</v>
      </c>
      <c r="J30" s="9">
        <v>20000</v>
      </c>
      <c r="K30" s="9">
        <v>100000</v>
      </c>
      <c r="L30" s="14" t="str">
        <v>TL</v>
      </c>
      <c r="M30" s="14" t="str">
        <v>UQ0204</v>
      </c>
      <c r="N30" s="14" t="str">
        <v>김명규</v>
      </c>
    </row>
    <row r="31" spans="1:14" x14ac:dyDescent="0.3">
      <c r="A31" s="15">
        <v>44630</v>
      </c>
      <c r="B31" s="14" t="str">
        <v>PN0032566</v>
      </c>
      <c r="C31" s="14" t="str">
        <v>홈플러스아시아드점</v>
      </c>
      <c r="D31" s="16">
        <v>0.6479166666666667</v>
      </c>
      <c r="E31" s="14" t="str">
        <v>OXFAM</v>
      </c>
      <c r="F31" s="14">
        <v>28</v>
      </c>
      <c r="G31" s="14" t="str">
        <v>정기후원</v>
      </c>
      <c r="H31" s="9">
        <v>30000</v>
      </c>
      <c r="I31" s="48" t="str">
        <v>진행중</v>
      </c>
      <c r="J31" s="9">
        <v>30000</v>
      </c>
      <c r="K31" s="9">
        <v>150000</v>
      </c>
      <c r="L31" s="14" t="str">
        <v>TL</v>
      </c>
      <c r="M31" s="14" t="str">
        <v>UQ0204</v>
      </c>
      <c r="N31" s="14" t="str">
        <v>김명규</v>
      </c>
    </row>
    <row r="32" spans="1:14" x14ac:dyDescent="0.3">
      <c r="A32" s="15">
        <v>44631</v>
      </c>
      <c r="B32" s="14" t="str">
        <v>PN0032668</v>
      </c>
      <c r="C32" s="14" t="str">
        <v>통영이마트</v>
      </c>
      <c r="D32" s="16">
        <v>0.51597222222222217</v>
      </c>
      <c r="E32" s="14" t="str">
        <v>OXFAM</v>
      </c>
      <c r="F32" s="14">
        <v>29</v>
      </c>
      <c r="G32" s="14" t="str">
        <v>정기후원</v>
      </c>
      <c r="H32" s="9">
        <v>30000</v>
      </c>
      <c r="I32" s="48" t="str">
        <v>진행중</v>
      </c>
      <c r="J32" s="9">
        <v>30000</v>
      </c>
      <c r="K32" s="9">
        <v>150000</v>
      </c>
      <c r="L32" s="14" t="str">
        <v>TL</v>
      </c>
      <c r="M32" s="14" t="str">
        <v>UQ0204</v>
      </c>
      <c r="N32" s="14" t="str">
        <v>김명규</v>
      </c>
    </row>
    <row r="33" spans="1:14" x14ac:dyDescent="0.3">
      <c r="A33" s="15">
        <v>44631</v>
      </c>
      <c r="B33" s="14" t="str">
        <v>PN0030862</v>
      </c>
      <c r="C33" s="14" t="str">
        <v>통영이마트</v>
      </c>
      <c r="D33" s="16">
        <v>0.53263888888888888</v>
      </c>
      <c r="E33" s="14" t="str">
        <v>OXFAM</v>
      </c>
      <c r="F33" s="14">
        <v>32</v>
      </c>
      <c r="G33" s="14" t="str">
        <v>정기후원</v>
      </c>
      <c r="H33" s="9">
        <v>20000</v>
      </c>
      <c r="I33" s="48" t="str">
        <v>진행중</v>
      </c>
      <c r="J33" s="9">
        <v>20000</v>
      </c>
      <c r="K33" s="9">
        <v>100000</v>
      </c>
      <c r="L33" s="14" t="str">
        <v>TL</v>
      </c>
      <c r="M33" s="14" t="str">
        <v>UQ0204</v>
      </c>
      <c r="N33" s="14" t="str">
        <v>김명규</v>
      </c>
    </row>
    <row r="34" spans="1:14" x14ac:dyDescent="0.3">
      <c r="A34" s="15">
        <v>44631</v>
      </c>
      <c r="B34" s="14" t="str">
        <v>PN0032425</v>
      </c>
      <c r="C34" s="14" t="str">
        <v>통영이마트</v>
      </c>
      <c r="D34" s="16">
        <v>0.55833333333333335</v>
      </c>
      <c r="E34" s="14" t="str">
        <v>OXFAM</v>
      </c>
      <c r="F34" s="14">
        <v>68</v>
      </c>
      <c r="G34" s="14" t="str">
        <v>정보오류</v>
      </c>
      <c r="H34" s="9">
        <v>20000</v>
      </c>
      <c r="I34" s="48" t="str">
        <v>정보오류</v>
      </c>
      <c r="J34" s="9">
        <v>20000</v>
      </c>
      <c r="K34" s="9">
        <v>100000</v>
      </c>
      <c r="L34" s="14" t="str">
        <v>TL</v>
      </c>
      <c r="M34" s="14" t="str">
        <v>UQ0204</v>
      </c>
      <c r="N34" s="14" t="str">
        <v>김명규</v>
      </c>
    </row>
    <row r="35" spans="1:14" x14ac:dyDescent="0.3">
      <c r="A35" s="15">
        <v>44636</v>
      </c>
      <c r="B35" s="14" t="str">
        <v>PN0032517</v>
      </c>
      <c r="C35" s="14" t="str">
        <v>다이소마산합성점</v>
      </c>
      <c r="D35" s="16">
        <v>0.54583333333333328</v>
      </c>
      <c r="E35" s="14" t="str">
        <v>OXFAM</v>
      </c>
      <c r="F35" s="14">
        <v>59</v>
      </c>
      <c r="G35" s="14" t="str">
        <v>정기후원</v>
      </c>
      <c r="H35" s="9">
        <v>30000</v>
      </c>
      <c r="I35" s="48" t="str">
        <v>출금완료</v>
      </c>
      <c r="J35" s="9">
        <v>30000</v>
      </c>
      <c r="K35" s="9">
        <v>150000</v>
      </c>
      <c r="L35" s="14" t="str">
        <v>TL</v>
      </c>
      <c r="M35" s="14" t="str">
        <v>UQ0204</v>
      </c>
      <c r="N35" s="14" t="str">
        <v>김명규</v>
      </c>
    </row>
    <row r="36" spans="1:14" x14ac:dyDescent="0.3">
      <c r="A36" s="15">
        <v>44636</v>
      </c>
      <c r="B36" s="14" t="str">
        <v>PN0032672</v>
      </c>
      <c r="C36" s="14" t="str">
        <v>다이소마산합성점</v>
      </c>
      <c r="D36" s="16">
        <v>0.62361111111111112</v>
      </c>
      <c r="E36" s="14" t="str">
        <v>OXFAM</v>
      </c>
      <c r="F36" s="14">
        <v>54</v>
      </c>
      <c r="G36" s="14" t="str">
        <v>정기후원</v>
      </c>
      <c r="H36" s="9">
        <v>20000</v>
      </c>
      <c r="I36" s="48" t="str">
        <v>진행중</v>
      </c>
      <c r="J36" s="9">
        <v>20000</v>
      </c>
      <c r="K36" s="9">
        <v>100000</v>
      </c>
      <c r="L36" s="14" t="str">
        <v>TL</v>
      </c>
      <c r="M36" s="14" t="str">
        <v>UQ0204</v>
      </c>
      <c r="N36" s="14" t="str">
        <v>김명규</v>
      </c>
    </row>
    <row r="37" spans="1:14" x14ac:dyDescent="0.3">
      <c r="A37" s="15">
        <v>44636</v>
      </c>
      <c r="B37" s="14" t="str">
        <v>PN0032445</v>
      </c>
      <c r="C37" s="14" t="str">
        <v>다이소마산합성점</v>
      </c>
      <c r="D37" s="16">
        <v>0.70000000000000007</v>
      </c>
      <c r="E37" s="14" t="str">
        <v>OXFAM</v>
      </c>
      <c r="F37" s="14">
        <v>63</v>
      </c>
      <c r="G37" s="14" t="str">
        <v>정기후원</v>
      </c>
      <c r="H37" s="9">
        <v>30000</v>
      </c>
      <c r="I37" s="48" t="str">
        <v>진행중</v>
      </c>
      <c r="J37" s="9">
        <v>30000</v>
      </c>
      <c r="K37" s="9">
        <v>150000</v>
      </c>
      <c r="L37" s="14" t="str">
        <v>TL</v>
      </c>
      <c r="M37" s="14" t="str">
        <v>UQ0204</v>
      </c>
      <c r="N37" s="14" t="str">
        <v>김명규</v>
      </c>
    </row>
    <row r="38" spans="1:14" x14ac:dyDescent="0.3">
      <c r="A38" s="15">
        <v>44637</v>
      </c>
      <c r="B38" s="14" t="str">
        <v>PN0032673</v>
      </c>
      <c r="C38" s="14" t="str">
        <v>다이소진해용원</v>
      </c>
      <c r="D38" s="16">
        <v>0.56944444444444442</v>
      </c>
      <c r="E38" s="14" t="str">
        <v>OXFAM</v>
      </c>
      <c r="F38" s="14">
        <v>29</v>
      </c>
      <c r="G38" s="14" t="str">
        <v>정기후원</v>
      </c>
      <c r="H38" s="9">
        <v>20000</v>
      </c>
      <c r="I38" s="48" t="str">
        <v>출금완료</v>
      </c>
      <c r="J38" s="9">
        <v>20000</v>
      </c>
      <c r="K38" s="9">
        <v>100000</v>
      </c>
      <c r="L38" s="14" t="str">
        <v>TL</v>
      </c>
      <c r="M38" s="14" t="str">
        <v>UQ0204</v>
      </c>
      <c r="N38" s="14" t="str">
        <v>김명규</v>
      </c>
    </row>
    <row r="39" spans="1:14" x14ac:dyDescent="0.3">
      <c r="A39" s="15">
        <v>44638</v>
      </c>
      <c r="B39" s="14" t="str">
        <v>PN0032674</v>
      </c>
      <c r="C39" s="14" t="str">
        <v>다이소종합운동장점</v>
      </c>
      <c r="D39" s="16">
        <v>0.51597222222222217</v>
      </c>
      <c r="E39" s="14" t="str">
        <v>OXFAM</v>
      </c>
      <c r="F39" s="14">
        <v>27</v>
      </c>
      <c r="G39" s="14" t="str">
        <v>정기후원</v>
      </c>
      <c r="H39" s="9">
        <v>30000</v>
      </c>
      <c r="I39" s="48" t="str">
        <v>진행중</v>
      </c>
      <c r="J39" s="9">
        <v>30000</v>
      </c>
      <c r="K39" s="9">
        <v>150000</v>
      </c>
      <c r="L39" s="14" t="str">
        <v>TL</v>
      </c>
      <c r="M39" s="14" t="str">
        <v>UQ0204</v>
      </c>
      <c r="N39" s="14" t="str">
        <v>김명규</v>
      </c>
    </row>
    <row r="40" spans="1:14" x14ac:dyDescent="0.3">
      <c r="A40" s="15">
        <v>44640</v>
      </c>
      <c r="B40" s="14" t="str">
        <v>PN0032570</v>
      </c>
      <c r="C40" s="14" t="str">
        <v>다이소진해용원점</v>
      </c>
      <c r="D40" s="16">
        <v>0.6118055555555556</v>
      </c>
      <c r="E40" s="14" t="str">
        <v>OXFAM</v>
      </c>
      <c r="F40" s="14">
        <v>62</v>
      </c>
      <c r="G40" s="14" t="str">
        <v>정기후원</v>
      </c>
      <c r="H40" s="9">
        <v>30000</v>
      </c>
      <c r="I40" s="48" t="str">
        <v>진행중</v>
      </c>
      <c r="J40" s="9">
        <v>30000</v>
      </c>
      <c r="K40" s="9">
        <v>150000</v>
      </c>
      <c r="L40" s="14" t="str">
        <v>TL</v>
      </c>
      <c r="M40" s="14" t="str">
        <v>UQ0204</v>
      </c>
      <c r="N40" s="14" t="str">
        <v>김명규</v>
      </c>
    </row>
    <row r="41" spans="1:14" x14ac:dyDescent="0.3">
      <c r="A41" s="15">
        <v>44640</v>
      </c>
      <c r="B41" s="14" t="str">
        <v>PN0032567</v>
      </c>
      <c r="C41" s="14" t="str">
        <v>다이소진해용원점</v>
      </c>
      <c r="D41" s="16">
        <v>0.64583333333333337</v>
      </c>
      <c r="E41" s="14" t="str">
        <v>OXFAM</v>
      </c>
      <c r="F41" s="14">
        <v>26</v>
      </c>
      <c r="G41" s="14" t="str">
        <v>정기후원</v>
      </c>
      <c r="H41" s="9">
        <v>30000</v>
      </c>
      <c r="I41" s="48" t="str">
        <v>진행중</v>
      </c>
      <c r="J41" s="9">
        <v>30000</v>
      </c>
      <c r="K41" s="9">
        <v>150000</v>
      </c>
      <c r="L41" s="14" t="str">
        <v>TL</v>
      </c>
      <c r="M41" s="14" t="str">
        <v>UQ0204</v>
      </c>
      <c r="N41" s="14" t="str">
        <v>김명규</v>
      </c>
    </row>
    <row r="42" spans="1:14" x14ac:dyDescent="0.3">
      <c r="A42" s="15">
        <v>44641</v>
      </c>
      <c r="B42" s="14" t="str">
        <v>PN0032518</v>
      </c>
      <c r="C42" s="14" t="str">
        <v>다이소오산궐동점</v>
      </c>
      <c r="D42" s="16">
        <v>0.66180555555555554</v>
      </c>
      <c r="E42" s="14" t="str">
        <v>OXFAM</v>
      </c>
      <c r="F42" s="14">
        <v>67</v>
      </c>
      <c r="G42" s="14" t="str">
        <v>정기후원</v>
      </c>
      <c r="H42" s="9">
        <v>20000</v>
      </c>
      <c r="I42" s="48" t="str">
        <v>진행중</v>
      </c>
      <c r="J42" s="9">
        <v>20000</v>
      </c>
      <c r="K42" s="9">
        <v>100000</v>
      </c>
      <c r="L42" s="14" t="str">
        <v>TL</v>
      </c>
      <c r="M42" s="14" t="str">
        <v>UQ0204</v>
      </c>
      <c r="N42" s="14" t="str">
        <v>김명규</v>
      </c>
    </row>
    <row r="43" spans="1:14" x14ac:dyDescent="0.3">
      <c r="A43" s="15">
        <v>44645</v>
      </c>
      <c r="B43" s="14" t="str">
        <v>PN0032427</v>
      </c>
      <c r="C43" s="14" t="str">
        <v>다이소마산합성점</v>
      </c>
      <c r="D43" s="16">
        <v>0.4694444444444445</v>
      </c>
      <c r="E43" s="14" t="str">
        <v>OXFAM</v>
      </c>
      <c r="F43" s="14">
        <v>63</v>
      </c>
      <c r="G43" s="14" t="str">
        <v>정기후원</v>
      </c>
      <c r="H43" s="9">
        <v>30000</v>
      </c>
      <c r="I43" s="48" t="str">
        <v>진행중</v>
      </c>
      <c r="J43" s="9">
        <v>30000</v>
      </c>
      <c r="K43" s="9">
        <v>150000</v>
      </c>
      <c r="L43" s="14" t="str">
        <v>TL</v>
      </c>
      <c r="M43" s="14" t="str">
        <v>UQ0204</v>
      </c>
      <c r="N43" s="14" t="str">
        <v>김명규</v>
      </c>
    </row>
    <row r="44" spans="1:14" x14ac:dyDescent="0.3">
      <c r="A44" s="15">
        <v>44645</v>
      </c>
      <c r="B44" s="14" t="str">
        <v>PN0032521</v>
      </c>
      <c r="C44" s="14" t="str">
        <v>다이소마산합성점</v>
      </c>
      <c r="D44" s="16">
        <v>0.51527777777777783</v>
      </c>
      <c r="E44" s="14" t="str">
        <v>OXFAM</v>
      </c>
      <c r="F44" s="14">
        <v>26</v>
      </c>
      <c r="G44" s="14" t="str">
        <v>정기후원</v>
      </c>
      <c r="H44" s="9">
        <v>30000</v>
      </c>
      <c r="I44" s="48" t="str">
        <v>진행중</v>
      </c>
      <c r="J44" s="9">
        <v>30000</v>
      </c>
      <c r="K44" s="9">
        <v>150000</v>
      </c>
      <c r="L44" s="14" t="str">
        <v>TL</v>
      </c>
      <c r="M44" s="14" t="str">
        <v>UQ0204</v>
      </c>
      <c r="N44" s="14" t="str">
        <v>김명규</v>
      </c>
    </row>
    <row r="45" spans="1:14" x14ac:dyDescent="0.3">
      <c r="A45" s="15">
        <v>44648</v>
      </c>
      <c r="B45" s="14" t="str">
        <v>PN0032470</v>
      </c>
      <c r="C45" s="14" t="str">
        <v>파리바게뜨덕계점</v>
      </c>
      <c r="D45" s="16">
        <v>0.64722222222222225</v>
      </c>
      <c r="E45" s="14" t="str">
        <v>OXFAM</v>
      </c>
      <c r="F45" s="14">
        <v>51</v>
      </c>
      <c r="G45" s="14" t="str">
        <v>정기후원</v>
      </c>
      <c r="H45" s="9">
        <v>20000</v>
      </c>
      <c r="I45" s="48" t="str">
        <v>진행중</v>
      </c>
      <c r="J45" s="9">
        <v>20000</v>
      </c>
      <c r="K45" s="9">
        <v>100000</v>
      </c>
      <c r="L45" s="14" t="str">
        <v>TL</v>
      </c>
      <c r="M45" s="14" t="str">
        <v>UQ0204</v>
      </c>
      <c r="N45" s="14" t="str">
        <v>김명규</v>
      </c>
    </row>
    <row r="46" spans="1:14" x14ac:dyDescent="0.3">
      <c r="A46" s="15">
        <v>44648</v>
      </c>
      <c r="B46" s="14" t="str">
        <v>PN0032469</v>
      </c>
      <c r="C46" s="14" t="str">
        <v>파리바게뜨덕계점</v>
      </c>
      <c r="D46" s="16">
        <v>0.73333333333333339</v>
      </c>
      <c r="E46" s="14" t="str">
        <v>OXFAM</v>
      </c>
      <c r="F46" s="14">
        <v>64</v>
      </c>
      <c r="G46" s="14" t="str">
        <v>정기후원</v>
      </c>
      <c r="H46" s="9">
        <v>20000</v>
      </c>
      <c r="I46" s="48" t="str">
        <v>진행중</v>
      </c>
      <c r="J46" s="9">
        <v>20000</v>
      </c>
      <c r="K46" s="9">
        <v>100000</v>
      </c>
      <c r="L46" s="14" t="str">
        <v>TL</v>
      </c>
      <c r="M46" s="14" t="str">
        <v>UQ0204</v>
      </c>
      <c r="N46" s="14" t="str">
        <v>김명규</v>
      </c>
    </row>
    <row r="47" spans="1:14" x14ac:dyDescent="0.3">
      <c r="A47" s="15">
        <v>44649</v>
      </c>
      <c r="B47" s="14" t="str">
        <v>PN0032467</v>
      </c>
      <c r="C47" s="14" t="str">
        <v>홈플러스사직점</v>
      </c>
      <c r="D47" s="16">
        <v>0.6694444444444444</v>
      </c>
      <c r="E47" s="14" t="str">
        <v>OXFAM</v>
      </c>
      <c r="F47" s="14">
        <v>36</v>
      </c>
      <c r="G47" s="14" t="str">
        <v>정보오류</v>
      </c>
      <c r="H47" s="9">
        <v>30000</v>
      </c>
      <c r="I47" s="48" t="str">
        <v>정보오류</v>
      </c>
      <c r="J47" s="9">
        <v>30000</v>
      </c>
      <c r="K47" s="9">
        <v>150000</v>
      </c>
      <c r="L47" s="14" t="str">
        <v>TL</v>
      </c>
      <c r="M47" s="14" t="str">
        <v>UQ0204</v>
      </c>
      <c r="N47" s="14" t="str">
        <v>김명규</v>
      </c>
    </row>
    <row r="48" spans="1:14" x14ac:dyDescent="0.3">
      <c r="A48" s="15">
        <v>44649</v>
      </c>
      <c r="B48" s="14" t="str">
        <v>PN0032519</v>
      </c>
      <c r="C48" s="14" t="str">
        <v>홈플러스사직점</v>
      </c>
      <c r="D48" s="16">
        <v>0.71319444444444446</v>
      </c>
      <c r="E48" s="14" t="str">
        <v>OXFAM</v>
      </c>
      <c r="F48" s="14">
        <v>33</v>
      </c>
      <c r="G48" s="14" t="str">
        <v>정보오류</v>
      </c>
      <c r="H48" s="9">
        <v>20000</v>
      </c>
      <c r="I48" s="48" t="str">
        <v>정보오류</v>
      </c>
      <c r="J48" s="9">
        <v>20000</v>
      </c>
      <c r="K48" s="9">
        <v>100000</v>
      </c>
      <c r="L48" s="14" t="str">
        <v>TL</v>
      </c>
      <c r="M48" s="14" t="str">
        <v>UQ0204</v>
      </c>
      <c r="N48" s="14" t="str">
        <v>김명규</v>
      </c>
    </row>
    <row r="49" spans="1:14" x14ac:dyDescent="0.3">
      <c r="A49" s="15">
        <v>44650</v>
      </c>
      <c r="B49" s="14" t="str">
        <v>PN0032447</v>
      </c>
      <c r="C49" s="14" t="str">
        <v>다이소외동점</v>
      </c>
      <c r="D49" s="16">
        <v>0.52013888888888882</v>
      </c>
      <c r="E49" s="14" t="str">
        <v>OXFAM</v>
      </c>
      <c r="F49" s="14">
        <v>29</v>
      </c>
      <c r="G49" s="14" t="str">
        <v>정기후원</v>
      </c>
      <c r="H49" s="9">
        <v>30000</v>
      </c>
      <c r="I49" s="48" t="str">
        <v>진행중</v>
      </c>
      <c r="J49" s="9">
        <v>30000</v>
      </c>
      <c r="K49" s="9">
        <v>150000</v>
      </c>
      <c r="L49" s="14" t="str">
        <v>TL</v>
      </c>
      <c r="M49" s="14" t="str">
        <v>UQ0204</v>
      </c>
      <c r="N49" s="14" t="str">
        <v>김명규</v>
      </c>
    </row>
    <row r="50" spans="1:14" x14ac:dyDescent="0.3">
      <c r="A50" s="15">
        <v>44651</v>
      </c>
      <c r="B50" s="14" t="str">
        <v>PN0032580</v>
      </c>
      <c r="C50" s="14" t="str">
        <v>파리바게뜨덕계점</v>
      </c>
      <c r="D50" s="16">
        <v>0.63402777777777775</v>
      </c>
      <c r="E50" s="14" t="str">
        <v>OXFAM</v>
      </c>
      <c r="F50" s="14">
        <v>62</v>
      </c>
      <c r="G50" s="14" t="str">
        <v>정기후원</v>
      </c>
      <c r="H50" s="9">
        <v>30000</v>
      </c>
      <c r="I50" s="48" t="str">
        <v>진행중</v>
      </c>
      <c r="J50" s="9">
        <v>30000</v>
      </c>
      <c r="K50" s="9">
        <v>150000</v>
      </c>
      <c r="L50" s="14" t="str">
        <v>TL</v>
      </c>
      <c r="M50" s="14" t="str">
        <v>UQ0204</v>
      </c>
      <c r="N50" s="14" t="str">
        <v>김명규</v>
      </c>
    </row>
    <row r="51" spans="1:14" x14ac:dyDescent="0.3">
      <c r="A51" s="15">
        <v>44567</v>
      </c>
      <c r="B51" s="14" t="str">
        <v>PN0032576</v>
      </c>
      <c r="C51" s="14" t="str">
        <v>춘해병원</v>
      </c>
      <c r="D51" s="16">
        <v>0.6777777777777777</v>
      </c>
      <c r="E51" s="14" t="str">
        <v>OXFAM</v>
      </c>
      <c r="F51" s="14">
        <v>25</v>
      </c>
      <c r="G51" s="14" t="str">
        <v>정기후원</v>
      </c>
      <c r="H51" s="9">
        <v>30000</v>
      </c>
      <c r="I51" s="48" t="str">
        <v>출금완료</v>
      </c>
      <c r="J51" s="9">
        <v>30000</v>
      </c>
      <c r="K51" s="9">
        <v>120000</v>
      </c>
      <c r="L51" s="14" t="str">
        <v>LR</v>
      </c>
      <c r="M51" s="14" t="str">
        <v>UQ0205</v>
      </c>
      <c r="N51" s="14" t="str">
        <v>박혜인</v>
      </c>
    </row>
    <row r="52" spans="1:14" x14ac:dyDescent="0.3">
      <c r="A52" s="15">
        <v>44570</v>
      </c>
      <c r="B52" s="14" t="str">
        <v>PN0032503</v>
      </c>
      <c r="C52" s="14" t="str">
        <v>다이소통영항남점</v>
      </c>
      <c r="D52" s="16">
        <v>0.66249999999999998</v>
      </c>
      <c r="E52" s="14" t="str">
        <v>OXFAM</v>
      </c>
      <c r="F52" s="14">
        <v>26</v>
      </c>
      <c r="G52" s="14" t="str">
        <v>정기후원</v>
      </c>
      <c r="H52" s="9">
        <v>20000</v>
      </c>
      <c r="I52" s="48" t="str">
        <v>취소</v>
      </c>
      <c r="J52" s="9">
        <v>20000</v>
      </c>
      <c r="K52" s="9">
        <v>80000</v>
      </c>
      <c r="L52" s="14" t="str">
        <v>LR</v>
      </c>
      <c r="M52" s="14" t="str">
        <v>UQ0205</v>
      </c>
      <c r="N52" s="14" t="str">
        <v>박혜인</v>
      </c>
    </row>
    <row r="53" spans="1:14" x14ac:dyDescent="0.3">
      <c r="A53" s="15">
        <v>44582</v>
      </c>
      <c r="B53" s="14" t="str">
        <v>PN0032646</v>
      </c>
      <c r="C53" s="14" t="str">
        <v>다이소동성로점</v>
      </c>
      <c r="D53" s="16">
        <v>0.65069444444444446</v>
      </c>
      <c r="E53" s="14" t="str">
        <v>OXFAM</v>
      </c>
      <c r="F53" s="14">
        <v>25</v>
      </c>
      <c r="G53" s="14" t="str">
        <v>정기후원</v>
      </c>
      <c r="H53" s="9">
        <v>20000</v>
      </c>
      <c r="I53" s="48" t="str">
        <v>일시후원</v>
      </c>
      <c r="J53" s="9">
        <v>20000</v>
      </c>
      <c r="K53" s="9">
        <v>80000</v>
      </c>
      <c r="L53" s="14" t="str">
        <v>LR</v>
      </c>
      <c r="M53" s="14" t="str">
        <v>UQ0205</v>
      </c>
      <c r="N53" s="14" t="str">
        <v>박혜인</v>
      </c>
    </row>
    <row r="54" spans="1:14" x14ac:dyDescent="0.3">
      <c r="A54" s="15">
        <v>44600</v>
      </c>
      <c r="B54" s="14" t="str">
        <v>PN0030852</v>
      </c>
      <c r="C54" s="14" t="str">
        <v>괴정역</v>
      </c>
      <c r="D54" s="16">
        <v>0.63541666666666663</v>
      </c>
      <c r="E54" s="14" t="str">
        <v>OXFAM</v>
      </c>
      <c r="F54" s="14">
        <v>25</v>
      </c>
      <c r="G54" s="14" t="str">
        <v>정기후원</v>
      </c>
      <c r="H54" s="9">
        <v>30000</v>
      </c>
      <c r="I54" s="48" t="str">
        <v>일시후원</v>
      </c>
      <c r="J54" s="9">
        <v>30000</v>
      </c>
      <c r="K54" s="9">
        <v>120000</v>
      </c>
      <c r="L54" s="14" t="str">
        <v>LR</v>
      </c>
      <c r="M54" s="14" t="str">
        <v>UQ0205</v>
      </c>
      <c r="N54" s="14" t="str">
        <v>박혜인</v>
      </c>
    </row>
    <row r="55" spans="1:14" x14ac:dyDescent="0.3">
      <c r="A55" s="15">
        <v>44611</v>
      </c>
      <c r="B55" s="14" t="str">
        <v>PN0032695</v>
      </c>
      <c r="C55" s="14" t="str">
        <v>구미역</v>
      </c>
      <c r="D55" s="16">
        <v>0.69791666666666663</v>
      </c>
      <c r="E55" s="14" t="str">
        <v>OXFAM</v>
      </c>
      <c r="F55" s="14">
        <v>52</v>
      </c>
      <c r="G55" s="14" t="str">
        <v>정기후원</v>
      </c>
      <c r="H55" s="9">
        <v>20000</v>
      </c>
      <c r="I55" s="48" t="str">
        <v>출금완료</v>
      </c>
      <c r="J55" s="9">
        <v>20000</v>
      </c>
      <c r="K55" s="9">
        <v>80000</v>
      </c>
      <c r="L55" s="14" t="str">
        <v>LR</v>
      </c>
      <c r="M55" s="14" t="str">
        <v>UQ0205</v>
      </c>
      <c r="N55" s="14" t="str">
        <v>박혜인</v>
      </c>
    </row>
    <row r="56" spans="1:14" x14ac:dyDescent="0.3">
      <c r="A56" s="15">
        <v>44613</v>
      </c>
      <c r="B56" s="14" t="str">
        <v>PN0032414</v>
      </c>
      <c r="C56" s="14" t="str">
        <v>홈플러스사직점</v>
      </c>
      <c r="D56" s="16">
        <v>0.66111111111111109</v>
      </c>
      <c r="E56" s="14" t="str">
        <v>OXFAM</v>
      </c>
      <c r="F56" s="14">
        <v>55</v>
      </c>
      <c r="G56" s="14" t="str">
        <v>정기후원</v>
      </c>
      <c r="H56" s="9">
        <v>30000</v>
      </c>
      <c r="I56" s="48" t="str">
        <v>출금완료</v>
      </c>
      <c r="J56" s="9">
        <v>30000</v>
      </c>
      <c r="K56" s="9">
        <v>120000</v>
      </c>
      <c r="L56" s="14" t="str">
        <v>LR</v>
      </c>
      <c r="M56" s="14" t="str">
        <v>UQ0205</v>
      </c>
      <c r="N56" s="14" t="str">
        <v>박혜인</v>
      </c>
    </row>
    <row r="57" spans="1:14" x14ac:dyDescent="0.3">
      <c r="A57" s="15">
        <v>44618</v>
      </c>
      <c r="B57" s="14" t="str">
        <v>PN0032418</v>
      </c>
      <c r="C57" s="14" t="str">
        <v>동대구역</v>
      </c>
      <c r="D57" s="16">
        <v>0.58611111111111114</v>
      </c>
      <c r="E57" s="14" t="str">
        <v>OXFAM</v>
      </c>
      <c r="F57" s="14">
        <v>51</v>
      </c>
      <c r="G57" s="14" t="str">
        <v>정기후원</v>
      </c>
      <c r="H57" s="9">
        <v>30000</v>
      </c>
      <c r="I57" s="48" t="str">
        <v>일시후원</v>
      </c>
      <c r="J57" s="9">
        <v>30000</v>
      </c>
      <c r="K57" s="9">
        <v>120000</v>
      </c>
      <c r="L57" s="14" t="str">
        <v>LR</v>
      </c>
      <c r="M57" s="14" t="str">
        <v>UQ0205</v>
      </c>
      <c r="N57" s="14" t="str">
        <v>박혜인</v>
      </c>
    </row>
    <row r="58" spans="1:14" x14ac:dyDescent="0.3">
      <c r="A58" s="15">
        <v>44620</v>
      </c>
      <c r="B58" s="14" t="str">
        <v>PN0032433</v>
      </c>
      <c r="C58" s="14" t="str">
        <v>봉황역</v>
      </c>
      <c r="D58" s="16">
        <v>0.68055555555555547</v>
      </c>
      <c r="E58" s="14" t="str">
        <v>OXFAM</v>
      </c>
      <c r="F58" s="14">
        <v>48</v>
      </c>
      <c r="G58" s="14" t="str">
        <v>정기후원</v>
      </c>
      <c r="H58" s="9">
        <v>20000</v>
      </c>
      <c r="I58" s="48" t="str">
        <v>출금완료</v>
      </c>
      <c r="J58" s="9">
        <v>20000</v>
      </c>
      <c r="K58" s="9">
        <v>80000</v>
      </c>
      <c r="L58" s="14" t="str">
        <v>LR</v>
      </c>
      <c r="M58" s="14" t="str">
        <v>UQ0205</v>
      </c>
      <c r="N58" s="14" t="str">
        <v>박혜인</v>
      </c>
    </row>
    <row r="59" spans="1:14" x14ac:dyDescent="0.3">
      <c r="A59" s="15">
        <v>44620</v>
      </c>
      <c r="B59" s="14" t="str">
        <v>PN0032437</v>
      </c>
      <c r="C59" s="14" t="str">
        <v>봉황역</v>
      </c>
      <c r="D59" s="16">
        <v>0.71388888888888891</v>
      </c>
      <c r="E59" s="14" t="str">
        <v>OXFAM</v>
      </c>
      <c r="F59" s="14">
        <v>28</v>
      </c>
      <c r="G59" s="14" t="str">
        <v>정기후원</v>
      </c>
      <c r="H59" s="9">
        <v>30000</v>
      </c>
      <c r="I59" s="48" t="str">
        <v>취소</v>
      </c>
      <c r="J59" s="9">
        <v>30000</v>
      </c>
      <c r="K59" s="9">
        <v>120000</v>
      </c>
      <c r="L59" s="14" t="str">
        <v>LR</v>
      </c>
      <c r="M59" s="14" t="str">
        <v>UQ0205</v>
      </c>
      <c r="N59" s="14" t="str">
        <v>박혜인</v>
      </c>
    </row>
    <row r="60" spans="1:14" x14ac:dyDescent="0.3">
      <c r="A60" s="15">
        <v>44624</v>
      </c>
      <c r="B60" s="14" t="str">
        <v>PN0032491</v>
      </c>
      <c r="C60" s="14" t="str">
        <v>다이소밀양점</v>
      </c>
      <c r="D60" s="16">
        <v>0.64027777777777783</v>
      </c>
      <c r="E60" s="14" t="str">
        <v>OXFAM</v>
      </c>
      <c r="F60" s="14">
        <v>26</v>
      </c>
      <c r="G60" s="14" t="str">
        <v>정기후원</v>
      </c>
      <c r="H60" s="9">
        <v>30000</v>
      </c>
      <c r="I60" s="48" t="str">
        <v>출금완료</v>
      </c>
      <c r="J60" s="9">
        <v>30000</v>
      </c>
      <c r="K60" s="9">
        <v>90000</v>
      </c>
      <c r="L60" s="14" t="str">
        <v>FR</v>
      </c>
      <c r="M60" s="14" t="str">
        <v>UQ0205</v>
      </c>
      <c r="N60" s="14" t="str">
        <v>박혜인</v>
      </c>
    </row>
    <row r="61" spans="1:14" x14ac:dyDescent="0.3">
      <c r="A61" s="15">
        <v>44625</v>
      </c>
      <c r="B61" s="14" t="str">
        <v>PN0032493</v>
      </c>
      <c r="C61" s="14" t="str">
        <v>나이스마트</v>
      </c>
      <c r="D61" s="16">
        <v>0.51944444444444449</v>
      </c>
      <c r="E61" s="14" t="str">
        <v>OXFAM</v>
      </c>
      <c r="F61" s="14">
        <v>26</v>
      </c>
      <c r="G61" s="14" t="str">
        <v>취소</v>
      </c>
      <c r="H61" s="9">
        <v>20000</v>
      </c>
      <c r="I61" s="48" t="str">
        <v>취소</v>
      </c>
      <c r="J61" s="9">
        <v>20000</v>
      </c>
      <c r="K61" s="9">
        <v>60000</v>
      </c>
      <c r="L61" s="14" t="str">
        <v>FR</v>
      </c>
      <c r="M61" s="14" t="str">
        <v>UQ0205</v>
      </c>
      <c r="N61" s="14" t="str">
        <v>박혜인</v>
      </c>
    </row>
    <row r="62" spans="1:14" x14ac:dyDescent="0.3">
      <c r="A62" s="15">
        <v>44626</v>
      </c>
      <c r="B62" s="14" t="str">
        <v>PN0032453</v>
      </c>
      <c r="C62" s="14" t="str">
        <v>하나로마트서부축협</v>
      </c>
      <c r="D62" s="16">
        <v>0.56319444444444444</v>
      </c>
      <c r="E62" s="14" t="str">
        <v>OXFAM</v>
      </c>
      <c r="F62" s="14">
        <v>26</v>
      </c>
      <c r="G62" s="14" t="str">
        <v>정기후원</v>
      </c>
      <c r="H62" s="9">
        <v>30000</v>
      </c>
      <c r="I62" s="48" t="str">
        <v>진행중</v>
      </c>
      <c r="J62" s="9">
        <v>30000</v>
      </c>
      <c r="K62" s="9">
        <v>90000</v>
      </c>
      <c r="L62" s="14" t="str">
        <v>FR</v>
      </c>
      <c r="M62" s="14" t="str">
        <v>UQ0205</v>
      </c>
      <c r="N62" s="14" t="str">
        <v>박혜인</v>
      </c>
    </row>
    <row r="63" spans="1:14" x14ac:dyDescent="0.3">
      <c r="A63" s="15">
        <v>44626</v>
      </c>
      <c r="B63" s="14" t="str">
        <v>PN0032454</v>
      </c>
      <c r="C63" s="14" t="str">
        <v>하나로마트서부축협</v>
      </c>
      <c r="D63" s="16">
        <v>0.60555555555555551</v>
      </c>
      <c r="E63" s="14" t="str">
        <v>OXFAM</v>
      </c>
      <c r="F63" s="14">
        <v>29</v>
      </c>
      <c r="G63" s="14" t="str">
        <v>정기후원</v>
      </c>
      <c r="H63" s="9">
        <v>30000</v>
      </c>
      <c r="I63" s="48" t="str">
        <v>진행중</v>
      </c>
      <c r="J63" s="9">
        <v>30000</v>
      </c>
      <c r="K63" s="9">
        <v>90000</v>
      </c>
      <c r="L63" s="14" t="str">
        <v>FR</v>
      </c>
      <c r="M63" s="14" t="str">
        <v>UQ0205</v>
      </c>
      <c r="N63" s="14" t="str">
        <v>박혜인</v>
      </c>
    </row>
    <row r="64" spans="1:14" x14ac:dyDescent="0.3">
      <c r="A64" s="15">
        <v>44626</v>
      </c>
      <c r="B64" s="14" t="str">
        <v>PN0032455</v>
      </c>
      <c r="C64" s="14" t="str">
        <v>하나로마트서부축협</v>
      </c>
      <c r="D64" s="16">
        <v>0.62083333333333335</v>
      </c>
      <c r="E64" s="14" t="str">
        <v>OXFAM</v>
      </c>
      <c r="F64" s="14">
        <v>28</v>
      </c>
      <c r="G64" s="14" t="str">
        <v>정기후원</v>
      </c>
      <c r="H64" s="9">
        <v>20000</v>
      </c>
      <c r="I64" s="48" t="str">
        <v>진행중</v>
      </c>
      <c r="J64" s="9">
        <v>20000</v>
      </c>
      <c r="K64" s="9">
        <v>60000</v>
      </c>
      <c r="L64" s="14" t="str">
        <v>FR</v>
      </c>
      <c r="M64" s="14" t="str">
        <v>UQ0205</v>
      </c>
      <c r="N64" s="14" t="str">
        <v>박혜인</v>
      </c>
    </row>
    <row r="65" spans="1:14" x14ac:dyDescent="0.3">
      <c r="A65" s="15">
        <v>44627</v>
      </c>
      <c r="B65" s="14" t="str">
        <v>PN0032443</v>
      </c>
      <c r="C65" s="14" t="str">
        <v>하나로마트서부축협</v>
      </c>
      <c r="D65" s="16">
        <v>0.59375</v>
      </c>
      <c r="E65" s="14" t="str">
        <v>OXFAM</v>
      </c>
      <c r="F65" s="14">
        <v>60</v>
      </c>
      <c r="G65" s="14" t="str">
        <v>정기후원</v>
      </c>
      <c r="H65" s="9">
        <v>20000</v>
      </c>
      <c r="I65" s="48" t="str">
        <v>출금완료</v>
      </c>
      <c r="J65" s="9">
        <v>20000</v>
      </c>
      <c r="K65" s="9">
        <v>80000</v>
      </c>
      <c r="L65" s="14" t="str">
        <v>LR</v>
      </c>
      <c r="M65" s="14" t="str">
        <v>UQ0205</v>
      </c>
      <c r="N65" s="14" t="str">
        <v>박혜인</v>
      </c>
    </row>
    <row r="66" spans="1:14" x14ac:dyDescent="0.3">
      <c r="A66" s="15">
        <v>44628</v>
      </c>
      <c r="B66" s="14" t="str">
        <v>PN0032494</v>
      </c>
      <c r="C66" s="14" t="str">
        <v>다이소부산연산교차로점</v>
      </c>
      <c r="D66" s="16">
        <v>0.58958333333333335</v>
      </c>
      <c r="E66" s="14" t="str">
        <v>OXFAM</v>
      </c>
      <c r="F66" s="14">
        <v>60</v>
      </c>
      <c r="G66" s="14" t="str">
        <v>정기후원</v>
      </c>
      <c r="H66" s="9">
        <v>20000</v>
      </c>
      <c r="I66" s="48" t="str">
        <v>출금완료</v>
      </c>
      <c r="J66" s="9">
        <v>20000</v>
      </c>
      <c r="K66" s="9">
        <v>80000</v>
      </c>
      <c r="L66" s="14" t="str">
        <v>LR</v>
      </c>
      <c r="M66" s="14" t="str">
        <v>UQ0205</v>
      </c>
      <c r="N66" s="14" t="str">
        <v>박혜인</v>
      </c>
    </row>
    <row r="67" spans="1:14" x14ac:dyDescent="0.3">
      <c r="A67" s="15">
        <v>44630</v>
      </c>
      <c r="B67" s="14" t="str">
        <v>PN0032444</v>
      </c>
      <c r="C67" s="14" t="str">
        <v>홈플러스아시아드점</v>
      </c>
      <c r="D67" s="16">
        <v>0.51736111111111105</v>
      </c>
      <c r="E67" s="14" t="str">
        <v>OXFAM</v>
      </c>
      <c r="F67" s="14">
        <v>44</v>
      </c>
      <c r="G67" s="14" t="str">
        <v>정기후원</v>
      </c>
      <c r="H67" s="9">
        <v>20000</v>
      </c>
      <c r="I67" s="48" t="str">
        <v>출금완료</v>
      </c>
      <c r="J67" s="9">
        <v>20000</v>
      </c>
      <c r="K67" s="9">
        <v>80000</v>
      </c>
      <c r="L67" s="14" t="str">
        <v>LR</v>
      </c>
      <c r="M67" s="14" t="str">
        <v>UQ0205</v>
      </c>
      <c r="N67" s="14" t="str">
        <v>박혜인</v>
      </c>
    </row>
    <row r="68" spans="1:14" x14ac:dyDescent="0.3">
      <c r="A68" s="15">
        <v>44632</v>
      </c>
      <c r="B68" s="14" t="str">
        <v>PN0032667</v>
      </c>
      <c r="C68" s="14" t="str">
        <v>다이소함안점</v>
      </c>
      <c r="D68" s="16">
        <v>0.62777777777777777</v>
      </c>
      <c r="E68" s="14" t="str">
        <v>OXFAM</v>
      </c>
      <c r="F68" s="14">
        <v>44</v>
      </c>
      <c r="G68" s="14" t="str">
        <v>정기후원</v>
      </c>
      <c r="H68" s="9">
        <v>30000</v>
      </c>
      <c r="I68" s="48" t="str">
        <v>진행중</v>
      </c>
      <c r="J68" s="9">
        <v>30000</v>
      </c>
      <c r="K68" s="9">
        <v>120000</v>
      </c>
      <c r="L68" s="14" t="str">
        <v>LR</v>
      </c>
      <c r="M68" s="14" t="str">
        <v>UQ0205</v>
      </c>
      <c r="N68" s="14" t="str">
        <v>박혜인</v>
      </c>
    </row>
    <row r="69" spans="1:14" x14ac:dyDescent="0.3">
      <c r="A69" s="15">
        <v>44635</v>
      </c>
      <c r="B69" s="14" t="str">
        <v>PN0032669</v>
      </c>
      <c r="C69" s="14" t="str">
        <v>마산남부시외버스터미널</v>
      </c>
      <c r="D69" s="16">
        <v>0.60972222222222217</v>
      </c>
      <c r="E69" s="14" t="str">
        <v>OXFAM</v>
      </c>
      <c r="F69" s="14">
        <v>26</v>
      </c>
      <c r="G69" s="14" t="str">
        <v>정기후원</v>
      </c>
      <c r="H69" s="9">
        <v>20000</v>
      </c>
      <c r="I69" s="48" t="str">
        <v>일시후원</v>
      </c>
      <c r="J69" s="9">
        <v>20000</v>
      </c>
      <c r="K69" s="9">
        <v>80000</v>
      </c>
      <c r="L69" s="14" t="str">
        <v>LR</v>
      </c>
      <c r="M69" s="14" t="str">
        <v>UQ0205</v>
      </c>
      <c r="N69" s="14" t="str">
        <v>박혜인</v>
      </c>
    </row>
    <row r="70" spans="1:14" x14ac:dyDescent="0.3">
      <c r="A70" s="15">
        <v>44641</v>
      </c>
      <c r="B70" s="14" t="str">
        <v>PN0032520</v>
      </c>
      <c r="C70" s="14" t="str">
        <v>다이소오산궐동점</v>
      </c>
      <c r="D70" s="16">
        <v>0.70833333333333337</v>
      </c>
      <c r="E70" s="14" t="str">
        <v>OXFAM</v>
      </c>
      <c r="F70" s="14">
        <v>27</v>
      </c>
      <c r="G70" s="14" t="str">
        <v>정기후원</v>
      </c>
      <c r="H70" s="9">
        <v>30000</v>
      </c>
      <c r="I70" s="48" t="str">
        <v>출금완료</v>
      </c>
      <c r="J70" s="9">
        <v>30000</v>
      </c>
      <c r="K70" s="9">
        <v>120000</v>
      </c>
      <c r="L70" s="14" t="str">
        <v>LR</v>
      </c>
      <c r="M70" s="14" t="str">
        <v>UQ0205</v>
      </c>
      <c r="N70" s="14" t="str">
        <v>박혜인</v>
      </c>
    </row>
    <row r="71" spans="1:14" x14ac:dyDescent="0.3">
      <c r="A71" s="15">
        <v>44642</v>
      </c>
      <c r="B71" s="14" t="str">
        <v>PN0032522</v>
      </c>
      <c r="C71" s="14" t="str">
        <v>오산역</v>
      </c>
      <c r="D71" s="16">
        <v>0.53402777777777777</v>
      </c>
      <c r="E71" s="14" t="str">
        <v>OXFAM</v>
      </c>
      <c r="F71" s="14">
        <v>48</v>
      </c>
      <c r="G71" s="14" t="str">
        <v>정기후원</v>
      </c>
      <c r="H71" s="9">
        <v>20000</v>
      </c>
      <c r="I71" s="48" t="str">
        <v>출금완료</v>
      </c>
      <c r="J71" s="9">
        <v>20000</v>
      </c>
      <c r="K71" s="9">
        <v>80000</v>
      </c>
      <c r="L71" s="14" t="str">
        <v>LR</v>
      </c>
      <c r="M71" s="14" t="str">
        <v>UQ0205</v>
      </c>
      <c r="N71" s="14" t="str">
        <v>박혜인</v>
      </c>
    </row>
    <row r="72" spans="1:14" x14ac:dyDescent="0.3">
      <c r="A72" s="15">
        <v>44642</v>
      </c>
      <c r="B72" s="14" t="str">
        <v>PN0032426</v>
      </c>
      <c r="C72" s="14" t="str">
        <v>오산역</v>
      </c>
      <c r="D72" s="16">
        <v>0.54305555555555551</v>
      </c>
      <c r="E72" s="14" t="str">
        <v>OXFAM</v>
      </c>
      <c r="F72" s="14">
        <v>54</v>
      </c>
      <c r="G72" s="14" t="str">
        <v>정기후원</v>
      </c>
      <c r="H72" s="9">
        <v>20000</v>
      </c>
      <c r="I72" s="48" t="str">
        <v>출금완료</v>
      </c>
      <c r="J72" s="9">
        <v>20000</v>
      </c>
      <c r="K72" s="9">
        <v>80000</v>
      </c>
      <c r="L72" s="14" t="str">
        <v>LR</v>
      </c>
      <c r="M72" s="14" t="str">
        <v>UQ0205</v>
      </c>
      <c r="N72" s="14" t="str">
        <v>박혜인</v>
      </c>
    </row>
    <row r="73" spans="1:14" x14ac:dyDescent="0.3">
      <c r="A73" s="15">
        <v>44645</v>
      </c>
      <c r="B73" s="14" t="str">
        <v>PN0032523</v>
      </c>
      <c r="C73" s="14" t="str">
        <v>다이소마산합성점</v>
      </c>
      <c r="D73" s="16">
        <v>0.51527777777777783</v>
      </c>
      <c r="E73" s="14" t="str">
        <v>OXFAM</v>
      </c>
      <c r="F73" s="14">
        <v>26</v>
      </c>
      <c r="G73" s="14" t="str">
        <v>정기후원</v>
      </c>
      <c r="H73" s="9">
        <v>20000</v>
      </c>
      <c r="I73" s="48" t="str">
        <v>진행중</v>
      </c>
      <c r="J73" s="9">
        <v>20000</v>
      </c>
      <c r="K73" s="9">
        <v>80000</v>
      </c>
      <c r="L73" s="14" t="str">
        <v>LR</v>
      </c>
      <c r="M73" s="14" t="str">
        <v>UQ0205</v>
      </c>
      <c r="N73" s="14" t="str">
        <v>박혜인</v>
      </c>
    </row>
    <row r="74" spans="1:14" x14ac:dyDescent="0.3">
      <c r="A74" s="15">
        <v>44581</v>
      </c>
      <c r="B74" s="14" t="str">
        <v>PN0032651</v>
      </c>
      <c r="C74" s="14" t="str">
        <v>진주시외버스터미널</v>
      </c>
      <c r="D74" s="16">
        <v>0.65763888888888888</v>
      </c>
      <c r="E74" s="14" t="str">
        <v>OXFAM</v>
      </c>
      <c r="F74" s="14">
        <v>27</v>
      </c>
      <c r="G74" s="14" t="str">
        <v>정보오류</v>
      </c>
      <c r="H74" s="9">
        <v>30000</v>
      </c>
      <c r="I74" s="48" t="str">
        <v>취소</v>
      </c>
      <c r="J74" s="9">
        <v>30000</v>
      </c>
      <c r="K74" s="9">
        <v>90000</v>
      </c>
      <c r="L74" s="14" t="str">
        <v>FR</v>
      </c>
      <c r="M74" s="14" t="str">
        <v>UQ0206</v>
      </c>
      <c r="N74" s="14" t="str">
        <v>김경민</v>
      </c>
    </row>
    <row r="75" spans="1:14" x14ac:dyDescent="0.3">
      <c r="A75" s="15">
        <v>44585</v>
      </c>
      <c r="B75" s="14" t="str">
        <v>PN0030899</v>
      </c>
      <c r="C75" s="14" t="str">
        <v>구포역</v>
      </c>
      <c r="D75" s="16">
        <v>0.59583333333333333</v>
      </c>
      <c r="E75" s="14" t="str">
        <v>OXFAM</v>
      </c>
      <c r="F75" s="14">
        <v>42</v>
      </c>
      <c r="G75" s="14" t="str">
        <v>정보오류</v>
      </c>
      <c r="H75" s="9">
        <v>50000</v>
      </c>
      <c r="I75" s="48" t="str">
        <v>취소</v>
      </c>
      <c r="J75" s="9">
        <v>50000</v>
      </c>
      <c r="K75" s="9">
        <v>150000</v>
      </c>
      <c r="L75" s="14" t="str">
        <v>FR</v>
      </c>
      <c r="M75" s="14" t="str">
        <v>UQ0206</v>
      </c>
      <c r="N75" s="14" t="str">
        <v>김경민</v>
      </c>
    </row>
    <row r="76" spans="1:14" x14ac:dyDescent="0.3">
      <c r="A76" s="15">
        <v>44590</v>
      </c>
      <c r="B76" s="14" t="str">
        <v>PN0032649</v>
      </c>
      <c r="C76" s="14" t="str">
        <v>울산시외버스터미널</v>
      </c>
      <c r="D76" s="16">
        <v>0.78055555555555556</v>
      </c>
      <c r="E76" s="14" t="str">
        <v>OXFAM</v>
      </c>
      <c r="F76" s="14">
        <v>27</v>
      </c>
      <c r="G76" s="14" t="str">
        <v>정기후원</v>
      </c>
      <c r="H76" s="9">
        <v>20000</v>
      </c>
      <c r="I76" s="48" t="str">
        <v>출금완료</v>
      </c>
      <c r="J76" s="9">
        <v>20000</v>
      </c>
      <c r="K76" s="9">
        <v>60000</v>
      </c>
      <c r="L76" s="14" t="str">
        <v>FR</v>
      </c>
      <c r="M76" s="14" t="str">
        <v>UQ0206</v>
      </c>
      <c r="N76" s="14" t="str">
        <v>김경민</v>
      </c>
    </row>
    <row r="77" spans="1:14" x14ac:dyDescent="0.3">
      <c r="A77" s="15">
        <v>44600</v>
      </c>
      <c r="B77" s="14" t="str">
        <v>PN0030850</v>
      </c>
      <c r="C77" s="14" t="str">
        <v>괴정역</v>
      </c>
      <c r="D77" s="16">
        <v>0.56388888888888888</v>
      </c>
      <c r="E77" s="14" t="str">
        <v>OXFAM</v>
      </c>
      <c r="F77" s="14">
        <v>28</v>
      </c>
      <c r="G77" s="14" t="str">
        <v>정기후원</v>
      </c>
      <c r="H77" s="9">
        <v>20000</v>
      </c>
      <c r="I77" s="48" t="str">
        <v>출금완료</v>
      </c>
      <c r="J77" s="9">
        <v>20000</v>
      </c>
      <c r="K77" s="9">
        <v>80000</v>
      </c>
      <c r="L77" s="14" t="str">
        <v>LR</v>
      </c>
      <c r="M77" s="14" t="str">
        <v>UQ0206</v>
      </c>
      <c r="N77" s="14" t="str">
        <v>김경민</v>
      </c>
    </row>
    <row r="78" spans="1:14" x14ac:dyDescent="0.3">
      <c r="A78" s="15">
        <v>44609</v>
      </c>
      <c r="B78" s="14" t="str">
        <v>PN0032665</v>
      </c>
      <c r="C78" s="14" t="str">
        <v>다이소경산사동점</v>
      </c>
      <c r="D78" s="16">
        <v>0.52430555555555558</v>
      </c>
      <c r="E78" s="14" t="str">
        <v>OXFAM</v>
      </c>
      <c r="F78" s="14">
        <v>27</v>
      </c>
      <c r="G78" s="14" t="str">
        <v>금액미만</v>
      </c>
      <c r="H78" s="9">
        <v>10000</v>
      </c>
      <c r="I78" s="48" t="str">
        <v>금액미만</v>
      </c>
      <c r="J78" s="9">
        <v>10000</v>
      </c>
      <c r="K78" s="9">
        <v>40000</v>
      </c>
      <c r="L78" s="14" t="str">
        <v>LR</v>
      </c>
      <c r="M78" s="14" t="str">
        <v>UQ0206</v>
      </c>
      <c r="N78" s="14" t="str">
        <v>김경민</v>
      </c>
    </row>
    <row r="79" spans="1:14" x14ac:dyDescent="0.3">
      <c r="A79" s="15">
        <v>44622</v>
      </c>
      <c r="B79" s="14" t="str">
        <v>PN0032560</v>
      </c>
      <c r="C79" s="14" t="str">
        <v>다이소남부시장</v>
      </c>
      <c r="D79" s="16">
        <v>0.54722222222222217</v>
      </c>
      <c r="E79" s="14" t="str">
        <v>OXFAM</v>
      </c>
      <c r="F79" s="14">
        <v>35</v>
      </c>
      <c r="G79" s="14" t="str">
        <v>정기후원</v>
      </c>
      <c r="H79" s="9">
        <v>30000</v>
      </c>
      <c r="I79" s="48" t="str">
        <v>출금완료</v>
      </c>
      <c r="J79" s="9">
        <v>30000</v>
      </c>
      <c r="K79" s="9">
        <v>120000</v>
      </c>
      <c r="L79" s="14" t="str">
        <v>LR</v>
      </c>
      <c r="M79" s="14" t="str">
        <v>UQ0206</v>
      </c>
      <c r="N79" s="14" t="str">
        <v>김경민</v>
      </c>
    </row>
    <row r="80" spans="1:14" x14ac:dyDescent="0.3">
      <c r="A80" s="15">
        <v>44623</v>
      </c>
      <c r="B80" s="14" t="str">
        <v>PN0032561</v>
      </c>
      <c r="C80" s="14" t="str">
        <v>하나로마트사직점</v>
      </c>
      <c r="D80" s="16">
        <v>0.64027777777777783</v>
      </c>
      <c r="E80" s="14" t="str">
        <v>OXFAM</v>
      </c>
      <c r="F80" s="14">
        <v>29</v>
      </c>
      <c r="G80" s="14" t="str">
        <v>정기후원</v>
      </c>
      <c r="H80" s="9">
        <v>30000</v>
      </c>
      <c r="I80" s="48" t="str">
        <v>출금완료</v>
      </c>
      <c r="J80" s="9">
        <v>30000</v>
      </c>
      <c r="K80" s="9">
        <v>120000</v>
      </c>
      <c r="L80" s="14" t="str">
        <v>LR</v>
      </c>
      <c r="M80" s="14" t="str">
        <v>UQ0206</v>
      </c>
      <c r="N80" s="14" t="str">
        <v>김경민</v>
      </c>
    </row>
    <row r="81" spans="1:14" x14ac:dyDescent="0.3">
      <c r="A81" s="15">
        <v>44623</v>
      </c>
      <c r="B81" s="14" t="str">
        <v>PN0032488</v>
      </c>
      <c r="C81" s="14" t="str">
        <v>하나로마트사직점</v>
      </c>
      <c r="D81" s="16">
        <v>0.65763888888888888</v>
      </c>
      <c r="E81" s="14" t="str">
        <v>OXFAM</v>
      </c>
      <c r="F81" s="14">
        <v>26</v>
      </c>
      <c r="G81" s="14" t="str">
        <v>정기후원</v>
      </c>
      <c r="H81" s="9">
        <v>20000</v>
      </c>
      <c r="I81" s="48" t="str">
        <v>출금완료</v>
      </c>
      <c r="J81" s="9">
        <v>20000</v>
      </c>
      <c r="K81" s="9">
        <v>80000</v>
      </c>
      <c r="L81" s="14" t="str">
        <v>LR</v>
      </c>
      <c r="M81" s="14" t="str">
        <v>UQ0206</v>
      </c>
      <c r="N81" s="14" t="str">
        <v>김경민</v>
      </c>
    </row>
    <row r="82" spans="1:14" x14ac:dyDescent="0.3">
      <c r="A82" s="15">
        <v>44631</v>
      </c>
      <c r="B82" s="14" t="str">
        <v>PN0032495</v>
      </c>
      <c r="C82" s="14" t="str">
        <v>통영이마트</v>
      </c>
      <c r="D82" s="16">
        <v>0.61944444444444446</v>
      </c>
      <c r="E82" s="14" t="str">
        <v>OXFAM</v>
      </c>
      <c r="F82" s="14">
        <v>55</v>
      </c>
      <c r="G82" s="14" t="str">
        <v>취소</v>
      </c>
      <c r="H82" s="9">
        <v>30000</v>
      </c>
      <c r="I82" s="48" t="str">
        <v>취소</v>
      </c>
      <c r="J82" s="9">
        <v>30000</v>
      </c>
      <c r="K82" s="9">
        <v>120000</v>
      </c>
      <c r="L82" s="14" t="str">
        <v>LR</v>
      </c>
      <c r="M82" s="14" t="str">
        <v>UQ0206</v>
      </c>
      <c r="N82" s="14" t="str">
        <v>김경민</v>
      </c>
    </row>
    <row r="83" spans="1:14" x14ac:dyDescent="0.3">
      <c r="A83" s="15">
        <v>44632</v>
      </c>
      <c r="B83" s="14" t="str">
        <v>PN0032461</v>
      </c>
      <c r="C83" s="14" t="str">
        <v>울산시외버스터미널</v>
      </c>
      <c r="D83" s="16">
        <v>0.72361111111111109</v>
      </c>
      <c r="E83" s="14" t="str">
        <v>OXFAM</v>
      </c>
      <c r="F83" s="14">
        <v>31</v>
      </c>
      <c r="G83" s="14" t="str">
        <v>정기후원</v>
      </c>
      <c r="H83" s="9">
        <v>20000</v>
      </c>
      <c r="I83" s="48" t="str">
        <v>진행중</v>
      </c>
      <c r="J83" s="9">
        <v>20000</v>
      </c>
      <c r="K83" s="9">
        <v>80000</v>
      </c>
      <c r="L83" s="14" t="str">
        <v>LR</v>
      </c>
      <c r="M83" s="14" t="str">
        <v>UQ0206</v>
      </c>
      <c r="N83" s="14" t="str">
        <v>김경민</v>
      </c>
    </row>
    <row r="84" spans="1:14" x14ac:dyDescent="0.3">
      <c r="A84" s="15">
        <v>44632</v>
      </c>
      <c r="B84" s="14" t="str">
        <v>PN0032462</v>
      </c>
      <c r="C84" s="14" t="str">
        <v>울산시외버스터미널</v>
      </c>
      <c r="D84" s="16">
        <v>0.7631944444444444</v>
      </c>
      <c r="E84" s="14" t="str">
        <v>OXFAM</v>
      </c>
      <c r="F84" s="14">
        <v>27</v>
      </c>
      <c r="G84" s="14" t="str">
        <v>정기후원</v>
      </c>
      <c r="H84" s="9">
        <v>30000</v>
      </c>
      <c r="I84" s="48" t="str">
        <v>출금완료</v>
      </c>
      <c r="J84" s="9">
        <v>30000</v>
      </c>
      <c r="K84" s="9">
        <v>120000</v>
      </c>
      <c r="L84" s="14" t="str">
        <v>LR</v>
      </c>
      <c r="M84" s="14" t="str">
        <v>UQ0206</v>
      </c>
      <c r="N84" s="14" t="str">
        <v>김경민</v>
      </c>
    </row>
    <row r="85" spans="1:14" x14ac:dyDescent="0.3">
      <c r="A85" s="15">
        <v>44636</v>
      </c>
      <c r="B85" s="14" t="str">
        <v>PN0032496</v>
      </c>
      <c r="C85" s="14" t="str">
        <v>울산시외버스터미널</v>
      </c>
      <c r="D85" s="16">
        <v>0.68263888888888891</v>
      </c>
      <c r="E85" s="14" t="str">
        <v>OXFAM</v>
      </c>
      <c r="F85" s="14">
        <v>48</v>
      </c>
      <c r="G85" s="14" t="str">
        <v>정기후원</v>
      </c>
      <c r="H85" s="9">
        <v>100000</v>
      </c>
      <c r="I85" s="48" t="str">
        <v>진행중</v>
      </c>
      <c r="J85" s="9">
        <v>100000</v>
      </c>
      <c r="K85" s="9">
        <v>400000</v>
      </c>
      <c r="L85" s="14" t="str">
        <v>LR</v>
      </c>
      <c r="M85" s="14" t="str">
        <v>UQ0206</v>
      </c>
      <c r="N85" s="14" t="str">
        <v>김경민</v>
      </c>
    </row>
    <row r="86" spans="1:14" x14ac:dyDescent="0.3">
      <c r="A86" s="15">
        <v>44637</v>
      </c>
      <c r="B86" s="14" t="str">
        <v>PN0032497</v>
      </c>
      <c r="C86" s="14" t="str">
        <v>다이소진해용원</v>
      </c>
      <c r="D86" s="16">
        <v>0.57986111111111105</v>
      </c>
      <c r="E86" s="14" t="str">
        <v>OXFAM</v>
      </c>
      <c r="F86" s="14">
        <v>27</v>
      </c>
      <c r="G86" s="14" t="str">
        <v>정기후원</v>
      </c>
      <c r="H86" s="9">
        <v>20000</v>
      </c>
      <c r="I86" s="48" t="str">
        <v>출금완료</v>
      </c>
      <c r="J86" s="9">
        <v>20000</v>
      </c>
      <c r="K86" s="9">
        <v>80000</v>
      </c>
      <c r="L86" s="14" t="str">
        <v>LR</v>
      </c>
      <c r="M86" s="14" t="str">
        <v>UQ0206</v>
      </c>
      <c r="N86" s="14" t="str">
        <v>김경민</v>
      </c>
    </row>
    <row r="87" spans="1:14" x14ac:dyDescent="0.3">
      <c r="A87" s="15">
        <v>44640</v>
      </c>
      <c r="B87" s="14" t="str">
        <v>PN0032490</v>
      </c>
      <c r="C87" s="14" t="str">
        <v>울산시외버스터미널</v>
      </c>
      <c r="D87" s="16">
        <v>0.6020833333333333</v>
      </c>
      <c r="E87" s="14" t="str">
        <v>OXFAM</v>
      </c>
      <c r="F87" s="14">
        <v>27</v>
      </c>
      <c r="G87" s="14" t="str">
        <v>정기후원</v>
      </c>
      <c r="H87" s="9">
        <v>30000</v>
      </c>
      <c r="I87" s="48" t="str">
        <v>진행중</v>
      </c>
      <c r="J87" s="9">
        <v>30000</v>
      </c>
      <c r="K87" s="9">
        <v>120000</v>
      </c>
      <c r="L87" s="14" t="str">
        <v>LR</v>
      </c>
      <c r="M87" s="14" t="str">
        <v>UQ0206</v>
      </c>
      <c r="N87" s="14" t="str">
        <v>김경민</v>
      </c>
    </row>
    <row r="88" spans="1:14" x14ac:dyDescent="0.3">
      <c r="A88" s="15">
        <v>44641</v>
      </c>
      <c r="B88" s="14" t="str">
        <v>PN0032464</v>
      </c>
      <c r="C88" s="14" t="str">
        <v>동매역</v>
      </c>
      <c r="D88" s="16">
        <v>0.63124999999999998</v>
      </c>
      <c r="E88" s="14" t="str">
        <v>OXFAM</v>
      </c>
      <c r="F88" s="14">
        <v>48</v>
      </c>
      <c r="G88" s="14" t="str">
        <v>정기후원</v>
      </c>
      <c r="H88" s="9">
        <v>30000</v>
      </c>
      <c r="I88" s="48" t="str">
        <v>일시후원</v>
      </c>
      <c r="J88" s="9">
        <v>30000</v>
      </c>
      <c r="K88" s="9">
        <v>120000</v>
      </c>
      <c r="L88" s="14" t="str">
        <v>LR</v>
      </c>
      <c r="M88" s="14" t="str">
        <v>UQ0206</v>
      </c>
      <c r="N88" s="14" t="str">
        <v>김경민</v>
      </c>
    </row>
    <row r="89" spans="1:14" x14ac:dyDescent="0.3">
      <c r="A89" s="15">
        <v>44646</v>
      </c>
      <c r="B89" s="14" t="str">
        <v>PN0032446</v>
      </c>
      <c r="C89" s="14" t="str">
        <v>울산시외버스터미널</v>
      </c>
      <c r="D89" s="16">
        <v>0.63750000000000007</v>
      </c>
      <c r="E89" s="14" t="str">
        <v>OXFAM</v>
      </c>
      <c r="F89" s="14">
        <v>29</v>
      </c>
      <c r="G89" s="14" t="str">
        <v>정기후원</v>
      </c>
      <c r="H89" s="9">
        <v>20000</v>
      </c>
      <c r="I89" s="48" t="str">
        <v>진행중</v>
      </c>
      <c r="J89" s="9">
        <v>20000</v>
      </c>
      <c r="K89" s="9">
        <v>80000</v>
      </c>
      <c r="L89" s="14" t="str">
        <v>LR</v>
      </c>
      <c r="M89" s="14" t="str">
        <v>UQ0206</v>
      </c>
      <c r="N89" s="14" t="str">
        <v>김경민</v>
      </c>
    </row>
    <row r="90" spans="1:14" x14ac:dyDescent="0.3">
      <c r="A90" s="15">
        <v>44648</v>
      </c>
      <c r="B90" s="14" t="str">
        <v>PN0032499</v>
      </c>
      <c r="C90" s="14" t="str">
        <v>파리바게뜨덕계점</v>
      </c>
      <c r="D90" s="16">
        <v>0.67847222222222225</v>
      </c>
      <c r="E90" s="14" t="str">
        <v>OXFAM</v>
      </c>
      <c r="F90" s="14">
        <v>56</v>
      </c>
      <c r="G90" s="14" t="str">
        <v>정기후원</v>
      </c>
      <c r="H90" s="9">
        <v>30000</v>
      </c>
      <c r="I90" s="48" t="str">
        <v>진행중</v>
      </c>
      <c r="J90" s="9">
        <v>30000</v>
      </c>
      <c r="K90" s="9">
        <v>120000</v>
      </c>
      <c r="L90" s="14" t="str">
        <v>LR</v>
      </c>
      <c r="M90" s="14" t="str">
        <v>UQ0206</v>
      </c>
      <c r="N90" s="14" t="str">
        <v>김경민</v>
      </c>
    </row>
    <row r="91" spans="1:14" x14ac:dyDescent="0.3">
      <c r="A91" s="15">
        <v>44648</v>
      </c>
      <c r="B91" s="14" t="str">
        <v>PN0032471</v>
      </c>
      <c r="C91" s="14" t="str">
        <v>파리바게뜨덕계점</v>
      </c>
      <c r="D91" s="16">
        <v>0.75208333333333333</v>
      </c>
      <c r="E91" s="14" t="str">
        <v>OXFAM</v>
      </c>
      <c r="F91" s="14">
        <v>62</v>
      </c>
      <c r="G91" s="14" t="str">
        <v>정기후원</v>
      </c>
      <c r="H91" s="9">
        <v>30000</v>
      </c>
      <c r="I91" s="48" t="str">
        <v>진행중</v>
      </c>
      <c r="J91" s="9">
        <v>30000</v>
      </c>
      <c r="K91" s="9">
        <v>120000</v>
      </c>
      <c r="L91" s="14" t="str">
        <v>LR</v>
      </c>
      <c r="M91" s="14" t="str">
        <v>UQ0206</v>
      </c>
      <c r="N91" s="14" t="str">
        <v>김경민</v>
      </c>
    </row>
    <row r="92" spans="1:14" x14ac:dyDescent="0.3">
      <c r="A92" s="15">
        <v>44648</v>
      </c>
      <c r="B92" s="14" t="str">
        <v>PN0032473</v>
      </c>
      <c r="C92" s="14" t="str">
        <v>파리바게뜨덕계점</v>
      </c>
      <c r="D92" s="16">
        <v>0.79375000000000007</v>
      </c>
      <c r="E92" s="14" t="str">
        <v>OXFAM</v>
      </c>
      <c r="F92" s="14">
        <v>30</v>
      </c>
      <c r="G92" s="14" t="str">
        <v>정기후원</v>
      </c>
      <c r="H92" s="9">
        <v>20000</v>
      </c>
      <c r="I92" s="48" t="str">
        <v>진행중</v>
      </c>
      <c r="J92" s="9">
        <v>20000</v>
      </c>
      <c r="K92" s="9">
        <v>80000</v>
      </c>
      <c r="L92" s="14" t="str">
        <v>LR</v>
      </c>
      <c r="M92" s="14" t="str">
        <v>UQ0206</v>
      </c>
      <c r="N92" s="14" t="str">
        <v>김경민</v>
      </c>
    </row>
    <row r="93" spans="1:14" x14ac:dyDescent="0.3">
      <c r="A93" s="15">
        <v>44650</v>
      </c>
      <c r="B93" s="14" t="str">
        <v>PN0032472</v>
      </c>
      <c r="C93" s="14" t="str">
        <v>다이소외동점</v>
      </c>
      <c r="D93" s="16">
        <v>0.59652777777777777</v>
      </c>
      <c r="E93" s="14" t="str">
        <v>OXFAM</v>
      </c>
      <c r="F93" s="14">
        <v>67</v>
      </c>
      <c r="G93" s="14" t="str">
        <v>정기후원</v>
      </c>
      <c r="H93" s="9">
        <v>20000</v>
      </c>
      <c r="I93" s="48" t="str">
        <v>진행중</v>
      </c>
      <c r="J93" s="9">
        <v>20000</v>
      </c>
      <c r="K93" s="9">
        <v>80000</v>
      </c>
      <c r="L93" s="14" t="str">
        <v>LR</v>
      </c>
      <c r="M93" s="14" t="str">
        <v>UQ0206</v>
      </c>
      <c r="N93" s="14" t="str">
        <v>김경민</v>
      </c>
    </row>
    <row r="94" spans="1:14" x14ac:dyDescent="0.3">
      <c r="A94" s="15">
        <v>44650</v>
      </c>
      <c r="B94" s="14" t="str">
        <v>PN0032581</v>
      </c>
      <c r="C94" s="14" t="str">
        <v>다이소외동점</v>
      </c>
      <c r="D94" s="16">
        <v>0.67291666666666661</v>
      </c>
      <c r="E94" s="14" t="str">
        <v>OXFAM</v>
      </c>
      <c r="F94" s="14">
        <v>25</v>
      </c>
      <c r="G94" s="14" t="str">
        <v>정기후원</v>
      </c>
      <c r="H94" s="9">
        <v>20000</v>
      </c>
      <c r="I94" s="48" t="str">
        <v>진행중</v>
      </c>
      <c r="J94" s="9">
        <v>20000</v>
      </c>
      <c r="K94" s="9">
        <v>80000</v>
      </c>
      <c r="L94" s="14" t="str">
        <v>LR</v>
      </c>
      <c r="M94" s="14" t="str">
        <v>UQ0206</v>
      </c>
      <c r="N94" s="14" t="str">
        <v>김경민</v>
      </c>
    </row>
  </sheetData>
  <mergeCells count="9">
    <mergeCell ref="M6:N6"/>
    <mergeCell ref="M7:N7"/>
    <mergeCell ref="G2:I2"/>
    <mergeCell ref="G8:I8"/>
    <mergeCell ref="A1:N1"/>
    <mergeCell ref="M2:N2"/>
    <mergeCell ref="M3:N3"/>
    <mergeCell ref="M4:N4"/>
    <mergeCell ref="M5:N5"/>
  </mergeCells>
  <phoneticPr fontId="1" type="noConversion"/>
  <conditionalFormatting sqref="G8:I8">
    <cfRule type="expression" dxfId="16" priority="14">
      <formula>G8&lt;&gt;""</formula>
    </cfRule>
  </conditionalFormatting>
  <conditionalFormatting sqref="G2:I2">
    <cfRule type="expression" dxfId="15" priority="13">
      <formula>G2&lt;&gt;""</formula>
    </cfRule>
  </conditionalFormatting>
  <conditionalFormatting sqref="A11:N2537">
    <cfRule type="expression" dxfId="14" priority="11">
      <formula>$M11&lt;&gt;$M12</formula>
    </cfRule>
    <cfRule type="expression" dxfId="13" priority="12">
      <formula>$A11&lt;&gt;$A12</formula>
    </cfRule>
  </conditionalFormatting>
  <conditionalFormatting sqref="A11:N2000">
    <cfRule type="expression" dxfId="12" priority="1">
      <formula>$I11="진행중"</formula>
    </cfRule>
    <cfRule type="expression" dxfId="11" priority="2">
      <formula>$I11="보류"</formula>
    </cfRule>
    <cfRule type="expression" dxfId="10" priority="3">
      <formula>$I11="금액미만"</formula>
    </cfRule>
    <cfRule type="expression" dxfId="9" priority="4">
      <formula>$I11="나이미만"</formula>
    </cfRule>
    <cfRule type="expression" dxfId="8" priority="5">
      <formula>$I11="정보오류"</formula>
    </cfRule>
    <cfRule type="expression" dxfId="7" priority="6">
      <formula>$I11="일시후원"</formula>
    </cfRule>
    <cfRule type="expression" dxfId="6" priority="7">
      <formula>$I11="기간한정"</formula>
    </cfRule>
    <cfRule type="expression" dxfId="5" priority="8">
      <formula>$I11="취소"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&amp;L&amp;G</oddHeader>
    <oddFooter>&amp;C&amp;P/&amp;N&amp;R&amp;G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952E2-7E38-48A4-8860-20C4BBB9E8DB}">
  <sheetPr codeName="Sheet10"/>
  <dimension ref="A1:K267"/>
  <sheetViews>
    <sheetView workbookViewId="0">
      <selection activeCell="F1" sqref="F1"/>
    </sheetView>
  </sheetViews>
  <sheetFormatPr defaultRowHeight="16.5" x14ac:dyDescent="0.3"/>
  <cols>
    <col min="4" max="4" width="6.75" style="59" customWidth="1"/>
    <col min="5" max="5" width="14.125" style="61" bestFit="1" customWidth="1"/>
    <col min="6" max="6" width="15.625" style="54" bestFit="1" customWidth="1"/>
    <col min="7" max="7" width="6.75" style="55" bestFit="1" customWidth="1"/>
    <col min="8" max="8" width="15.5" style="56" bestFit="1" customWidth="1"/>
    <col min="9" max="9" width="10.125" style="56" bestFit="1" customWidth="1"/>
    <col min="10" max="10" width="15.625" style="57" bestFit="1" customWidth="1"/>
    <col min="11" max="11" width="12.25" style="57" bestFit="1" customWidth="1"/>
    <col min="12" max="16384" width="9" style="58"/>
  </cols>
  <sheetData>
    <row r="1" spans="1:11" customFormat="1" x14ac:dyDescent="0.3">
      <c r="D1" s="40"/>
      <c r="E1" s="40" t="str">
        <f>""</f>
        <v/>
      </c>
      <c r="F1" s="32">
        <f>SUM(F2:F10000)</f>
        <v>90280900</v>
      </c>
      <c r="G1" t="b">
        <f>F1=종합!N4</f>
        <v>1</v>
      </c>
      <c r="J1" s="32">
        <f>SUM(J2:J10000)</f>
        <v>93361750</v>
      </c>
      <c r="K1" t="b">
        <f>J1=종합!L4</f>
        <v>1</v>
      </c>
    </row>
    <row r="2" spans="1:11" customFormat="1" x14ac:dyDescent="0.3">
      <c r="A2" t="str" cm="1">
        <f t="array" ref="A2:B52">_xlfn._xlws.FILTER(종합!A5:B1000,종합!A5:A1000&lt;&gt;"")</f>
        <v>AM0001</v>
      </c>
      <c r="B2" t="str">
        <v>조성재</v>
      </c>
      <c r="D2" s="59" t="str" cm="1">
        <f t="array" ref="D2:D52">_xlfn.XLOOKUP(_xlfn._xlws.FILTER(A2:A1000,A2:A1000&lt;&gt;""),members!A:A,members!D:D,"NoData")</f>
        <v>004</v>
      </c>
      <c r="E2" s="60" t="str" cm="1">
        <f t="array" ref="E2:E52">_xlfn.XLOOKUP(_xlfn._xlws.FILTER(A2:A1000,A2:A1000&lt;&gt;""),members!A:A,members!F:F,"NoData")</f>
        <v>38470104306124</v>
      </c>
      <c r="F2" s="20">
        <f>IF(A2="","",J2-ROUNDDOWN(J2*3%,-1)-ROUNDDOWN(J2*0.3%,-1))</f>
        <v>4646440</v>
      </c>
      <c r="G2" s="21" t="str" cm="1">
        <f t="array" ref="G2:G52">_xlfn.XLOOKUP(_xlfn._xlws.FILTER(A2:A1000,A2:A1000&lt;&gt;""),members!A:A,members!G:G,"NoData")</f>
        <v>조성재</v>
      </c>
      <c r="H2" s="22" t="str" cm="1">
        <f t="array" ref="H2:H52">IF(_xlfn._xlws.FILTER(A2:A1000,A2:A1000&lt;&gt;"")="","","㈜프로젝트엔급여")</f>
        <v>㈜프로젝트엔급여</v>
      </c>
      <c r="I2" s="22" t="str" cm="1">
        <f t="array" ref="I2:I52">IF(_xlfn._xlws.FILTER(A2:A1000,A2:A1000&lt;&gt;"")="","","업무커미션")</f>
        <v>업무커미션</v>
      </c>
      <c r="J2" s="23" cm="1">
        <f t="array" ref="J2:J52">_xlfn.XLOOKUP(_xlfn._xlws.FILTER(A2:A1000,A2:A1000&lt;&gt;""),종합!A:A,종합!L:L)</f>
        <v>4805000</v>
      </c>
      <c r="K2" s="24" t="str" cm="1">
        <f t="array" ref="K2:K52">_xlfn.XLOOKUP(_xlfn._xlws.FILTER(A2:A1000,A2:A1000&lt;&gt;""),members!A:A,members!B:B,"NoData")</f>
        <v>900717-1351628</v>
      </c>
    </row>
    <row r="3" spans="1:11" customFormat="1" x14ac:dyDescent="0.3">
      <c r="A3" t="str">
        <v>AM0002</v>
      </c>
      <c r="B3" t="str">
        <v>정재영</v>
      </c>
      <c r="D3" s="59" t="str">
        <v>004</v>
      </c>
      <c r="E3" s="60" t="str">
        <v>07980204172785</v>
      </c>
      <c r="F3" s="20">
        <f t="shared" ref="F3:F66" si="0">IF(A3="","",J3-ROUNDDOWN(J3*3%,-1)-ROUNDDOWN(J3*0.3%,-1))</f>
        <v>130550</v>
      </c>
      <c r="G3" s="21" t="str">
        <v>정재영</v>
      </c>
      <c r="H3" s="22" t="str">
        <v>㈜프로젝트엔급여</v>
      </c>
      <c r="I3" s="22" t="str">
        <v>업무커미션</v>
      </c>
      <c r="J3" s="23">
        <v>135000</v>
      </c>
      <c r="K3" s="24" t="str">
        <v>880716-1113713</v>
      </c>
    </row>
    <row r="4" spans="1:11" customFormat="1" x14ac:dyDescent="0.3">
      <c r="A4" t="str">
        <v>AM0048</v>
      </c>
      <c r="B4" t="str">
        <v>은혜리</v>
      </c>
      <c r="D4" s="59" t="str">
        <v>004</v>
      </c>
      <c r="E4" s="60" t="str">
        <v>61630104204857</v>
      </c>
      <c r="F4" s="20">
        <f t="shared" si="0"/>
        <v>2363350</v>
      </c>
      <c r="G4" s="21" t="str">
        <v>은혜리</v>
      </c>
      <c r="H4" s="22" t="str">
        <v>㈜프로젝트엔급여</v>
      </c>
      <c r="I4" s="22" t="str">
        <v>업무커미션</v>
      </c>
      <c r="J4" s="23">
        <v>2444000</v>
      </c>
      <c r="K4" s="24" t="str">
        <v>970304-2026113</v>
      </c>
    </row>
    <row r="5" spans="1:11" customFormat="1" x14ac:dyDescent="0.3">
      <c r="A5" t="str">
        <v>AM0121</v>
      </c>
      <c r="B5" t="str">
        <v>권은재</v>
      </c>
      <c r="D5" s="59" t="str">
        <v>004</v>
      </c>
      <c r="E5" s="60" t="str">
        <v>01250104301356</v>
      </c>
      <c r="F5" s="20">
        <f t="shared" si="0"/>
        <v>870300</v>
      </c>
      <c r="G5" s="21" t="str">
        <v>권은재</v>
      </c>
      <c r="H5" s="22" t="str">
        <v>㈜프로젝트엔급여</v>
      </c>
      <c r="I5" s="22" t="str">
        <v>업무커미션</v>
      </c>
      <c r="J5" s="23">
        <v>900000</v>
      </c>
      <c r="K5" s="24" t="str">
        <v>970808-2038011</v>
      </c>
    </row>
    <row r="6" spans="1:11" customFormat="1" x14ac:dyDescent="0.3">
      <c r="A6" t="str">
        <v>AM0126</v>
      </c>
      <c r="B6" t="str">
        <v>최준혁</v>
      </c>
      <c r="D6" s="59" t="str">
        <v>003</v>
      </c>
      <c r="E6" s="60" t="str">
        <v>09208960201018</v>
      </c>
      <c r="F6" s="20">
        <f t="shared" si="0"/>
        <v>2423070</v>
      </c>
      <c r="G6" s="21" t="str">
        <v>최준혁</v>
      </c>
      <c r="H6" s="22" t="str">
        <v>㈜프로젝트엔급여</v>
      </c>
      <c r="I6" s="22" t="str">
        <v>업무커미션</v>
      </c>
      <c r="J6" s="23">
        <v>2505750</v>
      </c>
      <c r="K6" s="24" t="str">
        <v>950418-1114911</v>
      </c>
    </row>
    <row r="7" spans="1:11" customFormat="1" x14ac:dyDescent="0.3">
      <c r="A7" t="str">
        <v>AM0140</v>
      </c>
      <c r="B7" t="str">
        <v>박혜성</v>
      </c>
      <c r="D7" s="59" t="str">
        <v>004</v>
      </c>
      <c r="E7" s="60" t="str">
        <v>43890201533685</v>
      </c>
      <c r="F7" s="20">
        <f t="shared" si="0"/>
        <v>1856640</v>
      </c>
      <c r="G7" s="21" t="str">
        <v>박혜성</v>
      </c>
      <c r="H7" s="22" t="str">
        <v>㈜프로젝트엔급여</v>
      </c>
      <c r="I7" s="22" t="str">
        <v>업무커미션</v>
      </c>
      <c r="J7" s="23">
        <v>1920000</v>
      </c>
      <c r="K7" s="24" t="str">
        <v>960125-1032616</v>
      </c>
    </row>
    <row r="8" spans="1:11" customFormat="1" x14ac:dyDescent="0.3">
      <c r="A8" t="str">
        <v>AM0141</v>
      </c>
      <c r="B8" t="str">
        <v>김규빈</v>
      </c>
      <c r="D8" s="59" t="str">
        <v>004</v>
      </c>
      <c r="E8" s="60" t="str">
        <v>85430100009032</v>
      </c>
      <c r="F8" s="20">
        <f t="shared" si="0"/>
        <v>425480</v>
      </c>
      <c r="G8" s="21" t="str">
        <v>김규빈</v>
      </c>
      <c r="H8" s="22" t="str">
        <v>㈜프로젝트엔급여</v>
      </c>
      <c r="I8" s="22" t="str">
        <v>업무커미션</v>
      </c>
      <c r="J8" s="23">
        <v>440000</v>
      </c>
      <c r="K8" s="24" t="str">
        <v>010801-4047015</v>
      </c>
    </row>
    <row r="9" spans="1:11" customFormat="1" x14ac:dyDescent="0.3">
      <c r="A9" t="str">
        <v>AM0142</v>
      </c>
      <c r="B9" t="str">
        <v>이원호</v>
      </c>
      <c r="D9" s="59" t="str">
        <v>020</v>
      </c>
      <c r="E9" s="60" t="str">
        <v>1002850130011</v>
      </c>
      <c r="F9" s="20">
        <f t="shared" si="0"/>
        <v>512510</v>
      </c>
      <c r="G9" s="21" t="str">
        <v>이원호</v>
      </c>
      <c r="H9" s="22" t="str">
        <v>㈜프로젝트엔급여</v>
      </c>
      <c r="I9" s="22" t="str">
        <v>업무커미션</v>
      </c>
      <c r="J9" s="23">
        <v>530000</v>
      </c>
      <c r="K9" s="24" t="str">
        <v>980815-1216215</v>
      </c>
    </row>
    <row r="10" spans="1:11" customFormat="1" x14ac:dyDescent="0.3">
      <c r="A10" t="str">
        <v>BW0001</v>
      </c>
      <c r="B10" t="str">
        <v>이영란</v>
      </c>
      <c r="D10" s="59" t="str">
        <v>004</v>
      </c>
      <c r="E10" s="60" t="str">
        <v>09050204066948</v>
      </c>
      <c r="F10" s="20">
        <f t="shared" si="0"/>
        <v>1276440</v>
      </c>
      <c r="G10" s="21" t="str">
        <v>이영란</v>
      </c>
      <c r="H10" s="22" t="str">
        <v>㈜프로젝트엔급여</v>
      </c>
      <c r="I10" s="22" t="str">
        <v>업무커미션</v>
      </c>
      <c r="J10" s="23">
        <v>1320000</v>
      </c>
      <c r="K10" s="24" t="str">
        <v>650608-2640012</v>
      </c>
    </row>
    <row r="11" spans="1:11" customFormat="1" x14ac:dyDescent="0.3">
      <c r="A11" t="str">
        <v>BW0002</v>
      </c>
      <c r="B11" t="str">
        <v>안희용</v>
      </c>
      <c r="D11" s="59" t="str">
        <v>004</v>
      </c>
      <c r="E11" s="60" t="str">
        <v>59220101667164</v>
      </c>
      <c r="F11" s="20">
        <f t="shared" si="0"/>
        <v>386800</v>
      </c>
      <c r="G11" s="21" t="str">
        <v>안희용</v>
      </c>
      <c r="H11" s="22" t="str">
        <v>㈜프로젝트엔급여</v>
      </c>
      <c r="I11" s="22" t="str">
        <v>업무커미션</v>
      </c>
      <c r="J11" s="23">
        <v>400000</v>
      </c>
      <c r="K11" s="24" t="str">
        <v>640125-1149618</v>
      </c>
    </row>
    <row r="12" spans="1:11" customFormat="1" x14ac:dyDescent="0.3">
      <c r="A12" t="str">
        <v>BW0003</v>
      </c>
      <c r="B12" t="str">
        <v>김선기</v>
      </c>
      <c r="D12" s="59" t="str">
        <v>004</v>
      </c>
      <c r="E12" s="60" t="str">
        <v>28240104089062</v>
      </c>
      <c r="F12" s="20">
        <f t="shared" si="0"/>
        <v>0</v>
      </c>
      <c r="G12" s="21" t="str">
        <v>김선기</v>
      </c>
      <c r="H12" s="22" t="str">
        <v>㈜프로젝트엔급여</v>
      </c>
      <c r="I12" s="22" t="str">
        <v>업무커미션</v>
      </c>
      <c r="J12" s="23">
        <v>0</v>
      </c>
      <c r="K12" s="24" t="str">
        <v>650707-1149621</v>
      </c>
    </row>
    <row r="13" spans="1:11" customFormat="1" x14ac:dyDescent="0.3">
      <c r="A13" t="str">
        <v>FS0001</v>
      </c>
      <c r="B13" t="str">
        <v>이준한</v>
      </c>
      <c r="D13" s="59" t="str">
        <v>023</v>
      </c>
      <c r="E13" s="60" t="str">
        <v>20620268037</v>
      </c>
      <c r="F13" s="20">
        <f t="shared" si="0"/>
        <v>5569920</v>
      </c>
      <c r="G13" s="21" t="str">
        <v>이준한</v>
      </c>
      <c r="H13" s="22" t="str">
        <v>㈜프로젝트엔급여</v>
      </c>
      <c r="I13" s="22" t="str">
        <v>업무커미션</v>
      </c>
      <c r="J13" s="23">
        <v>5760000</v>
      </c>
      <c r="K13" s="24" t="str">
        <v>680321-1802425</v>
      </c>
    </row>
    <row r="14" spans="1:11" customFormat="1" x14ac:dyDescent="0.3">
      <c r="A14" t="str">
        <v>FS0003</v>
      </c>
      <c r="B14" t="str">
        <v>김기수</v>
      </c>
      <c r="D14" s="59" t="str">
        <v>088</v>
      </c>
      <c r="E14" s="60" t="str">
        <v>110176285100</v>
      </c>
      <c r="F14" s="20">
        <f t="shared" si="0"/>
        <v>77360</v>
      </c>
      <c r="G14" s="21" t="str">
        <v>김기수</v>
      </c>
      <c r="H14" s="22" t="str">
        <v>㈜프로젝트엔급여</v>
      </c>
      <c r="I14" s="22" t="str">
        <v>업무커미션</v>
      </c>
      <c r="J14" s="23">
        <v>80000</v>
      </c>
      <c r="K14" s="24" t="str">
        <v>690328-1767918</v>
      </c>
    </row>
    <row r="15" spans="1:11" customFormat="1" x14ac:dyDescent="0.3">
      <c r="A15" t="str">
        <v>HA0001</v>
      </c>
      <c r="B15" t="str">
        <v>이유라</v>
      </c>
      <c r="D15" s="59" t="str">
        <v>004</v>
      </c>
      <c r="E15" s="60" t="str">
        <v>53330101163722</v>
      </c>
      <c r="F15" s="20">
        <f t="shared" si="0"/>
        <v>4804060</v>
      </c>
      <c r="G15" s="21" t="str">
        <v>이유라</v>
      </c>
      <c r="H15" s="22" t="str">
        <v>㈜프로젝트엔급여</v>
      </c>
      <c r="I15" s="22" t="str">
        <v>업무커미션</v>
      </c>
      <c r="J15" s="23">
        <v>4968000</v>
      </c>
      <c r="K15" s="24" t="str">
        <v>910808-2157831</v>
      </c>
    </row>
    <row r="16" spans="1:11" customFormat="1" x14ac:dyDescent="0.3">
      <c r="A16" t="str">
        <v>HA0020</v>
      </c>
      <c r="B16" t="str">
        <v>최양수</v>
      </c>
      <c r="D16" s="59" t="str">
        <v>004</v>
      </c>
      <c r="E16" s="60" t="str">
        <v>51130101410279</v>
      </c>
      <c r="F16" s="20">
        <f t="shared" si="0"/>
        <v>3324550</v>
      </c>
      <c r="G16" s="21" t="str">
        <v>최양수</v>
      </c>
      <c r="H16" s="22" t="str">
        <v>㈜프로젝트엔급여</v>
      </c>
      <c r="I16" s="22" t="str">
        <v>업무커미션</v>
      </c>
      <c r="J16" s="23">
        <v>3438000</v>
      </c>
      <c r="K16" s="24" t="str">
        <v>870822-1037918</v>
      </c>
    </row>
    <row r="17" spans="1:11" customFormat="1" x14ac:dyDescent="0.3">
      <c r="A17" t="str">
        <v>HA0033</v>
      </c>
      <c r="B17" t="str">
        <v>김협</v>
      </c>
      <c r="D17" s="59" t="str">
        <v>004</v>
      </c>
      <c r="E17" s="60" t="str">
        <v>94290200084892</v>
      </c>
      <c r="F17" s="20">
        <f t="shared" si="0"/>
        <v>2939680</v>
      </c>
      <c r="G17" s="21" t="str">
        <v>김협</v>
      </c>
      <c r="H17" s="22" t="str">
        <v>㈜프로젝트엔급여</v>
      </c>
      <c r="I17" s="22" t="str">
        <v>업무커미션</v>
      </c>
      <c r="J17" s="23">
        <v>3040000</v>
      </c>
      <c r="K17" s="24" t="str">
        <v>970205-1209919</v>
      </c>
    </row>
    <row r="18" spans="1:11" customFormat="1" x14ac:dyDescent="0.3">
      <c r="A18" t="str">
        <v>HA0034</v>
      </c>
      <c r="B18" t="str">
        <v>이유림</v>
      </c>
      <c r="D18" s="59" t="str">
        <v>004</v>
      </c>
      <c r="E18" s="60" t="str">
        <v>87960201215034</v>
      </c>
      <c r="F18" s="20">
        <f t="shared" si="0"/>
        <v>1460170</v>
      </c>
      <c r="G18" s="21" t="str">
        <v>이유림</v>
      </c>
      <c r="H18" s="22" t="str">
        <v>㈜프로젝트엔급여</v>
      </c>
      <c r="I18" s="22" t="str">
        <v>업무커미션</v>
      </c>
      <c r="J18" s="23">
        <v>1510000</v>
      </c>
      <c r="K18" s="24" t="str">
        <v>980201-2927214</v>
      </c>
    </row>
    <row r="19" spans="1:11" customFormat="1" x14ac:dyDescent="0.3">
      <c r="A19" t="str">
        <v>HA0035</v>
      </c>
      <c r="B19" t="str">
        <v>천주영</v>
      </c>
      <c r="D19" s="59" t="str">
        <v>004</v>
      </c>
      <c r="E19" s="60" t="str">
        <v>02510204228896</v>
      </c>
      <c r="F19" s="20">
        <f t="shared" si="0"/>
        <v>193400</v>
      </c>
      <c r="G19" s="21" t="str">
        <v>천주영</v>
      </c>
      <c r="H19" s="22" t="str">
        <v>㈜프로젝트엔급여</v>
      </c>
      <c r="I19" s="22" t="str">
        <v>업무커미션</v>
      </c>
      <c r="J19" s="23">
        <v>200000</v>
      </c>
      <c r="K19" s="24" t="str">
        <v>020514-4047721</v>
      </c>
    </row>
    <row r="20" spans="1:11" customFormat="1" x14ac:dyDescent="0.3">
      <c r="A20" t="str">
        <v>HA0036</v>
      </c>
      <c r="B20" t="str">
        <v>한수민</v>
      </c>
      <c r="D20" s="59" t="str">
        <v>004</v>
      </c>
      <c r="E20" s="60" t="str">
        <v>26990104206518</v>
      </c>
      <c r="F20" s="20">
        <f t="shared" si="0"/>
        <v>193400</v>
      </c>
      <c r="G20" s="21" t="str">
        <v>한수민</v>
      </c>
      <c r="H20" s="22" t="str">
        <v>㈜프로젝트엔급여</v>
      </c>
      <c r="I20" s="22" t="str">
        <v>업무커미션</v>
      </c>
      <c r="J20" s="23">
        <v>200000</v>
      </c>
      <c r="K20" s="24" t="str">
        <v>950419-2183415</v>
      </c>
    </row>
    <row r="21" spans="1:11" customFormat="1" x14ac:dyDescent="0.3">
      <c r="A21" t="str">
        <v>SA0001</v>
      </c>
      <c r="B21" t="str">
        <v>황윤제</v>
      </c>
      <c r="D21" s="59" t="str">
        <v>004</v>
      </c>
      <c r="E21" s="60" t="str">
        <v>90050051269</v>
      </c>
      <c r="F21" s="20">
        <f t="shared" si="0"/>
        <v>3868000</v>
      </c>
      <c r="G21" s="21" t="str">
        <v>황윤제</v>
      </c>
      <c r="H21" s="22" t="str">
        <v>㈜프로젝트엔급여</v>
      </c>
      <c r="I21" s="22" t="str">
        <v>업무커미션</v>
      </c>
      <c r="J21" s="23">
        <v>4000000</v>
      </c>
      <c r="K21" s="24" t="str">
        <v>860128-1698014</v>
      </c>
    </row>
    <row r="22" spans="1:11" customFormat="1" x14ac:dyDescent="0.3">
      <c r="A22" t="str">
        <v>UQ0001</v>
      </c>
      <c r="B22" t="str">
        <v>황정민</v>
      </c>
      <c r="D22" s="59" t="str">
        <v>004</v>
      </c>
      <c r="E22" s="60" t="str">
        <v>13020204158602</v>
      </c>
      <c r="F22" s="20">
        <f t="shared" si="0"/>
        <v>8663850</v>
      </c>
      <c r="G22" s="21" t="str">
        <v>황정민</v>
      </c>
      <c r="H22" s="22" t="str">
        <v>㈜프로젝트엔급여</v>
      </c>
      <c r="I22" s="22" t="str">
        <v>업무커미션</v>
      </c>
      <c r="J22" s="23">
        <v>8959500</v>
      </c>
      <c r="K22" s="24" t="str">
        <v>871002-1095617</v>
      </c>
    </row>
    <row r="23" spans="1:11" customFormat="1" x14ac:dyDescent="0.3">
      <c r="A23" t="str">
        <v>UQ0024</v>
      </c>
      <c r="B23" t="str">
        <v>박재성</v>
      </c>
      <c r="D23" s="59" t="str">
        <v>004</v>
      </c>
      <c r="E23" s="60" t="str">
        <v>10430104453655</v>
      </c>
      <c r="F23" s="20">
        <f t="shared" si="0"/>
        <v>3499100</v>
      </c>
      <c r="G23" s="21" t="str">
        <v>박재성</v>
      </c>
      <c r="H23" s="22" t="str">
        <v>㈜프로젝트엔급여</v>
      </c>
      <c r="I23" s="22" t="str">
        <v>업무커미션</v>
      </c>
      <c r="J23" s="23">
        <v>3618500</v>
      </c>
      <c r="K23" s="24" t="str">
        <v>910306-1904312</v>
      </c>
    </row>
    <row r="24" spans="1:11" customFormat="1" x14ac:dyDescent="0.3">
      <c r="A24" t="str">
        <v>UQ0043</v>
      </c>
      <c r="B24" t="str">
        <v>방민주</v>
      </c>
      <c r="D24" s="59" t="str">
        <v>004</v>
      </c>
      <c r="E24" s="60" t="str">
        <v>10140204162597</v>
      </c>
      <c r="F24" s="20">
        <f t="shared" si="0"/>
        <v>4256500</v>
      </c>
      <c r="G24" s="21" t="str">
        <v>방민주</v>
      </c>
      <c r="H24" s="22" t="str">
        <v>㈜프로젝트엔급여</v>
      </c>
      <c r="I24" s="22" t="str">
        <v>업무커미션</v>
      </c>
      <c r="J24" s="23">
        <v>4401750</v>
      </c>
      <c r="K24" s="24" t="str">
        <v>900207-2120811</v>
      </c>
    </row>
    <row r="25" spans="1:11" customFormat="1" x14ac:dyDescent="0.3">
      <c r="A25" t="str">
        <v>UQ0108</v>
      </c>
      <c r="B25" t="str">
        <v>최지광</v>
      </c>
      <c r="D25" s="59" t="str">
        <v>003</v>
      </c>
      <c r="E25" s="60" t="str">
        <v>19306530101015</v>
      </c>
      <c r="F25" s="20">
        <f t="shared" si="0"/>
        <v>3522550</v>
      </c>
      <c r="G25" s="21" t="str">
        <v>최지광</v>
      </c>
      <c r="H25" s="22" t="str">
        <v>㈜프로젝트엔급여</v>
      </c>
      <c r="I25" s="22" t="str">
        <v>업무커미션</v>
      </c>
      <c r="J25" s="23">
        <v>3642750</v>
      </c>
      <c r="K25" s="24" t="str">
        <v>950507-1101310</v>
      </c>
    </row>
    <row r="26" spans="1:11" customFormat="1" x14ac:dyDescent="0.3">
      <c r="A26" t="str">
        <v>UQ0123</v>
      </c>
      <c r="B26" t="str">
        <v>김민수</v>
      </c>
      <c r="D26" s="59" t="str">
        <v>004</v>
      </c>
      <c r="E26" s="60" t="str">
        <v>61320104429378</v>
      </c>
      <c r="F26" s="20">
        <f t="shared" si="0"/>
        <v>1653570</v>
      </c>
      <c r="G26" s="21" t="str">
        <v>김민수</v>
      </c>
      <c r="H26" s="22" t="str">
        <v>㈜프로젝트엔급여</v>
      </c>
      <c r="I26" s="22" t="str">
        <v>업무커미션</v>
      </c>
      <c r="J26" s="23">
        <v>1710000</v>
      </c>
      <c r="K26" s="24" t="str">
        <v>940523-1726529</v>
      </c>
    </row>
    <row r="27" spans="1:11" customFormat="1" x14ac:dyDescent="0.3">
      <c r="A27" t="str">
        <v>UQ0129</v>
      </c>
      <c r="B27" t="str">
        <v>이유림</v>
      </c>
      <c r="D27" s="59" t="str">
        <v>032</v>
      </c>
      <c r="E27" s="60" t="str">
        <v>1012036821004</v>
      </c>
      <c r="F27" s="20">
        <f t="shared" si="0"/>
        <v>889640</v>
      </c>
      <c r="G27" s="21" t="str">
        <v>이유림</v>
      </c>
      <c r="H27" s="22" t="str">
        <v>㈜프로젝트엔급여</v>
      </c>
      <c r="I27" s="22" t="str">
        <v>업무커미션</v>
      </c>
      <c r="J27" s="23">
        <v>920000</v>
      </c>
      <c r="K27" s="24" t="str">
        <v>970307-2860417</v>
      </c>
    </row>
    <row r="28" spans="1:11" customFormat="1" x14ac:dyDescent="0.3">
      <c r="A28" t="str">
        <v>UQ0150</v>
      </c>
      <c r="B28" t="str">
        <v>김재림</v>
      </c>
      <c r="D28" s="59" t="str">
        <v>004</v>
      </c>
      <c r="E28" s="60" t="str">
        <v>84240101882932</v>
      </c>
      <c r="F28" s="20">
        <f t="shared" si="0"/>
        <v>87030</v>
      </c>
      <c r="G28" s="21" t="str">
        <v>김재림</v>
      </c>
      <c r="H28" s="22" t="str">
        <v>㈜프로젝트엔급여</v>
      </c>
      <c r="I28" s="22" t="str">
        <v>업무커미션</v>
      </c>
      <c r="J28" s="23">
        <v>90000</v>
      </c>
      <c r="K28" s="24" t="str">
        <v>911206-1914717</v>
      </c>
    </row>
    <row r="29" spans="1:11" customFormat="1" x14ac:dyDescent="0.3">
      <c r="A29" t="str">
        <v>UQ0153</v>
      </c>
      <c r="B29" t="str">
        <v>강동훈</v>
      </c>
      <c r="D29" s="59" t="str">
        <v>004</v>
      </c>
      <c r="E29" s="60" t="str">
        <v>11820104226791</v>
      </c>
      <c r="F29" s="20">
        <f t="shared" si="0"/>
        <v>1121720</v>
      </c>
      <c r="G29" s="21" t="str">
        <v>강동훈</v>
      </c>
      <c r="H29" s="22" t="str">
        <v>㈜프로젝트엔급여</v>
      </c>
      <c r="I29" s="22" t="str">
        <v>업무커미션</v>
      </c>
      <c r="J29" s="23">
        <v>1160000</v>
      </c>
      <c r="K29" s="24" t="str">
        <v>920807-1095112</v>
      </c>
    </row>
    <row r="30" spans="1:11" customFormat="1" x14ac:dyDescent="0.3">
      <c r="A30" t="str">
        <v>UQ0155</v>
      </c>
      <c r="B30" t="str">
        <v>신현석</v>
      </c>
      <c r="D30" s="59" t="str">
        <v>004</v>
      </c>
      <c r="E30" s="60" t="str">
        <v>03450204303928</v>
      </c>
      <c r="F30" s="20">
        <f t="shared" si="0"/>
        <v>270760</v>
      </c>
      <c r="G30" s="21" t="str">
        <v>신현석</v>
      </c>
      <c r="H30" s="22" t="str">
        <v>㈜프로젝트엔급여</v>
      </c>
      <c r="I30" s="22" t="str">
        <v>업무커미션</v>
      </c>
      <c r="J30" s="23">
        <v>280000</v>
      </c>
      <c r="K30" s="24" t="str">
        <v>981206-1113417</v>
      </c>
    </row>
    <row r="31" spans="1:11" customFormat="1" x14ac:dyDescent="0.3">
      <c r="A31" t="str">
        <v>UQ0157</v>
      </c>
      <c r="B31" t="str">
        <v>한규영</v>
      </c>
      <c r="D31" s="59" t="str">
        <v>004</v>
      </c>
      <c r="E31" s="60" t="str">
        <v>80420201301964</v>
      </c>
      <c r="F31" s="20">
        <f t="shared" si="0"/>
        <v>3382090</v>
      </c>
      <c r="G31" s="21" t="str">
        <v>한규영</v>
      </c>
      <c r="H31" s="22" t="str">
        <v>㈜프로젝트엔급여</v>
      </c>
      <c r="I31" s="22" t="str">
        <v>업무커미션</v>
      </c>
      <c r="J31" s="23">
        <v>3497500</v>
      </c>
      <c r="K31" s="24" t="str">
        <v>990213-1410811</v>
      </c>
    </row>
    <row r="32" spans="1:11" customFormat="1" x14ac:dyDescent="0.3">
      <c r="A32" t="str">
        <v>UQ0159</v>
      </c>
      <c r="B32" t="str">
        <v>박은영</v>
      </c>
      <c r="D32" s="59" t="str">
        <v>004</v>
      </c>
      <c r="E32" s="60" t="str">
        <v>61870104268028</v>
      </c>
      <c r="F32" s="20">
        <f t="shared" si="0"/>
        <v>2901000</v>
      </c>
      <c r="G32" s="21" t="str">
        <v>박은영</v>
      </c>
      <c r="H32" s="22" t="str">
        <v>㈜프로젝트엔급여</v>
      </c>
      <c r="I32" s="22" t="str">
        <v>업무커미션</v>
      </c>
      <c r="J32" s="23">
        <v>3000000</v>
      </c>
      <c r="K32" s="24" t="str">
        <v>970429-2790219</v>
      </c>
    </row>
    <row r="33" spans="1:11" customFormat="1" x14ac:dyDescent="0.3">
      <c r="A33" t="str">
        <v>UQ0181</v>
      </c>
      <c r="B33" t="str">
        <v>김종원</v>
      </c>
      <c r="D33" s="59" t="str">
        <v>045</v>
      </c>
      <c r="E33" s="60" t="str">
        <v>9003266854881</v>
      </c>
      <c r="F33" s="20">
        <f t="shared" si="0"/>
        <v>2166080</v>
      </c>
      <c r="G33" s="21" t="str">
        <v>김종원</v>
      </c>
      <c r="H33" s="22" t="str">
        <v>㈜프로젝트엔급여</v>
      </c>
      <c r="I33" s="22" t="str">
        <v>업무커미션</v>
      </c>
      <c r="J33" s="23">
        <v>2240000</v>
      </c>
      <c r="K33" s="24" t="str">
        <v>890304-1727512</v>
      </c>
    </row>
    <row r="34" spans="1:11" customFormat="1" x14ac:dyDescent="0.3">
      <c r="A34" t="str">
        <v>UQ0187</v>
      </c>
      <c r="B34" t="str">
        <v>박준우</v>
      </c>
      <c r="D34" s="59" t="str">
        <v>088</v>
      </c>
      <c r="E34" s="60" t="str">
        <v>110398844456</v>
      </c>
      <c r="F34" s="20">
        <f t="shared" si="0"/>
        <v>145050</v>
      </c>
      <c r="G34" s="21" t="str">
        <v>박준우</v>
      </c>
      <c r="H34" s="22" t="str">
        <v>㈜프로젝트엔급여</v>
      </c>
      <c r="I34" s="22" t="str">
        <v>업무커미션</v>
      </c>
      <c r="J34" s="23">
        <v>150000</v>
      </c>
      <c r="K34" s="24" t="str">
        <v>941223-1229911</v>
      </c>
    </row>
    <row r="35" spans="1:11" customFormat="1" x14ac:dyDescent="0.3">
      <c r="A35" t="str">
        <v>UQ0188</v>
      </c>
      <c r="B35" t="str">
        <v>맹영록</v>
      </c>
      <c r="D35" s="59" t="str">
        <v>088</v>
      </c>
      <c r="E35" s="60" t="str">
        <v>110251247900</v>
      </c>
      <c r="F35" s="20">
        <f t="shared" si="0"/>
        <v>3210440</v>
      </c>
      <c r="G35" s="21" t="str">
        <v>맹영록</v>
      </c>
      <c r="H35" s="22" t="str">
        <v>㈜프로젝트엔급여</v>
      </c>
      <c r="I35" s="22" t="str">
        <v>업무커미션</v>
      </c>
      <c r="J35" s="23">
        <v>3320000</v>
      </c>
      <c r="K35" s="24" t="str">
        <v>840108-1006220</v>
      </c>
    </row>
    <row r="36" spans="1:11" customFormat="1" x14ac:dyDescent="0.3">
      <c r="A36" t="str">
        <v>UQ0189</v>
      </c>
      <c r="B36" t="str">
        <v>나태영</v>
      </c>
      <c r="D36" s="59" t="str">
        <v>004</v>
      </c>
      <c r="E36" s="60" t="str">
        <v>46150104250144</v>
      </c>
      <c r="F36" s="20">
        <f t="shared" si="0"/>
        <v>2784960</v>
      </c>
      <c r="G36" s="21" t="str">
        <v>나태영</v>
      </c>
      <c r="H36" s="22" t="str">
        <v>㈜프로젝트엔급여</v>
      </c>
      <c r="I36" s="22" t="str">
        <v>업무커미션</v>
      </c>
      <c r="J36" s="23">
        <v>2880000</v>
      </c>
      <c r="K36" s="24" t="str">
        <v>910415-1692814</v>
      </c>
    </row>
    <row r="37" spans="1:11" customFormat="1" x14ac:dyDescent="0.3">
      <c r="A37" t="str">
        <v>UQ0190</v>
      </c>
      <c r="B37" t="str">
        <v>홍승표</v>
      </c>
      <c r="D37" s="59" t="str">
        <v>081</v>
      </c>
      <c r="E37" s="60" t="str">
        <v>50791037685207</v>
      </c>
      <c r="F37" s="20">
        <f t="shared" si="0"/>
        <v>3655260</v>
      </c>
      <c r="G37" s="21" t="str">
        <v>홍승표</v>
      </c>
      <c r="H37" s="22" t="str">
        <v>㈜프로젝트엔급여</v>
      </c>
      <c r="I37" s="22" t="str">
        <v>업무커미션</v>
      </c>
      <c r="J37" s="23">
        <v>3780000</v>
      </c>
      <c r="K37" s="24" t="str">
        <v>910627-1106311</v>
      </c>
    </row>
    <row r="38" spans="1:11" customFormat="1" x14ac:dyDescent="0.3">
      <c r="A38" t="str">
        <v>UQ0191</v>
      </c>
      <c r="B38" t="str">
        <v>김인영</v>
      </c>
      <c r="D38" s="59" t="str">
        <v>011</v>
      </c>
      <c r="E38" s="60" t="str">
        <v>3521774854913</v>
      </c>
      <c r="F38" s="20">
        <f t="shared" si="0"/>
        <v>783270</v>
      </c>
      <c r="G38" s="21" t="str">
        <v>김인영</v>
      </c>
      <c r="H38" s="22" t="str">
        <v>㈜프로젝트엔급여</v>
      </c>
      <c r="I38" s="22" t="str">
        <v>업무커미션</v>
      </c>
      <c r="J38" s="23">
        <v>810000</v>
      </c>
      <c r="K38" s="24" t="str">
        <v>770227-2322311</v>
      </c>
    </row>
    <row r="39" spans="1:11" customFormat="1" x14ac:dyDescent="0.3">
      <c r="A39" t="str">
        <v>UQ0192</v>
      </c>
      <c r="B39" t="str">
        <v>박지훈</v>
      </c>
      <c r="D39" s="59" t="str">
        <v>081</v>
      </c>
      <c r="E39" s="60" t="str">
        <v>13589123972707</v>
      </c>
      <c r="F39" s="20">
        <f t="shared" si="0"/>
        <v>1305450</v>
      </c>
      <c r="G39" s="21" t="str">
        <v>박지훈</v>
      </c>
      <c r="H39" s="22" t="str">
        <v>㈜프로젝트엔급여</v>
      </c>
      <c r="I39" s="22" t="str">
        <v>업무커미션</v>
      </c>
      <c r="J39" s="23">
        <v>1350000</v>
      </c>
      <c r="K39" s="24" t="str">
        <v>020510-3823718</v>
      </c>
    </row>
    <row r="40" spans="1:11" customFormat="1" x14ac:dyDescent="0.3">
      <c r="A40" t="str">
        <v>UQ0194</v>
      </c>
      <c r="B40" t="str">
        <v>정동준</v>
      </c>
      <c r="D40" s="59" t="str">
        <v>004</v>
      </c>
      <c r="E40" s="60" t="str">
        <v>91079332563</v>
      </c>
      <c r="F40" s="20">
        <f t="shared" si="0"/>
        <v>1943670</v>
      </c>
      <c r="G40" s="21" t="str">
        <v>정동준</v>
      </c>
      <c r="H40" s="22" t="str">
        <v>㈜프로젝트엔급여</v>
      </c>
      <c r="I40" s="22" t="str">
        <v>업무커미션</v>
      </c>
      <c r="J40" s="23">
        <v>2010000</v>
      </c>
      <c r="K40" s="24" t="str">
        <v>921122-1110613</v>
      </c>
    </row>
    <row r="41" spans="1:11" customFormat="1" x14ac:dyDescent="0.3">
      <c r="A41" t="str">
        <v>UQ0197</v>
      </c>
      <c r="B41" t="str">
        <v>황지웅</v>
      </c>
      <c r="D41" s="59" t="str">
        <v>004</v>
      </c>
      <c r="E41" s="60" t="str">
        <v>96270201432331</v>
      </c>
      <c r="F41" s="20">
        <f t="shared" si="0"/>
        <v>2514200</v>
      </c>
      <c r="G41" s="21" t="str">
        <v>황지웅</v>
      </c>
      <c r="H41" s="22" t="str">
        <v>㈜프로젝트엔급여</v>
      </c>
      <c r="I41" s="22" t="str">
        <v>업무커미션</v>
      </c>
      <c r="J41" s="23">
        <v>2600000</v>
      </c>
      <c r="K41" s="24" t="str">
        <v>950308-1840919</v>
      </c>
    </row>
    <row r="42" spans="1:11" customFormat="1" x14ac:dyDescent="0.3">
      <c r="A42" t="str">
        <v>UQ0198</v>
      </c>
      <c r="B42" t="str">
        <v>최민재</v>
      </c>
      <c r="D42" s="59" t="str">
        <v>003</v>
      </c>
      <c r="E42" s="60" t="str">
        <v>98004423501014</v>
      </c>
      <c r="F42" s="20">
        <f t="shared" si="0"/>
        <v>0</v>
      </c>
      <c r="G42" s="21" t="str">
        <v>최민재</v>
      </c>
      <c r="H42" s="22" t="str">
        <v>㈜프로젝트엔급여</v>
      </c>
      <c r="I42" s="22" t="str">
        <v>업무커미션</v>
      </c>
      <c r="J42" s="23">
        <v>0</v>
      </c>
      <c r="K42" s="24" t="str">
        <v>020510-3823911</v>
      </c>
    </row>
    <row r="43" spans="1:11" customFormat="1" x14ac:dyDescent="0.3">
      <c r="A43" t="str">
        <v>UQ0199</v>
      </c>
      <c r="B43" t="str">
        <v>김규태</v>
      </c>
      <c r="D43" s="59" t="str">
        <v>003</v>
      </c>
      <c r="E43" s="60" t="str">
        <v>53902159401019</v>
      </c>
      <c r="F43" s="20">
        <f t="shared" si="0"/>
        <v>850960</v>
      </c>
      <c r="G43" s="21" t="str">
        <v>김규태</v>
      </c>
      <c r="H43" s="22" t="str">
        <v>㈜프로젝트엔급여</v>
      </c>
      <c r="I43" s="22" t="str">
        <v>업무커미션</v>
      </c>
      <c r="J43" s="23">
        <v>880000</v>
      </c>
      <c r="K43" s="24" t="str">
        <v>940113-1177311</v>
      </c>
    </row>
    <row r="44" spans="1:11" customFormat="1" x14ac:dyDescent="0.3">
      <c r="A44" t="str">
        <v>UQ0200</v>
      </c>
      <c r="B44" t="str">
        <v>최권수</v>
      </c>
      <c r="D44" s="59" t="str">
        <v>004</v>
      </c>
      <c r="E44" s="60" t="str">
        <v>93930200136719</v>
      </c>
      <c r="F44" s="20">
        <f t="shared" si="0"/>
        <v>212740</v>
      </c>
      <c r="G44" s="21" t="str">
        <v>최권수</v>
      </c>
      <c r="H44" s="22" t="str">
        <v>㈜프로젝트엔급여</v>
      </c>
      <c r="I44" s="22" t="str">
        <v>업무커미션</v>
      </c>
      <c r="J44" s="23">
        <v>220000</v>
      </c>
      <c r="K44" s="24" t="str">
        <v>970204-1815018</v>
      </c>
    </row>
    <row r="45" spans="1:11" customFormat="1" x14ac:dyDescent="0.3">
      <c r="A45" t="str">
        <v>UQ0201</v>
      </c>
      <c r="B45" t="str">
        <v>김나현</v>
      </c>
      <c r="D45" s="59" t="str">
        <v>004</v>
      </c>
      <c r="E45" s="60" t="str">
        <v>81650201323774</v>
      </c>
      <c r="F45" s="20">
        <f t="shared" si="0"/>
        <v>261090</v>
      </c>
      <c r="G45" s="21" t="str">
        <v>김나현</v>
      </c>
      <c r="H45" s="22" t="str">
        <v>㈜프로젝트엔급여</v>
      </c>
      <c r="I45" s="22" t="str">
        <v>업무커미션</v>
      </c>
      <c r="J45" s="23">
        <v>270000</v>
      </c>
      <c r="K45" s="24" t="str">
        <v>020926-4685719</v>
      </c>
    </row>
    <row r="46" spans="1:11" customFormat="1" x14ac:dyDescent="0.3">
      <c r="A46" t="str">
        <v>UQ0202</v>
      </c>
      <c r="B46" t="str">
        <v>정희윤</v>
      </c>
      <c r="D46" s="59" t="str">
        <v>004</v>
      </c>
      <c r="E46" s="60" t="str">
        <v>12500104115495</v>
      </c>
      <c r="F46" s="20">
        <f t="shared" si="0"/>
        <v>145050</v>
      </c>
      <c r="G46" s="21" t="str">
        <v>정희윤</v>
      </c>
      <c r="H46" s="22" t="str">
        <v>㈜프로젝트엔급여</v>
      </c>
      <c r="I46" s="22" t="str">
        <v>업무커미션</v>
      </c>
      <c r="J46" s="23">
        <v>150000</v>
      </c>
      <c r="K46" s="24" t="str">
        <v>860916-2125721</v>
      </c>
    </row>
    <row r="47" spans="1:11" customFormat="1" x14ac:dyDescent="0.3">
      <c r="A47" t="str">
        <v>UQ0203</v>
      </c>
      <c r="B47" t="str">
        <v>김예성</v>
      </c>
      <c r="D47" s="59" t="str">
        <v>004</v>
      </c>
      <c r="E47" s="60" t="str">
        <v>92562009758</v>
      </c>
      <c r="F47" s="20">
        <f t="shared" si="0"/>
        <v>241750</v>
      </c>
      <c r="G47" s="21" t="str">
        <v>김예성</v>
      </c>
      <c r="H47" s="22" t="str">
        <v>㈜프로젝트엔급여</v>
      </c>
      <c r="I47" s="22" t="str">
        <v>업무커미션</v>
      </c>
      <c r="J47" s="23">
        <v>250000</v>
      </c>
      <c r="K47" s="24" t="str">
        <v>920225-1127633</v>
      </c>
    </row>
    <row r="48" spans="1:11" customFormat="1" x14ac:dyDescent="0.3">
      <c r="A48" t="str">
        <v>UQ0204</v>
      </c>
      <c r="B48" t="str">
        <v>김명규</v>
      </c>
      <c r="D48" s="59" t="str">
        <v>007</v>
      </c>
      <c r="E48" s="60" t="str">
        <v>001039414105</v>
      </c>
      <c r="F48" s="20">
        <f t="shared" si="0"/>
        <v>537660</v>
      </c>
      <c r="G48" s="21" t="str">
        <v>김명규</v>
      </c>
      <c r="H48" s="22" t="str">
        <v>㈜프로젝트엔급여</v>
      </c>
      <c r="I48" s="22" t="str">
        <v>업무커미션</v>
      </c>
      <c r="J48" s="23">
        <v>556000</v>
      </c>
      <c r="K48" s="24" t="str">
        <v>921002-1124135</v>
      </c>
    </row>
    <row r="49" spans="1:11" customFormat="1" x14ac:dyDescent="0.3">
      <c r="A49" t="str">
        <v>UQ0205</v>
      </c>
      <c r="B49" t="str">
        <v>박혜인</v>
      </c>
      <c r="D49" s="59" t="str">
        <v>004</v>
      </c>
      <c r="E49" s="60" t="str">
        <v>10430204322716</v>
      </c>
      <c r="F49" s="20">
        <f t="shared" si="0"/>
        <v>976670</v>
      </c>
      <c r="G49" s="21" t="str">
        <v>박혜인</v>
      </c>
      <c r="H49" s="22" t="str">
        <v>㈜프로젝트엔급여</v>
      </c>
      <c r="I49" s="22" t="str">
        <v>업무커미션</v>
      </c>
      <c r="J49" s="23">
        <v>1010000</v>
      </c>
      <c r="K49" s="24" t="str">
        <v>950307-2822227</v>
      </c>
    </row>
    <row r="50" spans="1:11" customFormat="1" x14ac:dyDescent="0.3">
      <c r="A50" t="str">
        <v>UQ0206</v>
      </c>
      <c r="B50" t="str">
        <v>김경민</v>
      </c>
      <c r="D50" s="59" t="str">
        <v>011</v>
      </c>
      <c r="E50" s="60" t="str">
        <v>83702051031809</v>
      </c>
      <c r="F50" s="20">
        <f t="shared" si="0"/>
        <v>638220</v>
      </c>
      <c r="G50" s="21" t="str">
        <v>김경민</v>
      </c>
      <c r="H50" s="22" t="str">
        <v>㈜프로젝트엔급여</v>
      </c>
      <c r="I50" s="22" t="str">
        <v>업무커미션</v>
      </c>
      <c r="J50" s="23">
        <v>660000</v>
      </c>
      <c r="K50" s="24" t="str">
        <v>940625-1233610</v>
      </c>
    </row>
    <row r="51" spans="1:11" customFormat="1" x14ac:dyDescent="0.3">
      <c r="A51" t="str">
        <v>UQ0207</v>
      </c>
      <c r="B51" t="str">
        <v>이영숙</v>
      </c>
      <c r="D51" s="59" t="str">
        <v>004</v>
      </c>
      <c r="E51" s="60" t="str">
        <v>13730204202931</v>
      </c>
      <c r="F51" s="20">
        <f t="shared" si="0"/>
        <v>145050</v>
      </c>
      <c r="G51" s="21" t="str">
        <v>이영숙</v>
      </c>
      <c r="H51" s="22" t="str">
        <v>㈜프로젝트엔급여</v>
      </c>
      <c r="I51" s="22" t="str">
        <v>업무커미션</v>
      </c>
      <c r="J51" s="23">
        <v>150000</v>
      </c>
      <c r="K51" s="24" t="str">
        <v>901210-2860533</v>
      </c>
    </row>
    <row r="52" spans="1:11" customFormat="1" x14ac:dyDescent="0.3">
      <c r="A52" t="str">
        <v>UQ0208</v>
      </c>
      <c r="B52" t="str">
        <v>주다희</v>
      </c>
      <c r="D52" s="59" t="str">
        <v>004</v>
      </c>
      <c r="E52" s="60" t="str">
        <v>56470101570395</v>
      </c>
      <c r="F52" s="20">
        <f t="shared" si="0"/>
        <v>193400</v>
      </c>
      <c r="G52" s="21" t="str">
        <v>주다희</v>
      </c>
      <c r="H52" s="22" t="str">
        <v>㈜프로젝트엔급여</v>
      </c>
      <c r="I52" s="22" t="str">
        <v>업무커미션</v>
      </c>
      <c r="J52" s="23">
        <v>200000</v>
      </c>
      <c r="K52" s="24" t="str">
        <v>970820-2094011</v>
      </c>
    </row>
    <row r="53" spans="1:11" customFormat="1" x14ac:dyDescent="0.3">
      <c r="D53" s="59"/>
      <c r="E53" s="60"/>
      <c r="F53" s="20" t="str">
        <f t="shared" si="0"/>
        <v/>
      </c>
      <c r="G53" s="21"/>
      <c r="H53" s="22"/>
      <c r="I53" s="22"/>
      <c r="J53" s="23"/>
      <c r="K53" s="24"/>
    </row>
    <row r="54" spans="1:11" customFormat="1" x14ac:dyDescent="0.3">
      <c r="D54" s="59"/>
      <c r="E54" s="60"/>
      <c r="F54" s="20" t="str">
        <f t="shared" si="0"/>
        <v/>
      </c>
      <c r="G54" s="21"/>
      <c r="H54" s="22"/>
      <c r="I54" s="22"/>
      <c r="J54" s="23"/>
      <c r="K54" s="24"/>
    </row>
    <row r="55" spans="1:11" customFormat="1" x14ac:dyDescent="0.3">
      <c r="D55" s="59"/>
      <c r="E55" s="60"/>
      <c r="F55" s="20" t="str">
        <f t="shared" si="0"/>
        <v/>
      </c>
      <c r="G55" s="21"/>
      <c r="H55" s="22"/>
      <c r="I55" s="22"/>
      <c r="J55" s="23"/>
      <c r="K55" s="24"/>
    </row>
    <row r="56" spans="1:11" customFormat="1" x14ac:dyDescent="0.3">
      <c r="D56" s="59"/>
      <c r="E56" s="60"/>
      <c r="F56" s="20" t="str">
        <f t="shared" si="0"/>
        <v/>
      </c>
      <c r="G56" s="21"/>
      <c r="H56" s="22"/>
      <c r="I56" s="22"/>
      <c r="J56" s="23"/>
      <c r="K56" s="24"/>
    </row>
    <row r="57" spans="1:11" customFormat="1" x14ac:dyDescent="0.3">
      <c r="D57" s="59"/>
      <c r="E57" s="60"/>
      <c r="F57" s="20" t="str">
        <f t="shared" si="0"/>
        <v/>
      </c>
      <c r="G57" s="21"/>
      <c r="H57" s="22"/>
      <c r="I57" s="22"/>
      <c r="J57" s="23"/>
      <c r="K57" s="24"/>
    </row>
    <row r="58" spans="1:11" customFormat="1" x14ac:dyDescent="0.3">
      <c r="D58" s="59"/>
      <c r="E58" s="60"/>
      <c r="F58" s="20" t="str">
        <f t="shared" si="0"/>
        <v/>
      </c>
      <c r="G58" s="21"/>
      <c r="H58" s="22"/>
      <c r="I58" s="22"/>
      <c r="J58" s="23"/>
      <c r="K58" s="24"/>
    </row>
    <row r="59" spans="1:11" customFormat="1" x14ac:dyDescent="0.3">
      <c r="D59" s="59"/>
      <c r="E59" s="60"/>
      <c r="F59" s="20" t="str">
        <f t="shared" si="0"/>
        <v/>
      </c>
      <c r="G59" s="21"/>
      <c r="H59" s="22"/>
      <c r="I59" s="22"/>
      <c r="J59" s="23"/>
      <c r="K59" s="24"/>
    </row>
    <row r="60" spans="1:11" customFormat="1" x14ac:dyDescent="0.3">
      <c r="D60" s="59"/>
      <c r="E60" s="60"/>
      <c r="F60" s="20" t="str">
        <f t="shared" si="0"/>
        <v/>
      </c>
      <c r="G60" s="21"/>
      <c r="H60" s="22"/>
      <c r="I60" s="22"/>
      <c r="J60" s="23"/>
      <c r="K60" s="24"/>
    </row>
    <row r="61" spans="1:11" customFormat="1" x14ac:dyDescent="0.3">
      <c r="D61" s="59"/>
      <c r="E61" s="60"/>
      <c r="F61" s="20" t="str">
        <f t="shared" si="0"/>
        <v/>
      </c>
      <c r="G61" s="21"/>
      <c r="H61" s="22"/>
      <c r="I61" s="22"/>
      <c r="J61" s="23"/>
      <c r="K61" s="24"/>
    </row>
    <row r="62" spans="1:11" customFormat="1" x14ac:dyDescent="0.3">
      <c r="D62" s="59"/>
      <c r="E62" s="60"/>
      <c r="F62" s="20" t="str">
        <f t="shared" si="0"/>
        <v/>
      </c>
      <c r="G62" s="21"/>
      <c r="H62" s="22"/>
      <c r="I62" s="22"/>
      <c r="J62" s="23"/>
      <c r="K62" s="24"/>
    </row>
    <row r="63" spans="1:11" customFormat="1" x14ac:dyDescent="0.3">
      <c r="D63" s="59"/>
      <c r="E63" s="60"/>
      <c r="F63" s="20" t="str">
        <f t="shared" si="0"/>
        <v/>
      </c>
      <c r="G63" s="21"/>
      <c r="H63" s="22"/>
      <c r="I63" s="22"/>
      <c r="J63" s="23"/>
      <c r="K63" s="24"/>
    </row>
    <row r="64" spans="1:11" customFormat="1" x14ac:dyDescent="0.3">
      <c r="D64" s="59"/>
      <c r="E64" s="60"/>
      <c r="F64" s="20" t="str">
        <f t="shared" si="0"/>
        <v/>
      </c>
      <c r="G64" s="21"/>
      <c r="H64" s="22"/>
      <c r="I64" s="22"/>
      <c r="J64" s="23"/>
      <c r="K64" s="24"/>
    </row>
    <row r="65" spans="4:11" customFormat="1" x14ac:dyDescent="0.3">
      <c r="D65" s="59"/>
      <c r="E65" s="60"/>
      <c r="F65" s="20" t="str">
        <f t="shared" si="0"/>
        <v/>
      </c>
      <c r="G65" s="21"/>
      <c r="H65" s="22"/>
      <c r="I65" s="22"/>
      <c r="J65" s="23"/>
      <c r="K65" s="24"/>
    </row>
    <row r="66" spans="4:11" customFormat="1" x14ac:dyDescent="0.3">
      <c r="D66" s="59"/>
      <c r="E66" s="60"/>
      <c r="F66" s="20" t="str">
        <f t="shared" si="0"/>
        <v/>
      </c>
      <c r="G66" s="21"/>
      <c r="H66" s="22"/>
      <c r="I66" s="22"/>
      <c r="J66" s="23"/>
      <c r="K66" s="24"/>
    </row>
    <row r="67" spans="4:11" customFormat="1" x14ac:dyDescent="0.3">
      <c r="D67" s="59"/>
      <c r="E67" s="60"/>
      <c r="F67" s="20" t="str">
        <f t="shared" ref="F67:F130" si="1">IF(A67="","",J67-ROUNDDOWN(J67*3%,-1)-ROUNDDOWN(J67*0.3%,-1))</f>
        <v/>
      </c>
      <c r="G67" s="21"/>
      <c r="H67" s="22"/>
      <c r="I67" s="22"/>
      <c r="J67" s="23"/>
      <c r="K67" s="24"/>
    </row>
    <row r="68" spans="4:11" customFormat="1" x14ac:dyDescent="0.3">
      <c r="D68" s="59"/>
      <c r="E68" s="60"/>
      <c r="F68" s="20" t="str">
        <f t="shared" si="1"/>
        <v/>
      </c>
      <c r="G68" s="21"/>
      <c r="H68" s="22"/>
      <c r="I68" s="22"/>
      <c r="J68" s="23"/>
      <c r="K68" s="24"/>
    </row>
    <row r="69" spans="4:11" customFormat="1" x14ac:dyDescent="0.3">
      <c r="D69" s="59"/>
      <c r="E69" s="60"/>
      <c r="F69" s="20" t="str">
        <f t="shared" si="1"/>
        <v/>
      </c>
      <c r="G69" s="21"/>
      <c r="H69" s="22"/>
      <c r="I69" s="22"/>
      <c r="J69" s="23"/>
      <c r="K69" s="24"/>
    </row>
    <row r="70" spans="4:11" customFormat="1" x14ac:dyDescent="0.3">
      <c r="D70" s="59"/>
      <c r="E70" s="60"/>
      <c r="F70" s="20" t="str">
        <f t="shared" si="1"/>
        <v/>
      </c>
      <c r="G70" s="21"/>
      <c r="H70" s="22"/>
      <c r="I70" s="22"/>
      <c r="J70" s="23"/>
      <c r="K70" s="24"/>
    </row>
    <row r="71" spans="4:11" customFormat="1" x14ac:dyDescent="0.3">
      <c r="D71" s="59"/>
      <c r="E71" s="60"/>
      <c r="F71" s="20" t="str">
        <f t="shared" si="1"/>
        <v/>
      </c>
      <c r="G71" s="21"/>
      <c r="H71" s="22"/>
      <c r="I71" s="22"/>
      <c r="J71" s="23"/>
      <c r="K71" s="24"/>
    </row>
    <row r="72" spans="4:11" customFormat="1" x14ac:dyDescent="0.3">
      <c r="D72" s="59"/>
      <c r="E72" s="60"/>
      <c r="F72" s="20" t="str">
        <f t="shared" si="1"/>
        <v/>
      </c>
      <c r="G72" s="21"/>
      <c r="H72" s="22"/>
      <c r="I72" s="22"/>
      <c r="J72" s="23"/>
      <c r="K72" s="24"/>
    </row>
    <row r="73" spans="4:11" customFormat="1" x14ac:dyDescent="0.3">
      <c r="D73" s="59"/>
      <c r="E73" s="60"/>
      <c r="F73" s="20" t="str">
        <f t="shared" si="1"/>
        <v/>
      </c>
      <c r="G73" s="21"/>
      <c r="H73" s="22"/>
      <c r="I73" s="22"/>
      <c r="J73" s="23"/>
      <c r="K73" s="24"/>
    </row>
    <row r="74" spans="4:11" customFormat="1" x14ac:dyDescent="0.3">
      <c r="D74" s="59"/>
      <c r="E74" s="60"/>
      <c r="F74" s="20" t="str">
        <f t="shared" si="1"/>
        <v/>
      </c>
      <c r="G74" s="21"/>
      <c r="H74" s="22"/>
      <c r="I74" s="22"/>
      <c r="J74" s="23"/>
      <c r="K74" s="24"/>
    </row>
    <row r="75" spans="4:11" customFormat="1" x14ac:dyDescent="0.3">
      <c r="D75" s="59"/>
      <c r="E75" s="60"/>
      <c r="F75" s="20" t="str">
        <f t="shared" si="1"/>
        <v/>
      </c>
      <c r="G75" s="21"/>
      <c r="H75" s="22"/>
      <c r="I75" s="22"/>
      <c r="J75" s="23"/>
      <c r="K75" s="24"/>
    </row>
    <row r="76" spans="4:11" customFormat="1" x14ac:dyDescent="0.3">
      <c r="D76" s="59"/>
      <c r="E76" s="60"/>
      <c r="F76" s="20" t="str">
        <f t="shared" si="1"/>
        <v/>
      </c>
      <c r="G76" s="21"/>
      <c r="H76" s="22"/>
      <c r="I76" s="22"/>
      <c r="J76" s="23"/>
      <c r="K76" s="24"/>
    </row>
    <row r="77" spans="4:11" customFormat="1" x14ac:dyDescent="0.3">
      <c r="D77" s="59"/>
      <c r="E77" s="60"/>
      <c r="F77" s="20" t="str">
        <f t="shared" si="1"/>
        <v/>
      </c>
      <c r="G77" s="21"/>
      <c r="H77" s="22"/>
      <c r="I77" s="22"/>
      <c r="J77" s="23"/>
      <c r="K77" s="24"/>
    </row>
    <row r="78" spans="4:11" customFormat="1" x14ac:dyDescent="0.3">
      <c r="D78" s="59"/>
      <c r="E78" s="60"/>
      <c r="F78" s="20" t="str">
        <f t="shared" si="1"/>
        <v/>
      </c>
      <c r="G78" s="21"/>
      <c r="H78" s="22"/>
      <c r="I78" s="22"/>
      <c r="J78" s="23"/>
      <c r="K78" s="24"/>
    </row>
    <row r="79" spans="4:11" customFormat="1" x14ac:dyDescent="0.3">
      <c r="D79" s="59"/>
      <c r="E79" s="60"/>
      <c r="F79" s="20" t="str">
        <f t="shared" si="1"/>
        <v/>
      </c>
      <c r="G79" s="21"/>
      <c r="H79" s="22"/>
      <c r="I79" s="22"/>
      <c r="J79" s="23"/>
      <c r="K79" s="24"/>
    </row>
    <row r="80" spans="4:11" customFormat="1" x14ac:dyDescent="0.3">
      <c r="D80" s="59"/>
      <c r="E80" s="60"/>
      <c r="F80" s="20" t="str">
        <f t="shared" si="1"/>
        <v/>
      </c>
      <c r="G80" s="21"/>
      <c r="H80" s="22"/>
      <c r="I80" s="22"/>
      <c r="J80" s="23"/>
      <c r="K80" s="24"/>
    </row>
    <row r="81" spans="4:11" customFormat="1" x14ac:dyDescent="0.3">
      <c r="D81" s="59"/>
      <c r="E81" s="60"/>
      <c r="F81" s="20" t="str">
        <f t="shared" si="1"/>
        <v/>
      </c>
      <c r="G81" s="21"/>
      <c r="H81" s="22"/>
      <c r="I81" s="22"/>
      <c r="J81" s="23"/>
      <c r="K81" s="24"/>
    </row>
    <row r="82" spans="4:11" customFormat="1" x14ac:dyDescent="0.3">
      <c r="D82" s="59"/>
      <c r="E82" s="60"/>
      <c r="F82" s="20" t="str">
        <f t="shared" si="1"/>
        <v/>
      </c>
      <c r="G82" s="21"/>
      <c r="H82" s="22"/>
      <c r="I82" s="22"/>
      <c r="J82" s="23"/>
      <c r="K82" s="24"/>
    </row>
    <row r="83" spans="4:11" customFormat="1" x14ac:dyDescent="0.3">
      <c r="D83" s="59"/>
      <c r="E83" s="60"/>
      <c r="F83" s="20" t="str">
        <f t="shared" si="1"/>
        <v/>
      </c>
      <c r="G83" s="21"/>
      <c r="H83" s="22"/>
      <c r="I83" s="22"/>
      <c r="J83" s="23"/>
      <c r="K83" s="24"/>
    </row>
    <row r="84" spans="4:11" customFormat="1" x14ac:dyDescent="0.3">
      <c r="D84" s="59"/>
      <c r="E84" s="60"/>
      <c r="F84" s="20" t="str">
        <f t="shared" si="1"/>
        <v/>
      </c>
      <c r="G84" s="21"/>
      <c r="H84" s="22"/>
      <c r="I84" s="22"/>
      <c r="J84" s="23"/>
      <c r="K84" s="24"/>
    </row>
    <row r="85" spans="4:11" customFormat="1" x14ac:dyDescent="0.3">
      <c r="D85" s="59"/>
      <c r="E85" s="60"/>
      <c r="F85" s="20" t="str">
        <f t="shared" si="1"/>
        <v/>
      </c>
      <c r="G85" s="21"/>
      <c r="H85" s="22"/>
      <c r="I85" s="22"/>
      <c r="J85" s="23"/>
      <c r="K85" s="24"/>
    </row>
    <row r="86" spans="4:11" customFormat="1" x14ac:dyDescent="0.3">
      <c r="D86" s="59"/>
      <c r="E86" s="60"/>
      <c r="F86" s="20" t="str">
        <f t="shared" si="1"/>
        <v/>
      </c>
      <c r="G86" s="21"/>
      <c r="H86" s="22"/>
      <c r="I86" s="22"/>
      <c r="J86" s="23"/>
      <c r="K86" s="24"/>
    </row>
    <row r="87" spans="4:11" customFormat="1" x14ac:dyDescent="0.3">
      <c r="D87" s="59"/>
      <c r="E87" s="60"/>
      <c r="F87" s="20" t="str">
        <f t="shared" si="1"/>
        <v/>
      </c>
      <c r="G87" s="21"/>
      <c r="H87" s="22"/>
      <c r="I87" s="22"/>
      <c r="J87" s="23"/>
      <c r="K87" s="24"/>
    </row>
    <row r="88" spans="4:11" customFormat="1" x14ac:dyDescent="0.3">
      <c r="D88" s="59"/>
      <c r="E88" s="60"/>
      <c r="F88" s="20" t="str">
        <f t="shared" si="1"/>
        <v/>
      </c>
      <c r="G88" s="21"/>
      <c r="H88" s="22"/>
      <c r="I88" s="22"/>
      <c r="J88" s="23"/>
      <c r="K88" s="24"/>
    </row>
    <row r="89" spans="4:11" customFormat="1" x14ac:dyDescent="0.3">
      <c r="D89" s="59"/>
      <c r="E89" s="60"/>
      <c r="F89" s="20" t="str">
        <f t="shared" si="1"/>
        <v/>
      </c>
      <c r="G89" s="21"/>
      <c r="H89" s="22"/>
      <c r="I89" s="22"/>
      <c r="J89" s="23"/>
      <c r="K89" s="24"/>
    </row>
    <row r="90" spans="4:11" customFormat="1" x14ac:dyDescent="0.3">
      <c r="D90" s="59"/>
      <c r="E90" s="60"/>
      <c r="F90" s="20" t="str">
        <f t="shared" si="1"/>
        <v/>
      </c>
      <c r="G90" s="21"/>
      <c r="H90" s="22"/>
      <c r="I90" s="22"/>
      <c r="J90" s="23"/>
      <c r="K90" s="24"/>
    </row>
    <row r="91" spans="4:11" customFormat="1" x14ac:dyDescent="0.3">
      <c r="D91" s="59"/>
      <c r="E91" s="60"/>
      <c r="F91" s="20" t="str">
        <f t="shared" si="1"/>
        <v/>
      </c>
      <c r="G91" s="21"/>
      <c r="H91" s="22"/>
      <c r="I91" s="22"/>
      <c r="J91" s="23"/>
      <c r="K91" s="24"/>
    </row>
    <row r="92" spans="4:11" customFormat="1" x14ac:dyDescent="0.3">
      <c r="D92" s="59"/>
      <c r="E92" s="60"/>
      <c r="F92" s="20" t="str">
        <f t="shared" si="1"/>
        <v/>
      </c>
      <c r="G92" s="21"/>
      <c r="H92" s="22"/>
      <c r="I92" s="22"/>
      <c r="J92" s="23"/>
      <c r="K92" s="24"/>
    </row>
    <row r="93" spans="4:11" customFormat="1" x14ac:dyDescent="0.3">
      <c r="D93" s="59"/>
      <c r="E93" s="60"/>
      <c r="F93" s="20" t="str">
        <f t="shared" si="1"/>
        <v/>
      </c>
      <c r="G93" s="21"/>
      <c r="H93" s="22"/>
      <c r="I93" s="22"/>
      <c r="J93" s="23"/>
      <c r="K93" s="24"/>
    </row>
    <row r="94" spans="4:11" customFormat="1" x14ac:dyDescent="0.3">
      <c r="D94" s="59"/>
      <c r="E94" s="60"/>
      <c r="F94" s="20" t="str">
        <f t="shared" si="1"/>
        <v/>
      </c>
      <c r="G94" s="21"/>
      <c r="H94" s="22"/>
      <c r="I94" s="22"/>
      <c r="J94" s="23"/>
      <c r="K94" s="24"/>
    </row>
    <row r="95" spans="4:11" customFormat="1" x14ac:dyDescent="0.3">
      <c r="D95" s="59"/>
      <c r="E95" s="60"/>
      <c r="F95" s="20" t="str">
        <f t="shared" si="1"/>
        <v/>
      </c>
      <c r="G95" s="21"/>
      <c r="H95" s="22"/>
      <c r="I95" s="22"/>
      <c r="J95" s="23"/>
      <c r="K95" s="24"/>
    </row>
    <row r="96" spans="4:11" customFormat="1" x14ac:dyDescent="0.3">
      <c r="D96" s="59"/>
      <c r="E96" s="60"/>
      <c r="F96" s="20" t="str">
        <f t="shared" si="1"/>
        <v/>
      </c>
      <c r="G96" s="21"/>
      <c r="H96" s="22"/>
      <c r="I96" s="22"/>
      <c r="J96" s="23"/>
      <c r="K96" s="24"/>
    </row>
    <row r="97" spans="4:11" customFormat="1" x14ac:dyDescent="0.3">
      <c r="D97" s="59"/>
      <c r="E97" s="60"/>
      <c r="F97" s="20" t="str">
        <f t="shared" si="1"/>
        <v/>
      </c>
      <c r="G97" s="21"/>
      <c r="H97" s="22"/>
      <c r="I97" s="22"/>
      <c r="J97" s="23"/>
      <c r="K97" s="24"/>
    </row>
    <row r="98" spans="4:11" customFormat="1" x14ac:dyDescent="0.3">
      <c r="D98" s="59"/>
      <c r="E98" s="60"/>
      <c r="F98" s="20" t="str">
        <f t="shared" si="1"/>
        <v/>
      </c>
      <c r="G98" s="21"/>
      <c r="H98" s="22"/>
      <c r="I98" s="22"/>
      <c r="J98" s="23"/>
      <c r="K98" s="24"/>
    </row>
    <row r="99" spans="4:11" customFormat="1" x14ac:dyDescent="0.3">
      <c r="D99" s="59"/>
      <c r="E99" s="60"/>
      <c r="F99" s="20" t="str">
        <f t="shared" si="1"/>
        <v/>
      </c>
      <c r="G99" s="21"/>
      <c r="H99" s="22"/>
      <c r="I99" s="22"/>
      <c r="J99" s="23"/>
      <c r="K99" s="24"/>
    </row>
    <row r="100" spans="4:11" customFormat="1" x14ac:dyDescent="0.3">
      <c r="D100" s="59"/>
      <c r="E100" s="60"/>
      <c r="F100" s="20" t="str">
        <f t="shared" si="1"/>
        <v/>
      </c>
      <c r="G100" s="21"/>
      <c r="H100" s="22"/>
      <c r="I100" s="22"/>
      <c r="J100" s="23"/>
      <c r="K100" s="24"/>
    </row>
    <row r="101" spans="4:11" customFormat="1" x14ac:dyDescent="0.3">
      <c r="D101" s="59"/>
      <c r="E101" s="60"/>
      <c r="F101" s="20" t="str">
        <f t="shared" si="1"/>
        <v/>
      </c>
      <c r="G101" s="21"/>
      <c r="H101" s="22"/>
      <c r="I101" s="22"/>
      <c r="J101" s="23"/>
      <c r="K101" s="24"/>
    </row>
    <row r="102" spans="4:11" customFormat="1" x14ac:dyDescent="0.3">
      <c r="D102" s="59"/>
      <c r="E102" s="60"/>
      <c r="F102" s="20" t="str">
        <f t="shared" si="1"/>
        <v/>
      </c>
      <c r="G102" s="21"/>
      <c r="H102" s="22"/>
      <c r="I102" s="22"/>
      <c r="J102" s="23"/>
      <c r="K102" s="24"/>
    </row>
    <row r="103" spans="4:11" customFormat="1" x14ac:dyDescent="0.3">
      <c r="D103" s="59"/>
      <c r="E103" s="60"/>
      <c r="F103" s="20" t="str">
        <f t="shared" si="1"/>
        <v/>
      </c>
      <c r="G103" s="21"/>
      <c r="H103" s="22"/>
      <c r="I103" s="22"/>
      <c r="J103" s="23"/>
      <c r="K103" s="24"/>
    </row>
    <row r="104" spans="4:11" customFormat="1" x14ac:dyDescent="0.3">
      <c r="D104" s="59"/>
      <c r="E104" s="60"/>
      <c r="F104" s="20" t="str">
        <f t="shared" si="1"/>
        <v/>
      </c>
      <c r="G104" s="21"/>
      <c r="H104" s="22"/>
      <c r="I104" s="22"/>
      <c r="J104" s="23"/>
      <c r="K104" s="24"/>
    </row>
    <row r="105" spans="4:11" customFormat="1" x14ac:dyDescent="0.3">
      <c r="D105" s="59"/>
      <c r="E105" s="60"/>
      <c r="F105" s="20" t="str">
        <f t="shared" si="1"/>
        <v/>
      </c>
      <c r="G105" s="21"/>
      <c r="H105" s="22"/>
      <c r="I105" s="22"/>
      <c r="J105" s="23"/>
      <c r="K105" s="24"/>
    </row>
    <row r="106" spans="4:11" customFormat="1" x14ac:dyDescent="0.3">
      <c r="D106" s="59"/>
      <c r="E106" s="60"/>
      <c r="F106" s="20" t="str">
        <f t="shared" si="1"/>
        <v/>
      </c>
      <c r="G106" s="21"/>
      <c r="H106" s="22"/>
      <c r="I106" s="22"/>
      <c r="J106" s="23"/>
      <c r="K106" s="24"/>
    </row>
    <row r="107" spans="4:11" customFormat="1" x14ac:dyDescent="0.3">
      <c r="D107" s="59"/>
      <c r="E107" s="60"/>
      <c r="F107" s="20" t="str">
        <f t="shared" si="1"/>
        <v/>
      </c>
      <c r="G107" s="21"/>
      <c r="H107" s="22"/>
      <c r="I107" s="22"/>
      <c r="J107" s="23"/>
      <c r="K107" s="24"/>
    </row>
    <row r="108" spans="4:11" customFormat="1" x14ac:dyDescent="0.3">
      <c r="D108" s="59"/>
      <c r="E108" s="60"/>
      <c r="F108" s="20" t="str">
        <f t="shared" si="1"/>
        <v/>
      </c>
      <c r="G108" s="21"/>
      <c r="H108" s="22"/>
      <c r="I108" s="22"/>
      <c r="J108" s="23"/>
      <c r="K108" s="24"/>
    </row>
    <row r="109" spans="4:11" customFormat="1" x14ac:dyDescent="0.3">
      <c r="D109" s="59"/>
      <c r="E109" s="60"/>
      <c r="F109" s="20" t="str">
        <f t="shared" si="1"/>
        <v/>
      </c>
      <c r="G109" s="21"/>
      <c r="H109" s="22"/>
      <c r="I109" s="22"/>
      <c r="J109" s="23"/>
      <c r="K109" s="24"/>
    </row>
    <row r="110" spans="4:11" customFormat="1" x14ac:dyDescent="0.3">
      <c r="D110" s="59"/>
      <c r="E110" s="60"/>
      <c r="F110" s="20" t="str">
        <f t="shared" si="1"/>
        <v/>
      </c>
      <c r="G110" s="21"/>
      <c r="H110" s="22"/>
      <c r="I110" s="22"/>
      <c r="J110" s="23"/>
      <c r="K110" s="24"/>
    </row>
    <row r="111" spans="4:11" customFormat="1" x14ac:dyDescent="0.3">
      <c r="D111" s="59"/>
      <c r="E111" s="60"/>
      <c r="F111" s="20" t="str">
        <f t="shared" si="1"/>
        <v/>
      </c>
      <c r="G111" s="21"/>
      <c r="H111" s="22"/>
      <c r="I111" s="22"/>
      <c r="J111" s="23"/>
      <c r="K111" s="24"/>
    </row>
    <row r="112" spans="4:11" customFormat="1" x14ac:dyDescent="0.3">
      <c r="D112" s="59"/>
      <c r="E112" s="60"/>
      <c r="F112" s="20" t="str">
        <f t="shared" si="1"/>
        <v/>
      </c>
      <c r="G112" s="21"/>
      <c r="H112" s="22"/>
      <c r="I112" s="22"/>
      <c r="J112" s="23"/>
      <c r="K112" s="24"/>
    </row>
    <row r="113" spans="4:11" customFormat="1" x14ac:dyDescent="0.3">
      <c r="D113" s="59"/>
      <c r="E113" s="60"/>
      <c r="F113" s="20" t="str">
        <f t="shared" si="1"/>
        <v/>
      </c>
      <c r="G113" s="21"/>
      <c r="H113" s="22"/>
      <c r="I113" s="22"/>
      <c r="J113" s="23"/>
      <c r="K113" s="24"/>
    </row>
    <row r="114" spans="4:11" customFormat="1" x14ac:dyDescent="0.3">
      <c r="D114" s="59"/>
      <c r="E114" s="60"/>
      <c r="F114" s="20" t="str">
        <f t="shared" si="1"/>
        <v/>
      </c>
      <c r="G114" s="21"/>
      <c r="H114" s="22"/>
      <c r="I114" s="22"/>
      <c r="J114" s="23"/>
      <c r="K114" s="24"/>
    </row>
    <row r="115" spans="4:11" customFormat="1" x14ac:dyDescent="0.3">
      <c r="D115" s="59"/>
      <c r="E115" s="60"/>
      <c r="F115" s="20" t="str">
        <f t="shared" si="1"/>
        <v/>
      </c>
      <c r="G115" s="21"/>
      <c r="H115" s="22"/>
      <c r="I115" s="22"/>
      <c r="J115" s="23"/>
      <c r="K115" s="24"/>
    </row>
    <row r="116" spans="4:11" customFormat="1" x14ac:dyDescent="0.3">
      <c r="D116" s="59"/>
      <c r="E116" s="60"/>
      <c r="F116" s="20" t="str">
        <f t="shared" si="1"/>
        <v/>
      </c>
      <c r="G116" s="21"/>
      <c r="H116" s="22"/>
      <c r="I116" s="22"/>
      <c r="J116" s="23"/>
      <c r="K116" s="24"/>
    </row>
    <row r="117" spans="4:11" customFormat="1" x14ac:dyDescent="0.3">
      <c r="D117" s="59"/>
      <c r="E117" s="60"/>
      <c r="F117" s="20" t="str">
        <f t="shared" si="1"/>
        <v/>
      </c>
      <c r="G117" s="21"/>
      <c r="H117" s="22"/>
      <c r="I117" s="22"/>
      <c r="J117" s="23"/>
      <c r="K117" s="24"/>
    </row>
    <row r="118" spans="4:11" customFormat="1" x14ac:dyDescent="0.3">
      <c r="D118" s="59"/>
      <c r="E118" s="60"/>
      <c r="F118" s="20" t="str">
        <f t="shared" si="1"/>
        <v/>
      </c>
      <c r="G118" s="21"/>
      <c r="H118" s="22"/>
      <c r="I118" s="22"/>
      <c r="J118" s="23"/>
      <c r="K118" s="24"/>
    </row>
    <row r="119" spans="4:11" customFormat="1" x14ac:dyDescent="0.3">
      <c r="D119" s="59"/>
      <c r="E119" s="60"/>
      <c r="F119" s="20" t="str">
        <f t="shared" si="1"/>
        <v/>
      </c>
      <c r="G119" s="21"/>
      <c r="H119" s="22"/>
      <c r="I119" s="22"/>
      <c r="J119" s="23"/>
      <c r="K119" s="24"/>
    </row>
    <row r="120" spans="4:11" customFormat="1" x14ac:dyDescent="0.3">
      <c r="D120" s="59"/>
      <c r="E120" s="60"/>
      <c r="F120" s="20" t="str">
        <f t="shared" si="1"/>
        <v/>
      </c>
      <c r="G120" s="21"/>
      <c r="H120" s="22"/>
      <c r="I120" s="22"/>
      <c r="J120" s="23"/>
      <c r="K120" s="24"/>
    </row>
    <row r="121" spans="4:11" customFormat="1" x14ac:dyDescent="0.3">
      <c r="D121" s="59"/>
      <c r="E121" s="60"/>
      <c r="F121" s="20" t="str">
        <f t="shared" si="1"/>
        <v/>
      </c>
      <c r="G121" s="21"/>
      <c r="H121" s="22"/>
      <c r="I121" s="22"/>
      <c r="J121" s="23"/>
      <c r="K121" s="24"/>
    </row>
    <row r="122" spans="4:11" customFormat="1" x14ac:dyDescent="0.3">
      <c r="D122" s="59"/>
      <c r="E122" s="60"/>
      <c r="F122" s="20" t="str">
        <f t="shared" si="1"/>
        <v/>
      </c>
      <c r="G122" s="21"/>
      <c r="H122" s="22"/>
      <c r="I122" s="22"/>
      <c r="J122" s="23"/>
      <c r="K122" s="24"/>
    </row>
    <row r="123" spans="4:11" customFormat="1" x14ac:dyDescent="0.3">
      <c r="D123" s="59"/>
      <c r="E123" s="60"/>
      <c r="F123" s="20" t="str">
        <f t="shared" si="1"/>
        <v/>
      </c>
      <c r="G123" s="21"/>
      <c r="H123" s="22"/>
      <c r="I123" s="22"/>
      <c r="J123" s="23"/>
      <c r="K123" s="24"/>
    </row>
    <row r="124" spans="4:11" customFormat="1" x14ac:dyDescent="0.3">
      <c r="D124" s="59"/>
      <c r="E124" s="60"/>
      <c r="F124" s="20" t="str">
        <f t="shared" si="1"/>
        <v/>
      </c>
      <c r="G124" s="21"/>
      <c r="H124" s="22"/>
      <c r="I124" s="22"/>
      <c r="J124" s="23"/>
      <c r="K124" s="24"/>
    </row>
    <row r="125" spans="4:11" customFormat="1" x14ac:dyDescent="0.3">
      <c r="D125" s="59"/>
      <c r="E125" s="60"/>
      <c r="F125" s="20" t="str">
        <f t="shared" si="1"/>
        <v/>
      </c>
      <c r="G125" s="21"/>
      <c r="H125" s="22"/>
      <c r="I125" s="22"/>
      <c r="J125" s="23"/>
      <c r="K125" s="24"/>
    </row>
    <row r="126" spans="4:11" customFormat="1" x14ac:dyDescent="0.3">
      <c r="D126" s="59"/>
      <c r="E126" s="60"/>
      <c r="F126" s="20" t="str">
        <f t="shared" si="1"/>
        <v/>
      </c>
      <c r="G126" s="21"/>
      <c r="H126" s="22"/>
      <c r="I126" s="22"/>
      <c r="J126" s="23"/>
      <c r="K126" s="24"/>
    </row>
    <row r="127" spans="4:11" customFormat="1" x14ac:dyDescent="0.3">
      <c r="D127" s="59"/>
      <c r="E127" s="60"/>
      <c r="F127" s="20" t="str">
        <f t="shared" si="1"/>
        <v/>
      </c>
      <c r="G127" s="21"/>
      <c r="H127" s="22"/>
      <c r="I127" s="22"/>
      <c r="J127" s="23"/>
      <c r="K127" s="24"/>
    </row>
    <row r="128" spans="4:11" customFormat="1" x14ac:dyDescent="0.3">
      <c r="D128" s="59"/>
      <c r="E128" s="60"/>
      <c r="F128" s="20" t="str">
        <f t="shared" si="1"/>
        <v/>
      </c>
      <c r="G128" s="21"/>
      <c r="H128" s="22"/>
      <c r="I128" s="22"/>
      <c r="J128" s="23"/>
      <c r="K128" s="24"/>
    </row>
    <row r="129" spans="4:11" customFormat="1" x14ac:dyDescent="0.3">
      <c r="D129" s="59"/>
      <c r="E129" s="60"/>
      <c r="F129" s="20" t="str">
        <f t="shared" si="1"/>
        <v/>
      </c>
      <c r="G129" s="21"/>
      <c r="H129" s="22"/>
      <c r="I129" s="22"/>
      <c r="J129" s="23"/>
      <c r="K129" s="24"/>
    </row>
    <row r="130" spans="4:11" customFormat="1" x14ac:dyDescent="0.3">
      <c r="D130" s="59"/>
      <c r="E130" s="60"/>
      <c r="F130" s="20" t="str">
        <f t="shared" si="1"/>
        <v/>
      </c>
      <c r="G130" s="21"/>
      <c r="H130" s="22"/>
      <c r="I130" s="22"/>
      <c r="J130" s="23"/>
      <c r="K130" s="24"/>
    </row>
    <row r="131" spans="4:11" customFormat="1" x14ac:dyDescent="0.3">
      <c r="D131" s="59"/>
      <c r="E131" s="60"/>
      <c r="F131" s="20" t="str">
        <f t="shared" ref="F131:F194" si="2">IF(A131="","",J131-ROUNDDOWN(J131*3%,-1)-ROUNDDOWN(J131*0.3%,-1))</f>
        <v/>
      </c>
      <c r="G131" s="21"/>
      <c r="H131" s="22"/>
      <c r="I131" s="22"/>
      <c r="J131" s="23"/>
      <c r="K131" s="24"/>
    </row>
    <row r="132" spans="4:11" customFormat="1" x14ac:dyDescent="0.3">
      <c r="D132" s="59"/>
      <c r="E132" s="60"/>
      <c r="F132" s="20" t="str">
        <f t="shared" si="2"/>
        <v/>
      </c>
      <c r="G132" s="21"/>
      <c r="H132" s="22"/>
      <c r="I132" s="22"/>
      <c r="J132" s="23"/>
      <c r="K132" s="24"/>
    </row>
    <row r="133" spans="4:11" customFormat="1" x14ac:dyDescent="0.3">
      <c r="D133" s="59"/>
      <c r="E133" s="60"/>
      <c r="F133" s="20" t="str">
        <f t="shared" si="2"/>
        <v/>
      </c>
      <c r="G133" s="21"/>
      <c r="H133" s="22"/>
      <c r="I133" s="22"/>
      <c r="J133" s="23"/>
      <c r="K133" s="24"/>
    </row>
    <row r="134" spans="4:11" customFormat="1" x14ac:dyDescent="0.3">
      <c r="D134" s="59"/>
      <c r="E134" s="60"/>
      <c r="F134" s="20" t="str">
        <f t="shared" si="2"/>
        <v/>
      </c>
      <c r="G134" s="21"/>
      <c r="H134" s="22"/>
      <c r="I134" s="22"/>
      <c r="J134" s="23"/>
      <c r="K134" s="24"/>
    </row>
    <row r="135" spans="4:11" customFormat="1" x14ac:dyDescent="0.3">
      <c r="D135" s="59"/>
      <c r="E135" s="60"/>
      <c r="F135" s="20" t="str">
        <f t="shared" si="2"/>
        <v/>
      </c>
      <c r="G135" s="21"/>
      <c r="H135" s="22"/>
      <c r="I135" s="22"/>
      <c r="J135" s="23"/>
      <c r="K135" s="24"/>
    </row>
    <row r="136" spans="4:11" customFormat="1" x14ac:dyDescent="0.3">
      <c r="D136" s="59"/>
      <c r="E136" s="60"/>
      <c r="F136" s="20" t="str">
        <f t="shared" si="2"/>
        <v/>
      </c>
      <c r="G136" s="21"/>
      <c r="H136" s="22"/>
      <c r="I136" s="22"/>
      <c r="J136" s="23"/>
      <c r="K136" s="24"/>
    </row>
    <row r="137" spans="4:11" customFormat="1" x14ac:dyDescent="0.3">
      <c r="D137" s="59"/>
      <c r="E137" s="60"/>
      <c r="F137" s="20" t="str">
        <f t="shared" si="2"/>
        <v/>
      </c>
      <c r="G137" s="21"/>
      <c r="H137" s="22"/>
      <c r="I137" s="22"/>
      <c r="J137" s="23"/>
      <c r="K137" s="24"/>
    </row>
    <row r="138" spans="4:11" customFormat="1" x14ac:dyDescent="0.3">
      <c r="D138" s="59"/>
      <c r="E138" s="60"/>
      <c r="F138" s="20" t="str">
        <f t="shared" si="2"/>
        <v/>
      </c>
      <c r="G138" s="21"/>
      <c r="H138" s="22"/>
      <c r="I138" s="22"/>
      <c r="J138" s="23"/>
      <c r="K138" s="24"/>
    </row>
    <row r="139" spans="4:11" customFormat="1" x14ac:dyDescent="0.3">
      <c r="D139" s="59"/>
      <c r="E139" s="60"/>
      <c r="F139" s="20" t="str">
        <f t="shared" si="2"/>
        <v/>
      </c>
      <c r="G139" s="21"/>
      <c r="H139" s="22"/>
      <c r="I139" s="22"/>
      <c r="J139" s="23"/>
      <c r="K139" s="24"/>
    </row>
    <row r="140" spans="4:11" customFormat="1" x14ac:dyDescent="0.3">
      <c r="D140" s="59"/>
      <c r="E140" s="60"/>
      <c r="F140" s="20" t="str">
        <f t="shared" si="2"/>
        <v/>
      </c>
      <c r="G140" s="21"/>
      <c r="H140" s="22"/>
      <c r="I140" s="22"/>
      <c r="J140" s="23"/>
      <c r="K140" s="24"/>
    </row>
    <row r="141" spans="4:11" customFormat="1" x14ac:dyDescent="0.3">
      <c r="D141" s="59"/>
      <c r="E141" s="60"/>
      <c r="F141" s="20" t="str">
        <f t="shared" si="2"/>
        <v/>
      </c>
      <c r="G141" s="21"/>
      <c r="H141" s="22"/>
      <c r="I141" s="22"/>
      <c r="J141" s="23"/>
      <c r="K141" s="24"/>
    </row>
    <row r="142" spans="4:11" customFormat="1" x14ac:dyDescent="0.3">
      <c r="D142" s="59"/>
      <c r="E142" s="60"/>
      <c r="F142" s="20" t="str">
        <f t="shared" si="2"/>
        <v/>
      </c>
      <c r="G142" s="21"/>
      <c r="H142" s="22"/>
      <c r="I142" s="22"/>
      <c r="J142" s="23"/>
      <c r="K142" s="24"/>
    </row>
    <row r="143" spans="4:11" customFormat="1" x14ac:dyDescent="0.3">
      <c r="D143" s="59"/>
      <c r="E143" s="60"/>
      <c r="F143" s="20" t="str">
        <f t="shared" si="2"/>
        <v/>
      </c>
      <c r="G143" s="21"/>
      <c r="H143" s="22"/>
      <c r="I143" s="22"/>
      <c r="J143" s="23"/>
      <c r="K143" s="24"/>
    </row>
    <row r="144" spans="4:11" customFormat="1" x14ac:dyDescent="0.3">
      <c r="D144" s="59"/>
      <c r="E144" s="60"/>
      <c r="F144" s="20" t="str">
        <f t="shared" si="2"/>
        <v/>
      </c>
      <c r="G144" s="21"/>
      <c r="H144" s="22"/>
      <c r="I144" s="22"/>
      <c r="J144" s="23"/>
      <c r="K144" s="24"/>
    </row>
    <row r="145" spans="4:11" customFormat="1" x14ac:dyDescent="0.3">
      <c r="D145" s="59"/>
      <c r="E145" s="60"/>
      <c r="F145" s="20" t="str">
        <f t="shared" si="2"/>
        <v/>
      </c>
      <c r="G145" s="21"/>
      <c r="H145" s="22"/>
      <c r="I145" s="22"/>
      <c r="J145" s="23"/>
      <c r="K145" s="24"/>
    </row>
    <row r="146" spans="4:11" customFormat="1" x14ac:dyDescent="0.3">
      <c r="D146" s="59"/>
      <c r="E146" s="60"/>
      <c r="F146" s="20" t="str">
        <f t="shared" si="2"/>
        <v/>
      </c>
      <c r="G146" s="21"/>
      <c r="H146" s="22"/>
      <c r="I146" s="22"/>
      <c r="J146" s="23"/>
      <c r="K146" s="24"/>
    </row>
    <row r="147" spans="4:11" customFormat="1" x14ac:dyDescent="0.3">
      <c r="D147" s="59"/>
      <c r="E147" s="60"/>
      <c r="F147" s="20" t="str">
        <f t="shared" si="2"/>
        <v/>
      </c>
      <c r="G147" s="21"/>
      <c r="H147" s="22"/>
      <c r="I147" s="22"/>
      <c r="J147" s="23"/>
      <c r="K147" s="24"/>
    </row>
    <row r="148" spans="4:11" customFormat="1" x14ac:dyDescent="0.3">
      <c r="D148" s="59"/>
      <c r="E148" s="60"/>
      <c r="F148" s="20" t="str">
        <f t="shared" si="2"/>
        <v/>
      </c>
      <c r="G148" s="21"/>
      <c r="H148" s="22"/>
      <c r="I148" s="22"/>
      <c r="J148" s="23"/>
      <c r="K148" s="24"/>
    </row>
    <row r="149" spans="4:11" customFormat="1" x14ac:dyDescent="0.3">
      <c r="D149" s="59"/>
      <c r="E149" s="60"/>
      <c r="F149" s="20" t="str">
        <f t="shared" si="2"/>
        <v/>
      </c>
      <c r="G149" s="21"/>
      <c r="H149" s="22"/>
      <c r="I149" s="22"/>
      <c r="J149" s="23"/>
      <c r="K149" s="24"/>
    </row>
    <row r="150" spans="4:11" customFormat="1" x14ac:dyDescent="0.3">
      <c r="D150" s="59"/>
      <c r="E150" s="60"/>
      <c r="F150" s="20" t="str">
        <f t="shared" si="2"/>
        <v/>
      </c>
      <c r="G150" s="21"/>
      <c r="H150" s="22"/>
      <c r="I150" s="22"/>
      <c r="J150" s="23"/>
      <c r="K150" s="24"/>
    </row>
    <row r="151" spans="4:11" customFormat="1" x14ac:dyDescent="0.3">
      <c r="D151" s="59"/>
      <c r="E151" s="60"/>
      <c r="F151" s="20" t="str">
        <f t="shared" si="2"/>
        <v/>
      </c>
      <c r="G151" s="21"/>
      <c r="H151" s="22"/>
      <c r="I151" s="22"/>
      <c r="J151" s="23"/>
      <c r="K151" s="24"/>
    </row>
    <row r="152" spans="4:11" customFormat="1" x14ac:dyDescent="0.3">
      <c r="D152" s="59"/>
      <c r="E152" s="60"/>
      <c r="F152" s="20" t="str">
        <f t="shared" si="2"/>
        <v/>
      </c>
      <c r="G152" s="21"/>
      <c r="H152" s="22"/>
      <c r="I152" s="22"/>
      <c r="J152" s="23"/>
      <c r="K152" s="24"/>
    </row>
    <row r="153" spans="4:11" customFormat="1" x14ac:dyDescent="0.3">
      <c r="D153" s="59"/>
      <c r="E153" s="60"/>
      <c r="F153" s="20" t="str">
        <f t="shared" si="2"/>
        <v/>
      </c>
      <c r="G153" s="21"/>
      <c r="H153" s="22"/>
      <c r="I153" s="22"/>
      <c r="J153" s="23"/>
      <c r="K153" s="24"/>
    </row>
    <row r="154" spans="4:11" customFormat="1" x14ac:dyDescent="0.3">
      <c r="D154" s="59"/>
      <c r="E154" s="60"/>
      <c r="F154" s="20" t="str">
        <f t="shared" si="2"/>
        <v/>
      </c>
      <c r="G154" s="21"/>
      <c r="H154" s="22"/>
      <c r="I154" s="22"/>
      <c r="J154" s="23"/>
      <c r="K154" s="24"/>
    </row>
    <row r="155" spans="4:11" customFormat="1" x14ac:dyDescent="0.3">
      <c r="D155" s="59"/>
      <c r="E155" s="60"/>
      <c r="F155" s="20" t="str">
        <f t="shared" si="2"/>
        <v/>
      </c>
      <c r="G155" s="21"/>
      <c r="H155" s="22"/>
      <c r="I155" s="22"/>
      <c r="J155" s="23"/>
      <c r="K155" s="24"/>
    </row>
    <row r="156" spans="4:11" customFormat="1" x14ac:dyDescent="0.3">
      <c r="D156" s="59"/>
      <c r="E156" s="60"/>
      <c r="F156" s="20" t="str">
        <f t="shared" si="2"/>
        <v/>
      </c>
      <c r="G156" s="21"/>
      <c r="H156" s="22"/>
      <c r="I156" s="22"/>
      <c r="J156" s="23"/>
      <c r="K156" s="24"/>
    </row>
    <row r="157" spans="4:11" customFormat="1" x14ac:dyDescent="0.3">
      <c r="D157" s="59"/>
      <c r="E157" s="60"/>
      <c r="F157" s="20" t="str">
        <f t="shared" si="2"/>
        <v/>
      </c>
      <c r="G157" s="21"/>
      <c r="H157" s="22"/>
      <c r="I157" s="22"/>
      <c r="J157" s="23"/>
      <c r="K157" s="24"/>
    </row>
    <row r="158" spans="4:11" customFormat="1" x14ac:dyDescent="0.3">
      <c r="D158" s="59"/>
      <c r="E158" s="60"/>
      <c r="F158" s="20" t="str">
        <f t="shared" si="2"/>
        <v/>
      </c>
      <c r="G158" s="21"/>
      <c r="H158" s="22"/>
      <c r="I158" s="22"/>
      <c r="J158" s="23"/>
      <c r="K158" s="24"/>
    </row>
    <row r="159" spans="4:11" customFormat="1" x14ac:dyDescent="0.3">
      <c r="D159" s="59"/>
      <c r="E159" s="60"/>
      <c r="F159" s="20" t="str">
        <f t="shared" si="2"/>
        <v/>
      </c>
      <c r="G159" s="21"/>
      <c r="H159" s="22"/>
      <c r="I159" s="22"/>
      <c r="J159" s="23"/>
      <c r="K159" s="24"/>
    </row>
    <row r="160" spans="4:11" customFormat="1" x14ac:dyDescent="0.3">
      <c r="D160" s="59"/>
      <c r="E160" s="60"/>
      <c r="F160" s="20" t="str">
        <f t="shared" si="2"/>
        <v/>
      </c>
      <c r="G160" s="21"/>
      <c r="H160" s="22"/>
      <c r="I160" s="22"/>
      <c r="J160" s="23"/>
      <c r="K160" s="24"/>
    </row>
    <row r="161" spans="4:11" customFormat="1" x14ac:dyDescent="0.3">
      <c r="D161" s="59"/>
      <c r="E161" s="60"/>
      <c r="F161" s="20" t="str">
        <f t="shared" si="2"/>
        <v/>
      </c>
      <c r="G161" s="21"/>
      <c r="H161" s="22"/>
      <c r="I161" s="22"/>
      <c r="J161" s="23"/>
      <c r="K161" s="24"/>
    </row>
    <row r="162" spans="4:11" customFormat="1" x14ac:dyDescent="0.3">
      <c r="D162" s="59"/>
      <c r="E162" s="60"/>
      <c r="F162" s="20" t="str">
        <f t="shared" si="2"/>
        <v/>
      </c>
      <c r="G162" s="21"/>
      <c r="H162" s="22"/>
      <c r="I162" s="22"/>
      <c r="J162" s="23"/>
      <c r="K162" s="24"/>
    </row>
    <row r="163" spans="4:11" customFormat="1" x14ac:dyDescent="0.3">
      <c r="D163" s="59"/>
      <c r="E163" s="60"/>
      <c r="F163" s="20" t="str">
        <f t="shared" si="2"/>
        <v/>
      </c>
      <c r="G163" s="21"/>
      <c r="H163" s="22"/>
      <c r="I163" s="22"/>
      <c r="J163" s="23"/>
      <c r="K163" s="24"/>
    </row>
    <row r="164" spans="4:11" customFormat="1" x14ac:dyDescent="0.3">
      <c r="D164" s="59"/>
      <c r="E164" s="60"/>
      <c r="F164" s="20" t="str">
        <f t="shared" si="2"/>
        <v/>
      </c>
      <c r="G164" s="21"/>
      <c r="H164" s="22"/>
      <c r="I164" s="22"/>
      <c r="J164" s="23"/>
      <c r="K164" s="24"/>
    </row>
    <row r="165" spans="4:11" customFormat="1" x14ac:dyDescent="0.3">
      <c r="D165" s="59"/>
      <c r="E165" s="60"/>
      <c r="F165" s="20" t="str">
        <f t="shared" si="2"/>
        <v/>
      </c>
      <c r="G165" s="21"/>
      <c r="H165" s="22"/>
      <c r="I165" s="22"/>
      <c r="J165" s="23"/>
      <c r="K165" s="24"/>
    </row>
    <row r="166" spans="4:11" customFormat="1" x14ac:dyDescent="0.3">
      <c r="D166" s="59"/>
      <c r="E166" s="60"/>
      <c r="F166" s="20" t="str">
        <f t="shared" si="2"/>
        <v/>
      </c>
      <c r="G166" s="21"/>
      <c r="H166" s="22"/>
      <c r="I166" s="22"/>
      <c r="J166" s="23"/>
      <c r="K166" s="24"/>
    </row>
    <row r="167" spans="4:11" customFormat="1" x14ac:dyDescent="0.3">
      <c r="D167" s="59"/>
      <c r="E167" s="60"/>
      <c r="F167" s="20" t="str">
        <f t="shared" si="2"/>
        <v/>
      </c>
      <c r="G167" s="21"/>
      <c r="H167" s="22"/>
      <c r="I167" s="22"/>
      <c r="J167" s="23"/>
      <c r="K167" s="24"/>
    </row>
    <row r="168" spans="4:11" customFormat="1" x14ac:dyDescent="0.3">
      <c r="D168" s="59"/>
      <c r="E168" s="60"/>
      <c r="F168" s="20" t="str">
        <f t="shared" si="2"/>
        <v/>
      </c>
      <c r="G168" s="21"/>
      <c r="H168" s="22"/>
      <c r="I168" s="22"/>
      <c r="J168" s="23"/>
      <c r="K168" s="24"/>
    </row>
    <row r="169" spans="4:11" customFormat="1" x14ac:dyDescent="0.3">
      <c r="D169" s="59"/>
      <c r="E169" s="60"/>
      <c r="F169" s="20" t="str">
        <f t="shared" si="2"/>
        <v/>
      </c>
      <c r="G169" s="21"/>
      <c r="H169" s="22"/>
      <c r="I169" s="22"/>
      <c r="J169" s="23"/>
      <c r="K169" s="24"/>
    </row>
    <row r="170" spans="4:11" customFormat="1" x14ac:dyDescent="0.3">
      <c r="D170" s="59"/>
      <c r="E170" s="60"/>
      <c r="F170" s="20" t="str">
        <f t="shared" si="2"/>
        <v/>
      </c>
      <c r="G170" s="21"/>
      <c r="H170" s="22"/>
      <c r="I170" s="22"/>
      <c r="J170" s="23"/>
      <c r="K170" s="24"/>
    </row>
    <row r="171" spans="4:11" customFormat="1" x14ac:dyDescent="0.3">
      <c r="D171" s="59"/>
      <c r="E171" s="60"/>
      <c r="F171" s="20" t="str">
        <f t="shared" si="2"/>
        <v/>
      </c>
      <c r="G171" s="21"/>
      <c r="H171" s="22"/>
      <c r="I171" s="22"/>
      <c r="J171" s="23"/>
      <c r="K171" s="24"/>
    </row>
    <row r="172" spans="4:11" customFormat="1" x14ac:dyDescent="0.3">
      <c r="D172" s="59"/>
      <c r="E172" s="60"/>
      <c r="F172" s="20" t="str">
        <f t="shared" si="2"/>
        <v/>
      </c>
      <c r="G172" s="21"/>
      <c r="H172" s="22"/>
      <c r="I172" s="22"/>
      <c r="J172" s="23"/>
      <c r="K172" s="24"/>
    </row>
    <row r="173" spans="4:11" customFormat="1" x14ac:dyDescent="0.3">
      <c r="D173" s="59"/>
      <c r="E173" s="60"/>
      <c r="F173" s="20" t="str">
        <f t="shared" si="2"/>
        <v/>
      </c>
      <c r="G173" s="21"/>
      <c r="H173" s="22"/>
      <c r="I173" s="22"/>
      <c r="J173" s="23"/>
      <c r="K173" s="24"/>
    </row>
    <row r="174" spans="4:11" customFormat="1" x14ac:dyDescent="0.3">
      <c r="D174" s="59"/>
      <c r="E174" s="60"/>
      <c r="F174" s="20" t="str">
        <f t="shared" si="2"/>
        <v/>
      </c>
      <c r="G174" s="21"/>
      <c r="H174" s="22"/>
      <c r="I174" s="22"/>
      <c r="J174" s="23"/>
      <c r="K174" s="24"/>
    </row>
    <row r="175" spans="4:11" customFormat="1" x14ac:dyDescent="0.3">
      <c r="D175" s="59"/>
      <c r="E175" s="60"/>
      <c r="F175" s="20" t="str">
        <f t="shared" si="2"/>
        <v/>
      </c>
      <c r="G175" s="21"/>
      <c r="H175" s="22"/>
      <c r="I175" s="22"/>
      <c r="J175" s="23"/>
      <c r="K175" s="24"/>
    </row>
    <row r="176" spans="4:11" customFormat="1" x14ac:dyDescent="0.3">
      <c r="D176" s="59"/>
      <c r="E176" s="60"/>
      <c r="F176" s="20" t="str">
        <f t="shared" si="2"/>
        <v/>
      </c>
      <c r="G176" s="21"/>
      <c r="H176" s="22"/>
      <c r="I176" s="22"/>
      <c r="J176" s="23"/>
      <c r="K176" s="24"/>
    </row>
    <row r="177" spans="4:11" customFormat="1" x14ac:dyDescent="0.3">
      <c r="D177" s="59"/>
      <c r="E177" s="60"/>
      <c r="F177" s="20" t="str">
        <f t="shared" si="2"/>
        <v/>
      </c>
      <c r="G177" s="21"/>
      <c r="H177" s="22"/>
      <c r="I177" s="22"/>
      <c r="J177" s="23"/>
      <c r="K177" s="24"/>
    </row>
    <row r="178" spans="4:11" customFormat="1" x14ac:dyDescent="0.3">
      <c r="D178" s="59"/>
      <c r="E178" s="60"/>
      <c r="F178" s="20" t="str">
        <f t="shared" si="2"/>
        <v/>
      </c>
      <c r="G178" s="21"/>
      <c r="H178" s="22"/>
      <c r="I178" s="22"/>
      <c r="J178" s="23"/>
      <c r="K178" s="24"/>
    </row>
    <row r="179" spans="4:11" customFormat="1" x14ac:dyDescent="0.3">
      <c r="D179" s="59"/>
      <c r="E179" s="60"/>
      <c r="F179" s="20" t="str">
        <f t="shared" si="2"/>
        <v/>
      </c>
      <c r="G179" s="21"/>
      <c r="H179" s="22"/>
      <c r="I179" s="22"/>
      <c r="J179" s="23"/>
      <c r="K179" s="24"/>
    </row>
    <row r="180" spans="4:11" customFormat="1" x14ac:dyDescent="0.3">
      <c r="D180" s="59"/>
      <c r="E180" s="60"/>
      <c r="F180" s="20" t="str">
        <f t="shared" si="2"/>
        <v/>
      </c>
      <c r="G180" s="21"/>
      <c r="H180" s="22"/>
      <c r="I180" s="22"/>
      <c r="J180" s="23"/>
      <c r="K180" s="24"/>
    </row>
    <row r="181" spans="4:11" customFormat="1" x14ac:dyDescent="0.3">
      <c r="D181" s="59"/>
      <c r="E181" s="60"/>
      <c r="F181" s="20" t="str">
        <f t="shared" si="2"/>
        <v/>
      </c>
      <c r="G181" s="21"/>
      <c r="H181" s="22"/>
      <c r="I181" s="22"/>
      <c r="J181" s="23"/>
      <c r="K181" s="24"/>
    </row>
    <row r="182" spans="4:11" customFormat="1" x14ac:dyDescent="0.3">
      <c r="D182" s="59"/>
      <c r="E182" s="60"/>
      <c r="F182" s="20" t="str">
        <f t="shared" si="2"/>
        <v/>
      </c>
      <c r="G182" s="21"/>
      <c r="H182" s="22"/>
      <c r="I182" s="22"/>
      <c r="J182" s="23"/>
      <c r="K182" s="24"/>
    </row>
    <row r="183" spans="4:11" customFormat="1" x14ac:dyDescent="0.3">
      <c r="D183" s="59"/>
      <c r="E183" s="60"/>
      <c r="F183" s="20" t="str">
        <f t="shared" si="2"/>
        <v/>
      </c>
      <c r="G183" s="21"/>
      <c r="H183" s="22"/>
      <c r="I183" s="22"/>
      <c r="J183" s="23"/>
      <c r="K183" s="24"/>
    </row>
    <row r="184" spans="4:11" customFormat="1" x14ac:dyDescent="0.3">
      <c r="D184" s="59"/>
      <c r="E184" s="60"/>
      <c r="F184" s="20" t="str">
        <f t="shared" si="2"/>
        <v/>
      </c>
      <c r="G184" s="21"/>
      <c r="H184" s="22"/>
      <c r="I184" s="22"/>
      <c r="J184" s="23"/>
      <c r="K184" s="24"/>
    </row>
    <row r="185" spans="4:11" customFormat="1" x14ac:dyDescent="0.3">
      <c r="D185" s="59"/>
      <c r="E185" s="60"/>
      <c r="F185" s="20" t="str">
        <f t="shared" si="2"/>
        <v/>
      </c>
      <c r="G185" s="21"/>
      <c r="H185" s="22"/>
      <c r="I185" s="22"/>
      <c r="J185" s="23"/>
      <c r="K185" s="24"/>
    </row>
    <row r="186" spans="4:11" customFormat="1" x14ac:dyDescent="0.3">
      <c r="D186" s="59"/>
      <c r="E186" s="60"/>
      <c r="F186" s="20" t="str">
        <f t="shared" si="2"/>
        <v/>
      </c>
      <c r="G186" s="21"/>
      <c r="H186" s="22"/>
      <c r="I186" s="22"/>
      <c r="J186" s="23"/>
      <c r="K186" s="24"/>
    </row>
    <row r="187" spans="4:11" customFormat="1" x14ac:dyDescent="0.3">
      <c r="D187" s="59"/>
      <c r="E187" s="60"/>
      <c r="F187" s="20" t="str">
        <f t="shared" si="2"/>
        <v/>
      </c>
      <c r="G187" s="21"/>
      <c r="H187" s="22"/>
      <c r="I187" s="22"/>
      <c r="J187" s="23"/>
      <c r="K187" s="24"/>
    </row>
    <row r="188" spans="4:11" customFormat="1" x14ac:dyDescent="0.3">
      <c r="D188" s="59"/>
      <c r="E188" s="60"/>
      <c r="F188" s="20" t="str">
        <f t="shared" si="2"/>
        <v/>
      </c>
      <c r="G188" s="21"/>
      <c r="H188" s="22"/>
      <c r="I188" s="22"/>
      <c r="J188" s="23"/>
      <c r="K188" s="24"/>
    </row>
    <row r="189" spans="4:11" customFormat="1" x14ac:dyDescent="0.3">
      <c r="D189" s="59"/>
      <c r="E189" s="60"/>
      <c r="F189" s="20" t="str">
        <f t="shared" si="2"/>
        <v/>
      </c>
      <c r="G189" s="21"/>
      <c r="H189" s="22"/>
      <c r="I189" s="22"/>
      <c r="J189" s="23"/>
      <c r="K189" s="24"/>
    </row>
    <row r="190" spans="4:11" customFormat="1" x14ac:dyDescent="0.3">
      <c r="D190" s="59"/>
      <c r="E190" s="60"/>
      <c r="F190" s="20" t="str">
        <f t="shared" si="2"/>
        <v/>
      </c>
      <c r="G190" s="21"/>
      <c r="H190" s="22"/>
      <c r="I190" s="22"/>
      <c r="J190" s="23"/>
      <c r="K190" s="24"/>
    </row>
    <row r="191" spans="4:11" customFormat="1" x14ac:dyDescent="0.3">
      <c r="D191" s="59"/>
      <c r="E191" s="60"/>
      <c r="F191" s="20" t="str">
        <f t="shared" si="2"/>
        <v/>
      </c>
      <c r="G191" s="21"/>
      <c r="H191" s="22"/>
      <c r="I191" s="22"/>
      <c r="J191" s="23"/>
      <c r="K191" s="24"/>
    </row>
    <row r="192" spans="4:11" customFormat="1" x14ac:dyDescent="0.3">
      <c r="D192" s="59"/>
      <c r="E192" s="60"/>
      <c r="F192" s="20" t="str">
        <f t="shared" si="2"/>
        <v/>
      </c>
      <c r="G192" s="21"/>
      <c r="H192" s="22"/>
      <c r="I192" s="22"/>
      <c r="J192" s="23"/>
      <c r="K192" s="24"/>
    </row>
    <row r="193" spans="4:11" customFormat="1" x14ac:dyDescent="0.3">
      <c r="D193" s="59"/>
      <c r="E193" s="60"/>
      <c r="F193" s="20" t="str">
        <f t="shared" si="2"/>
        <v/>
      </c>
      <c r="G193" s="21"/>
      <c r="H193" s="22"/>
      <c r="I193" s="22"/>
      <c r="J193" s="23"/>
      <c r="K193" s="24"/>
    </row>
    <row r="194" spans="4:11" customFormat="1" x14ac:dyDescent="0.3">
      <c r="D194" s="59"/>
      <c r="E194" s="60"/>
      <c r="F194" s="20" t="str">
        <f t="shared" si="2"/>
        <v/>
      </c>
      <c r="G194" s="21"/>
      <c r="H194" s="22"/>
      <c r="I194" s="22"/>
      <c r="J194" s="23"/>
      <c r="K194" s="24"/>
    </row>
    <row r="195" spans="4:11" customFormat="1" x14ac:dyDescent="0.3">
      <c r="D195" s="59"/>
      <c r="E195" s="60"/>
      <c r="F195" s="20" t="str">
        <f t="shared" ref="F195:F258" si="3">IF(A195="","",J195-ROUNDDOWN(J195*3%,-1)-ROUNDDOWN(J195*0.3%,-1))</f>
        <v/>
      </c>
      <c r="G195" s="21"/>
      <c r="H195" s="22"/>
      <c r="I195" s="22"/>
      <c r="J195" s="23"/>
      <c r="K195" s="24"/>
    </row>
    <row r="196" spans="4:11" customFormat="1" x14ac:dyDescent="0.3">
      <c r="D196" s="59"/>
      <c r="E196" s="60"/>
      <c r="F196" s="20" t="str">
        <f t="shared" si="3"/>
        <v/>
      </c>
      <c r="G196" s="21"/>
      <c r="H196" s="22"/>
      <c r="I196" s="22"/>
      <c r="J196" s="23"/>
      <c r="K196" s="24"/>
    </row>
    <row r="197" spans="4:11" customFormat="1" x14ac:dyDescent="0.3">
      <c r="D197" s="59"/>
      <c r="E197" s="60"/>
      <c r="F197" s="20" t="str">
        <f t="shared" si="3"/>
        <v/>
      </c>
      <c r="G197" s="21"/>
      <c r="H197" s="22"/>
      <c r="I197" s="22"/>
      <c r="J197" s="23"/>
      <c r="K197" s="24"/>
    </row>
    <row r="198" spans="4:11" customFormat="1" x14ac:dyDescent="0.3">
      <c r="D198" s="59"/>
      <c r="E198" s="60"/>
      <c r="F198" s="20" t="str">
        <f t="shared" si="3"/>
        <v/>
      </c>
      <c r="G198" s="21"/>
      <c r="H198" s="22"/>
      <c r="I198" s="22"/>
      <c r="J198" s="23"/>
      <c r="K198" s="24"/>
    </row>
    <row r="199" spans="4:11" customFormat="1" x14ac:dyDescent="0.3">
      <c r="D199" s="59"/>
      <c r="E199" s="60"/>
      <c r="F199" s="20" t="str">
        <f t="shared" si="3"/>
        <v/>
      </c>
      <c r="G199" s="21"/>
      <c r="H199" s="22"/>
      <c r="I199" s="22"/>
      <c r="J199" s="23"/>
      <c r="K199" s="24"/>
    </row>
    <row r="200" spans="4:11" customFormat="1" x14ac:dyDescent="0.3">
      <c r="D200" s="59"/>
      <c r="E200" s="60"/>
      <c r="F200" s="20" t="str">
        <f t="shared" si="3"/>
        <v/>
      </c>
      <c r="G200" s="21"/>
      <c r="H200" s="22"/>
      <c r="I200" s="22"/>
      <c r="J200" s="23"/>
      <c r="K200" s="24"/>
    </row>
    <row r="201" spans="4:11" customFormat="1" x14ac:dyDescent="0.3">
      <c r="D201" s="59"/>
      <c r="E201" s="60"/>
      <c r="F201" s="20" t="str">
        <f t="shared" si="3"/>
        <v/>
      </c>
      <c r="G201" s="21"/>
      <c r="H201" s="22"/>
      <c r="I201" s="22"/>
      <c r="J201" s="23"/>
      <c r="K201" s="24"/>
    </row>
    <row r="202" spans="4:11" customFormat="1" x14ac:dyDescent="0.3">
      <c r="D202" s="59"/>
      <c r="E202" s="60"/>
      <c r="F202" s="20" t="str">
        <f t="shared" si="3"/>
        <v/>
      </c>
      <c r="G202" s="21"/>
      <c r="H202" s="22"/>
      <c r="I202" s="22"/>
      <c r="J202" s="23"/>
      <c r="K202" s="24"/>
    </row>
    <row r="203" spans="4:11" customFormat="1" x14ac:dyDescent="0.3">
      <c r="D203" s="59"/>
      <c r="E203" s="60"/>
      <c r="F203" s="20" t="str">
        <f t="shared" si="3"/>
        <v/>
      </c>
      <c r="G203" s="21"/>
      <c r="H203" s="22"/>
      <c r="I203" s="22"/>
      <c r="J203" s="23"/>
      <c r="K203" s="24"/>
    </row>
    <row r="204" spans="4:11" customFormat="1" x14ac:dyDescent="0.3">
      <c r="D204" s="59"/>
      <c r="E204" s="60"/>
      <c r="F204" s="20" t="str">
        <f t="shared" si="3"/>
        <v/>
      </c>
      <c r="G204" s="21"/>
      <c r="H204" s="22"/>
      <c r="I204" s="22"/>
      <c r="J204" s="23"/>
      <c r="K204" s="24"/>
    </row>
    <row r="205" spans="4:11" customFormat="1" x14ac:dyDescent="0.3">
      <c r="D205" s="59"/>
      <c r="E205" s="60"/>
      <c r="F205" s="20" t="str">
        <f t="shared" si="3"/>
        <v/>
      </c>
      <c r="G205" s="21"/>
      <c r="H205" s="22"/>
      <c r="I205" s="22"/>
      <c r="J205" s="23"/>
      <c r="K205" s="24"/>
    </row>
    <row r="206" spans="4:11" customFormat="1" x14ac:dyDescent="0.3">
      <c r="D206" s="59"/>
      <c r="E206" s="60"/>
      <c r="F206" s="20" t="str">
        <f t="shared" si="3"/>
        <v/>
      </c>
      <c r="G206" s="21"/>
      <c r="H206" s="22"/>
      <c r="I206" s="22"/>
      <c r="J206" s="23"/>
      <c r="K206" s="24"/>
    </row>
    <row r="207" spans="4:11" customFormat="1" x14ac:dyDescent="0.3">
      <c r="D207" s="59"/>
      <c r="E207" s="60"/>
      <c r="F207" s="20" t="str">
        <f t="shared" si="3"/>
        <v/>
      </c>
      <c r="G207" s="21"/>
      <c r="H207" s="22"/>
      <c r="I207" s="22"/>
      <c r="J207" s="23"/>
      <c r="K207" s="24"/>
    </row>
    <row r="208" spans="4:11" customFormat="1" x14ac:dyDescent="0.3">
      <c r="D208" s="59"/>
      <c r="E208" s="60"/>
      <c r="F208" s="20" t="str">
        <f t="shared" si="3"/>
        <v/>
      </c>
      <c r="G208" s="21"/>
      <c r="H208" s="22"/>
      <c r="I208" s="22"/>
      <c r="J208" s="23"/>
      <c r="K208" s="24"/>
    </row>
    <row r="209" spans="4:11" customFormat="1" x14ac:dyDescent="0.3">
      <c r="D209" s="59"/>
      <c r="E209" s="60"/>
      <c r="F209" s="20" t="str">
        <f t="shared" si="3"/>
        <v/>
      </c>
      <c r="G209" s="21"/>
      <c r="H209" s="22"/>
      <c r="I209" s="22"/>
      <c r="J209" s="23"/>
      <c r="K209" s="24"/>
    </row>
    <row r="210" spans="4:11" customFormat="1" x14ac:dyDescent="0.3">
      <c r="D210" s="59"/>
      <c r="E210" s="60"/>
      <c r="F210" s="20" t="str">
        <f t="shared" si="3"/>
        <v/>
      </c>
      <c r="G210" s="21"/>
      <c r="H210" s="22"/>
      <c r="I210" s="22"/>
      <c r="J210" s="23"/>
      <c r="K210" s="24"/>
    </row>
    <row r="211" spans="4:11" customFormat="1" x14ac:dyDescent="0.3">
      <c r="D211" s="59"/>
      <c r="E211" s="60"/>
      <c r="F211" s="20" t="str">
        <f t="shared" si="3"/>
        <v/>
      </c>
      <c r="G211" s="21"/>
      <c r="H211" s="22"/>
      <c r="I211" s="22"/>
      <c r="J211" s="23"/>
      <c r="K211" s="24"/>
    </row>
    <row r="212" spans="4:11" customFormat="1" x14ac:dyDescent="0.3">
      <c r="D212" s="59"/>
      <c r="E212" s="60"/>
      <c r="F212" s="20" t="str">
        <f t="shared" si="3"/>
        <v/>
      </c>
      <c r="G212" s="21"/>
      <c r="H212" s="22"/>
      <c r="I212" s="22"/>
      <c r="J212" s="23"/>
      <c r="K212" s="24"/>
    </row>
    <row r="213" spans="4:11" customFormat="1" x14ac:dyDescent="0.3">
      <c r="D213" s="59"/>
      <c r="E213" s="60"/>
      <c r="F213" s="20" t="str">
        <f t="shared" si="3"/>
        <v/>
      </c>
      <c r="G213" s="21"/>
      <c r="H213" s="22"/>
      <c r="I213" s="22"/>
      <c r="J213" s="23"/>
      <c r="K213" s="24"/>
    </row>
    <row r="214" spans="4:11" customFormat="1" x14ac:dyDescent="0.3">
      <c r="D214" s="59"/>
      <c r="E214" s="60"/>
      <c r="F214" s="20" t="str">
        <f t="shared" si="3"/>
        <v/>
      </c>
      <c r="G214" s="21"/>
      <c r="H214" s="22"/>
      <c r="I214" s="22"/>
      <c r="J214" s="23"/>
      <c r="K214" s="24"/>
    </row>
    <row r="215" spans="4:11" customFormat="1" x14ac:dyDescent="0.3">
      <c r="D215" s="59"/>
      <c r="E215" s="60"/>
      <c r="F215" s="20" t="str">
        <f t="shared" si="3"/>
        <v/>
      </c>
      <c r="G215" s="21"/>
      <c r="H215" s="22"/>
      <c r="I215" s="22"/>
      <c r="J215" s="23"/>
      <c r="K215" s="24"/>
    </row>
    <row r="216" spans="4:11" customFormat="1" x14ac:dyDescent="0.3">
      <c r="D216" s="59"/>
      <c r="E216" s="60"/>
      <c r="F216" s="20" t="str">
        <f t="shared" si="3"/>
        <v/>
      </c>
      <c r="G216" s="21"/>
      <c r="H216" s="22"/>
      <c r="I216" s="22"/>
      <c r="J216" s="23"/>
      <c r="K216" s="24"/>
    </row>
    <row r="217" spans="4:11" customFormat="1" x14ac:dyDescent="0.3">
      <c r="D217" s="59"/>
      <c r="E217" s="60"/>
      <c r="F217" s="20" t="str">
        <f t="shared" si="3"/>
        <v/>
      </c>
      <c r="G217" s="21"/>
      <c r="H217" s="22"/>
      <c r="I217" s="22"/>
      <c r="J217" s="23"/>
      <c r="K217" s="24"/>
    </row>
    <row r="218" spans="4:11" customFormat="1" x14ac:dyDescent="0.3">
      <c r="D218" s="59"/>
      <c r="E218" s="60"/>
      <c r="F218" s="20" t="str">
        <f t="shared" si="3"/>
        <v/>
      </c>
      <c r="G218" s="21"/>
      <c r="H218" s="22"/>
      <c r="I218" s="22"/>
      <c r="J218" s="23"/>
      <c r="K218" s="24"/>
    </row>
    <row r="219" spans="4:11" customFormat="1" x14ac:dyDescent="0.3">
      <c r="D219" s="59"/>
      <c r="E219" s="60"/>
      <c r="F219" s="20" t="str">
        <f t="shared" si="3"/>
        <v/>
      </c>
      <c r="G219" s="21"/>
      <c r="H219" s="22"/>
      <c r="I219" s="22"/>
      <c r="J219" s="23"/>
      <c r="K219" s="24"/>
    </row>
    <row r="220" spans="4:11" customFormat="1" x14ac:dyDescent="0.3">
      <c r="D220" s="59"/>
      <c r="E220" s="60"/>
      <c r="F220" s="20" t="str">
        <f t="shared" si="3"/>
        <v/>
      </c>
      <c r="G220" s="21"/>
      <c r="H220" s="22"/>
      <c r="I220" s="22"/>
      <c r="J220" s="23"/>
      <c r="K220" s="24"/>
    </row>
    <row r="221" spans="4:11" customFormat="1" x14ac:dyDescent="0.3">
      <c r="D221" s="59"/>
      <c r="E221" s="60"/>
      <c r="F221" s="20" t="str">
        <f t="shared" si="3"/>
        <v/>
      </c>
      <c r="G221" s="21"/>
      <c r="H221" s="22"/>
      <c r="I221" s="22"/>
      <c r="J221" s="23"/>
      <c r="K221" s="24"/>
    </row>
    <row r="222" spans="4:11" customFormat="1" x14ac:dyDescent="0.3">
      <c r="D222" s="59"/>
      <c r="E222" s="60"/>
      <c r="F222" s="20" t="str">
        <f t="shared" si="3"/>
        <v/>
      </c>
      <c r="G222" s="21"/>
      <c r="H222" s="22"/>
      <c r="I222" s="22"/>
      <c r="J222" s="23"/>
      <c r="K222" s="24"/>
    </row>
    <row r="223" spans="4:11" customFormat="1" x14ac:dyDescent="0.3">
      <c r="D223" s="59"/>
      <c r="E223" s="60"/>
      <c r="F223" s="20" t="str">
        <f t="shared" si="3"/>
        <v/>
      </c>
      <c r="G223" s="21"/>
      <c r="H223" s="22"/>
      <c r="I223" s="22"/>
      <c r="J223" s="23"/>
      <c r="K223" s="24"/>
    </row>
    <row r="224" spans="4:11" customFormat="1" x14ac:dyDescent="0.3">
      <c r="D224" s="59"/>
      <c r="E224" s="60"/>
      <c r="F224" s="20" t="str">
        <f t="shared" si="3"/>
        <v/>
      </c>
      <c r="G224" s="21"/>
      <c r="H224" s="22"/>
      <c r="I224" s="22"/>
      <c r="J224" s="23"/>
      <c r="K224" s="24"/>
    </row>
    <row r="225" spans="4:11" customFormat="1" x14ac:dyDescent="0.3">
      <c r="D225" s="59"/>
      <c r="E225" s="60"/>
      <c r="F225" s="20" t="str">
        <f t="shared" si="3"/>
        <v/>
      </c>
      <c r="G225" s="21"/>
      <c r="H225" s="22"/>
      <c r="I225" s="22"/>
      <c r="J225" s="23"/>
      <c r="K225" s="24"/>
    </row>
    <row r="226" spans="4:11" customFormat="1" x14ac:dyDescent="0.3">
      <c r="D226" s="59"/>
      <c r="E226" s="60"/>
      <c r="F226" s="20" t="str">
        <f t="shared" si="3"/>
        <v/>
      </c>
      <c r="G226" s="21"/>
      <c r="H226" s="22"/>
      <c r="I226" s="22"/>
      <c r="J226" s="23"/>
      <c r="K226" s="24"/>
    </row>
    <row r="227" spans="4:11" customFormat="1" x14ac:dyDescent="0.3">
      <c r="D227" s="59"/>
      <c r="E227" s="60"/>
      <c r="F227" s="20" t="str">
        <f t="shared" si="3"/>
        <v/>
      </c>
      <c r="G227" s="21"/>
      <c r="H227" s="22"/>
      <c r="I227" s="22"/>
      <c r="J227" s="23"/>
      <c r="K227" s="24"/>
    </row>
    <row r="228" spans="4:11" customFormat="1" x14ac:dyDescent="0.3">
      <c r="D228" s="59"/>
      <c r="E228" s="60"/>
      <c r="F228" s="20" t="str">
        <f t="shared" si="3"/>
        <v/>
      </c>
      <c r="G228" s="21"/>
      <c r="H228" s="22"/>
      <c r="I228" s="22"/>
      <c r="J228" s="23"/>
      <c r="K228" s="24"/>
    </row>
    <row r="229" spans="4:11" customFormat="1" x14ac:dyDescent="0.3">
      <c r="D229" s="59"/>
      <c r="E229" s="60"/>
      <c r="F229" s="20" t="str">
        <f t="shared" si="3"/>
        <v/>
      </c>
      <c r="G229" s="21"/>
      <c r="H229" s="22"/>
      <c r="I229" s="22"/>
      <c r="J229" s="23"/>
      <c r="K229" s="24"/>
    </row>
    <row r="230" spans="4:11" customFormat="1" x14ac:dyDescent="0.3">
      <c r="D230" s="59"/>
      <c r="E230" s="60"/>
      <c r="F230" s="20" t="str">
        <f t="shared" si="3"/>
        <v/>
      </c>
      <c r="G230" s="21"/>
      <c r="H230" s="22"/>
      <c r="I230" s="22"/>
      <c r="J230" s="23"/>
      <c r="K230" s="24"/>
    </row>
    <row r="231" spans="4:11" customFormat="1" x14ac:dyDescent="0.3">
      <c r="D231" s="59"/>
      <c r="E231" s="60"/>
      <c r="F231" s="20" t="str">
        <f t="shared" si="3"/>
        <v/>
      </c>
      <c r="G231" s="21"/>
      <c r="H231" s="22"/>
      <c r="I231" s="22"/>
      <c r="J231" s="23"/>
      <c r="K231" s="24"/>
    </row>
    <row r="232" spans="4:11" customFormat="1" x14ac:dyDescent="0.3">
      <c r="D232" s="59"/>
      <c r="E232" s="60"/>
      <c r="F232" s="20" t="str">
        <f t="shared" si="3"/>
        <v/>
      </c>
      <c r="G232" s="21"/>
      <c r="H232" s="22"/>
      <c r="I232" s="22"/>
      <c r="J232" s="23"/>
      <c r="K232" s="24"/>
    </row>
    <row r="233" spans="4:11" customFormat="1" x14ac:dyDescent="0.3">
      <c r="D233" s="59"/>
      <c r="E233" s="60"/>
      <c r="F233" s="20" t="str">
        <f t="shared" si="3"/>
        <v/>
      </c>
      <c r="G233" s="21"/>
      <c r="H233" s="22"/>
      <c r="I233" s="22"/>
      <c r="J233" s="23"/>
      <c r="K233" s="24"/>
    </row>
    <row r="234" spans="4:11" customFormat="1" x14ac:dyDescent="0.3">
      <c r="D234" s="59"/>
      <c r="E234" s="60"/>
      <c r="F234" s="20" t="str">
        <f t="shared" si="3"/>
        <v/>
      </c>
      <c r="G234" s="21"/>
      <c r="H234" s="22"/>
      <c r="I234" s="22"/>
      <c r="J234" s="23"/>
      <c r="K234" s="24"/>
    </row>
    <row r="235" spans="4:11" customFormat="1" x14ac:dyDescent="0.3">
      <c r="D235" s="59"/>
      <c r="E235" s="60"/>
      <c r="F235" s="20" t="str">
        <f t="shared" si="3"/>
        <v/>
      </c>
      <c r="G235" s="21"/>
      <c r="H235" s="22"/>
      <c r="I235" s="22"/>
      <c r="J235" s="23"/>
      <c r="K235" s="24"/>
    </row>
    <row r="236" spans="4:11" customFormat="1" x14ac:dyDescent="0.3">
      <c r="D236" s="59"/>
      <c r="E236" s="60"/>
      <c r="F236" s="20" t="str">
        <f t="shared" si="3"/>
        <v/>
      </c>
      <c r="G236" s="21"/>
      <c r="H236" s="22"/>
      <c r="I236" s="22"/>
      <c r="J236" s="23"/>
      <c r="K236" s="24"/>
    </row>
    <row r="237" spans="4:11" customFormat="1" x14ac:dyDescent="0.3">
      <c r="D237" s="59"/>
      <c r="E237" s="60"/>
      <c r="F237" s="20" t="str">
        <f t="shared" si="3"/>
        <v/>
      </c>
      <c r="G237" s="21"/>
      <c r="H237" s="22"/>
      <c r="I237" s="22"/>
      <c r="J237" s="23"/>
      <c r="K237" s="24"/>
    </row>
    <row r="238" spans="4:11" customFormat="1" x14ac:dyDescent="0.3">
      <c r="D238" s="59"/>
      <c r="E238" s="60"/>
      <c r="F238" s="20" t="str">
        <f t="shared" si="3"/>
        <v/>
      </c>
      <c r="G238" s="21"/>
      <c r="H238" s="22"/>
      <c r="I238" s="22"/>
      <c r="J238" s="23"/>
      <c r="K238" s="24"/>
    </row>
    <row r="239" spans="4:11" customFormat="1" x14ac:dyDescent="0.3">
      <c r="D239" s="59"/>
      <c r="E239" s="60"/>
      <c r="F239" s="20" t="str">
        <f t="shared" si="3"/>
        <v/>
      </c>
      <c r="G239" s="21"/>
      <c r="H239" s="22"/>
      <c r="I239" s="22"/>
      <c r="J239" s="23"/>
      <c r="K239" s="24"/>
    </row>
    <row r="240" spans="4:11" customFormat="1" x14ac:dyDescent="0.3">
      <c r="D240" s="59"/>
      <c r="E240" s="60"/>
      <c r="F240" s="20" t="str">
        <f t="shared" si="3"/>
        <v/>
      </c>
      <c r="G240" s="21"/>
      <c r="H240" s="22"/>
      <c r="I240" s="22"/>
      <c r="J240" s="23"/>
      <c r="K240" s="24"/>
    </row>
    <row r="241" spans="4:11" customFormat="1" x14ac:dyDescent="0.3">
      <c r="D241" s="59"/>
      <c r="E241" s="60"/>
      <c r="F241" s="20" t="str">
        <f t="shared" si="3"/>
        <v/>
      </c>
      <c r="G241" s="21"/>
      <c r="H241" s="22"/>
      <c r="I241" s="22"/>
      <c r="J241" s="23"/>
      <c r="K241" s="24"/>
    </row>
    <row r="242" spans="4:11" customFormat="1" x14ac:dyDescent="0.3">
      <c r="D242" s="59"/>
      <c r="E242" s="60"/>
      <c r="F242" s="20" t="str">
        <f t="shared" si="3"/>
        <v/>
      </c>
      <c r="G242" s="21"/>
      <c r="H242" s="22"/>
      <c r="I242" s="22"/>
      <c r="J242" s="23"/>
      <c r="K242" s="24"/>
    </row>
    <row r="243" spans="4:11" customFormat="1" x14ac:dyDescent="0.3">
      <c r="D243" s="59"/>
      <c r="E243" s="60"/>
      <c r="F243" s="20" t="str">
        <f t="shared" si="3"/>
        <v/>
      </c>
      <c r="G243" s="21"/>
      <c r="H243" s="22"/>
      <c r="I243" s="22"/>
      <c r="J243" s="23"/>
      <c r="K243" s="24"/>
    </row>
    <row r="244" spans="4:11" customFormat="1" x14ac:dyDescent="0.3">
      <c r="D244" s="59"/>
      <c r="E244" s="60"/>
      <c r="F244" s="20" t="str">
        <f t="shared" si="3"/>
        <v/>
      </c>
      <c r="G244" s="21"/>
      <c r="H244" s="22"/>
      <c r="I244" s="22"/>
      <c r="J244" s="23"/>
      <c r="K244" s="24"/>
    </row>
    <row r="245" spans="4:11" customFormat="1" x14ac:dyDescent="0.3">
      <c r="D245" s="59"/>
      <c r="E245" s="60"/>
      <c r="F245" s="20" t="str">
        <f t="shared" si="3"/>
        <v/>
      </c>
      <c r="G245" s="21"/>
      <c r="H245" s="22"/>
      <c r="I245" s="22"/>
      <c r="J245" s="23"/>
      <c r="K245" s="24"/>
    </row>
    <row r="246" spans="4:11" customFormat="1" x14ac:dyDescent="0.3">
      <c r="D246" s="59"/>
      <c r="E246" s="60"/>
      <c r="F246" s="20" t="str">
        <f t="shared" si="3"/>
        <v/>
      </c>
      <c r="G246" s="21"/>
      <c r="H246" s="22"/>
      <c r="I246" s="22"/>
      <c r="J246" s="23"/>
      <c r="K246" s="24"/>
    </row>
    <row r="247" spans="4:11" customFormat="1" x14ac:dyDescent="0.3">
      <c r="D247" s="59"/>
      <c r="E247" s="60"/>
      <c r="F247" s="20" t="str">
        <f t="shared" si="3"/>
        <v/>
      </c>
      <c r="G247" s="21"/>
      <c r="H247" s="22"/>
      <c r="I247" s="22"/>
      <c r="J247" s="23"/>
      <c r="K247" s="24"/>
    </row>
    <row r="248" spans="4:11" customFormat="1" x14ac:dyDescent="0.3">
      <c r="D248" s="59"/>
      <c r="E248" s="60"/>
      <c r="F248" s="20" t="str">
        <f t="shared" si="3"/>
        <v/>
      </c>
      <c r="G248" s="21"/>
      <c r="H248" s="22"/>
      <c r="I248" s="22"/>
      <c r="J248" s="23"/>
      <c r="K248" s="24"/>
    </row>
    <row r="249" spans="4:11" customFormat="1" x14ac:dyDescent="0.3">
      <c r="D249" s="59"/>
      <c r="E249" s="60"/>
      <c r="F249" s="20" t="str">
        <f t="shared" si="3"/>
        <v/>
      </c>
      <c r="G249" s="21"/>
      <c r="H249" s="22"/>
      <c r="I249" s="22"/>
      <c r="J249" s="23"/>
      <c r="K249" s="24"/>
    </row>
    <row r="250" spans="4:11" customFormat="1" x14ac:dyDescent="0.3">
      <c r="D250" s="59"/>
      <c r="E250" s="60"/>
      <c r="F250" s="20" t="str">
        <f t="shared" si="3"/>
        <v/>
      </c>
      <c r="G250" s="21"/>
      <c r="H250" s="22"/>
      <c r="I250" s="22"/>
      <c r="J250" s="23"/>
      <c r="K250" s="24"/>
    </row>
    <row r="251" spans="4:11" customFormat="1" x14ac:dyDescent="0.3">
      <c r="D251" s="59"/>
      <c r="E251" s="60"/>
      <c r="F251" s="20" t="str">
        <f t="shared" si="3"/>
        <v/>
      </c>
      <c r="G251" s="21"/>
      <c r="H251" s="22"/>
      <c r="I251" s="22"/>
      <c r="J251" s="23"/>
      <c r="K251" s="24"/>
    </row>
    <row r="252" spans="4:11" customFormat="1" x14ac:dyDescent="0.3">
      <c r="D252" s="59"/>
      <c r="E252" s="60"/>
      <c r="F252" s="20" t="str">
        <f t="shared" si="3"/>
        <v/>
      </c>
      <c r="G252" s="21"/>
      <c r="H252" s="22"/>
      <c r="I252" s="22"/>
      <c r="J252" s="23"/>
      <c r="K252" s="24"/>
    </row>
    <row r="253" spans="4:11" customFormat="1" x14ac:dyDescent="0.3">
      <c r="D253" s="59"/>
      <c r="E253" s="60"/>
      <c r="F253" s="20" t="str">
        <f t="shared" si="3"/>
        <v/>
      </c>
      <c r="G253" s="21"/>
      <c r="H253" s="22"/>
      <c r="I253" s="22"/>
      <c r="J253" s="23"/>
      <c r="K253" s="24"/>
    </row>
    <row r="254" spans="4:11" customFormat="1" x14ac:dyDescent="0.3">
      <c r="D254" s="59"/>
      <c r="E254" s="60"/>
      <c r="F254" s="20" t="str">
        <f t="shared" si="3"/>
        <v/>
      </c>
      <c r="G254" s="21"/>
      <c r="H254" s="22"/>
      <c r="I254" s="22"/>
      <c r="J254" s="23"/>
      <c r="K254" s="24"/>
    </row>
    <row r="255" spans="4:11" customFormat="1" x14ac:dyDescent="0.3">
      <c r="D255" s="59"/>
      <c r="E255" s="60"/>
      <c r="F255" s="20" t="str">
        <f t="shared" si="3"/>
        <v/>
      </c>
      <c r="G255" s="21"/>
      <c r="H255" s="22"/>
      <c r="I255" s="22"/>
      <c r="J255" s="23"/>
      <c r="K255" s="24"/>
    </row>
    <row r="256" spans="4:11" customFormat="1" x14ac:dyDescent="0.3">
      <c r="D256" s="59"/>
      <c r="E256" s="60"/>
      <c r="F256" s="20" t="str">
        <f t="shared" si="3"/>
        <v/>
      </c>
      <c r="G256" s="21"/>
      <c r="H256" s="22"/>
      <c r="I256" s="22"/>
      <c r="J256" s="23"/>
      <c r="K256" s="24"/>
    </row>
    <row r="257" spans="4:11" customFormat="1" x14ac:dyDescent="0.3">
      <c r="D257" s="59"/>
      <c r="E257" s="60"/>
      <c r="F257" s="20" t="str">
        <f t="shared" si="3"/>
        <v/>
      </c>
      <c r="G257" s="21"/>
      <c r="H257" s="22"/>
      <c r="I257" s="22"/>
      <c r="J257" s="23"/>
      <c r="K257" s="24"/>
    </row>
    <row r="258" spans="4:11" customFormat="1" x14ac:dyDescent="0.3">
      <c r="D258" s="59"/>
      <c r="E258" s="60"/>
      <c r="F258" s="20" t="str">
        <f t="shared" si="3"/>
        <v/>
      </c>
      <c r="G258" s="21"/>
      <c r="H258" s="22"/>
      <c r="I258" s="22"/>
      <c r="J258" s="23"/>
      <c r="K258" s="24"/>
    </row>
    <row r="259" spans="4:11" customFormat="1" x14ac:dyDescent="0.3">
      <c r="D259" s="59"/>
      <c r="E259" s="60"/>
      <c r="F259" s="20" t="str">
        <f t="shared" ref="F259:F267" si="4">IF(A259="","",J259-ROUNDDOWN(J259*3%,-1)-ROUNDDOWN(J259*0.3%,-1))</f>
        <v/>
      </c>
      <c r="G259" s="21"/>
      <c r="H259" s="22"/>
      <c r="I259" s="22"/>
      <c r="J259" s="23"/>
      <c r="K259" s="24"/>
    </row>
    <row r="260" spans="4:11" customFormat="1" x14ac:dyDescent="0.3">
      <c r="D260" s="59"/>
      <c r="E260" s="60"/>
      <c r="F260" s="20" t="str">
        <f t="shared" si="4"/>
        <v/>
      </c>
      <c r="G260" s="21"/>
      <c r="H260" s="22"/>
      <c r="I260" s="22"/>
      <c r="J260" s="23"/>
      <c r="K260" s="24"/>
    </row>
    <row r="261" spans="4:11" customFormat="1" x14ac:dyDescent="0.3">
      <c r="D261" s="59"/>
      <c r="E261" s="60"/>
      <c r="F261" s="20" t="str">
        <f t="shared" si="4"/>
        <v/>
      </c>
      <c r="G261" s="21"/>
      <c r="H261" s="22"/>
      <c r="I261" s="22"/>
      <c r="J261" s="23"/>
      <c r="K261" s="24"/>
    </row>
    <row r="262" spans="4:11" customFormat="1" x14ac:dyDescent="0.3">
      <c r="D262" s="59"/>
      <c r="E262" s="60"/>
      <c r="F262" s="20" t="str">
        <f t="shared" si="4"/>
        <v/>
      </c>
      <c r="G262" s="21"/>
      <c r="H262" s="22"/>
      <c r="I262" s="22"/>
      <c r="J262" s="23"/>
      <c r="K262" s="24"/>
    </row>
    <row r="263" spans="4:11" customFormat="1" x14ac:dyDescent="0.3">
      <c r="D263" s="59"/>
      <c r="E263" s="60"/>
      <c r="F263" s="20" t="str">
        <f t="shared" si="4"/>
        <v/>
      </c>
      <c r="G263" s="21"/>
      <c r="H263" s="22"/>
      <c r="I263" s="22"/>
      <c r="J263" s="23"/>
      <c r="K263" s="24"/>
    </row>
    <row r="264" spans="4:11" customFormat="1" x14ac:dyDescent="0.3">
      <c r="D264" s="59"/>
      <c r="E264" s="60"/>
      <c r="F264" s="20" t="str">
        <f t="shared" si="4"/>
        <v/>
      </c>
      <c r="G264" s="21"/>
      <c r="H264" s="22"/>
      <c r="I264" s="22"/>
      <c r="J264" s="23"/>
      <c r="K264" s="24"/>
    </row>
    <row r="265" spans="4:11" customFormat="1" x14ac:dyDescent="0.3">
      <c r="D265" s="59"/>
      <c r="E265" s="60"/>
      <c r="F265" s="20" t="str">
        <f t="shared" si="4"/>
        <v/>
      </c>
      <c r="G265" s="21"/>
      <c r="H265" s="22"/>
      <c r="I265" s="22"/>
      <c r="J265" s="23"/>
      <c r="K265" s="24"/>
    </row>
    <row r="266" spans="4:11" customFormat="1" x14ac:dyDescent="0.3">
      <c r="D266" s="59"/>
      <c r="E266" s="60"/>
      <c r="F266" s="20" t="str">
        <f t="shared" si="4"/>
        <v/>
      </c>
      <c r="G266" s="21"/>
      <c r="H266" s="22"/>
      <c r="I266" s="22"/>
      <c r="J266" s="23"/>
      <c r="K266" s="24"/>
    </row>
    <row r="267" spans="4:11" customFormat="1" x14ac:dyDescent="0.3">
      <c r="D267" s="59"/>
      <c r="E267" s="60"/>
      <c r="F267" s="20" t="str">
        <f t="shared" si="4"/>
        <v/>
      </c>
      <c r="G267" s="21"/>
      <c r="H267" s="22"/>
      <c r="I267" s="22"/>
      <c r="J267" s="23"/>
      <c r="K267" s="24"/>
    </row>
  </sheetData>
  <phoneticPr fontId="1" type="noConversion"/>
  <conditionalFormatting sqref="E1:E1048576">
    <cfRule type="cellIs" dxfId="4" priority="4" operator="equal">
      <formula>0</formula>
    </cfRule>
  </conditionalFormatting>
  <conditionalFormatting sqref="G1:G1048576">
    <cfRule type="cellIs" dxfId="3" priority="3" operator="equal">
      <formula>0</formula>
    </cfRule>
  </conditionalFormatting>
  <conditionalFormatting sqref="K1:K1048576">
    <cfRule type="cellIs" dxfId="2" priority="2" operator="equal">
      <formula>0</formula>
    </cfRule>
  </conditionalFormatting>
  <conditionalFormatting sqref="B2:B267">
    <cfRule type="expression" dxfId="1" priority="1">
      <formula>B2&lt;&gt;G2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F1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BA04-A013-473A-AF19-C345EFA7EF52}">
  <sheetPr codeName="Sheet11"/>
  <dimension ref="A1:D89"/>
  <sheetViews>
    <sheetView workbookViewId="0">
      <selection activeCell="D12" sqref="D12"/>
    </sheetView>
  </sheetViews>
  <sheetFormatPr defaultRowHeight="16.5" x14ac:dyDescent="0.3"/>
  <cols>
    <col min="3" max="3" width="27.25" bestFit="1" customWidth="1"/>
    <col min="4" max="4" width="50.125" customWidth="1"/>
    <col min="5" max="5" width="35.875" customWidth="1"/>
  </cols>
  <sheetData>
    <row r="1" spans="1:4" x14ac:dyDescent="0.3">
      <c r="A1" t="s">
        <v>11</v>
      </c>
      <c r="B1" t="s">
        <v>12</v>
      </c>
      <c r="C1" t="s">
        <v>56</v>
      </c>
      <c r="D1" t="s">
        <v>57</v>
      </c>
    </row>
    <row r="2" spans="1:4" x14ac:dyDescent="0.3">
      <c r="A2" t="str" cm="1">
        <f t="array" ref="A2:B52">_xlfn._xlws.FILTER(종합!A5:B1000,종합!A5:A1000&lt;&gt;"")</f>
        <v>AM0001</v>
      </c>
      <c r="B2" t="str">
        <v>조성재</v>
      </c>
      <c r="C2" t="str">
        <f>IF(A2="","",_xlfn.XLOOKUP(A2,members!A:A,members!H:H,"NoData"))</f>
        <v>tjdwo199@naver.com</v>
      </c>
      <c r="D2" t="e" cm="1">
        <f t="array" ref="D2:D52">_xlfn._xlws.FILTER(A2:A1000,A2:A1000&lt;&gt;"")&amp;"_"&amp;_xlfn._xlws.FILTER(B2:B1000,A2:A1000&lt;&gt;"")&amp;"_"&amp;setting!#REF!&amp;"년_"&amp;setting!#REF!&amp;"월_PROJECT-N_급여명세.pdf"</f>
        <v>#REF!</v>
      </c>
    </row>
    <row r="3" spans="1:4" x14ac:dyDescent="0.3">
      <c r="A3" t="str">
        <v>AM0002</v>
      </c>
      <c r="B3" t="str">
        <v>정재영</v>
      </c>
      <c r="C3" t="str">
        <f>IF(A3="","",_xlfn.XLOOKUP(A3,members!A:A,members!H:H,"NoData"))</f>
        <v>astharoshe@nate.com</v>
      </c>
      <c r="D3" t="e">
        <v>#REF!</v>
      </c>
    </row>
    <row r="4" spans="1:4" x14ac:dyDescent="0.3">
      <c r="A4" t="str">
        <v>AM0048</v>
      </c>
      <c r="B4" t="str">
        <v>은혜리</v>
      </c>
      <c r="C4" t="str">
        <f>IF(A4="","",_xlfn.XLOOKUP(A4,members!A:A,members!H:H,"NoData"))</f>
        <v>dmschfhd97@naver.com</v>
      </c>
      <c r="D4" t="e">
        <v>#REF!</v>
      </c>
    </row>
    <row r="5" spans="1:4" x14ac:dyDescent="0.3">
      <c r="A5" t="str">
        <v>AM0121</v>
      </c>
      <c r="B5" t="str">
        <v>권은재</v>
      </c>
      <c r="C5" t="str">
        <f>IF(A5="","",_xlfn.XLOOKUP(A5,members!A:A,members!H:H,"NoData"))</f>
        <v>eunjae808@naver.com</v>
      </c>
      <c r="D5" t="e">
        <v>#REF!</v>
      </c>
    </row>
    <row r="6" spans="1:4" x14ac:dyDescent="0.3">
      <c r="A6" t="str">
        <v>AM0126</v>
      </c>
      <c r="B6" t="str">
        <v>최준혁</v>
      </c>
      <c r="C6" t="str">
        <f>IF(A6="","",_xlfn.XLOOKUP(A6,members!A:A,members!H:H,"NoData"))</f>
        <v>417900aaa@naver.com</v>
      </c>
      <c r="D6" t="e">
        <v>#REF!</v>
      </c>
    </row>
    <row r="7" spans="1:4" x14ac:dyDescent="0.3">
      <c r="A7" t="str">
        <v>AM0140</v>
      </c>
      <c r="B7" t="str">
        <v>박혜성</v>
      </c>
      <c r="C7" t="str">
        <f>IF(A7="","",_xlfn.XLOOKUP(A7,members!A:A,members!H:H,"NoData"))</f>
        <v>wyeppi@naver.com</v>
      </c>
      <c r="D7" t="e">
        <v>#REF!</v>
      </c>
    </row>
    <row r="8" spans="1:4" x14ac:dyDescent="0.3">
      <c r="A8" t="str">
        <v>AM0141</v>
      </c>
      <c r="B8" t="str">
        <v>김규빈</v>
      </c>
      <c r="C8" t="str">
        <f>IF(A8="","",_xlfn.XLOOKUP(A8,members!A:A,members!H:H,"NoData"))</f>
        <v>bessiekim08@naver.com</v>
      </c>
      <c r="D8" t="e">
        <v>#REF!</v>
      </c>
    </row>
    <row r="9" spans="1:4" x14ac:dyDescent="0.3">
      <c r="A9" t="str">
        <v>AM0142</v>
      </c>
      <c r="B9" t="str">
        <v>이원호</v>
      </c>
      <c r="C9" t="str">
        <f>IF(A9="","",_xlfn.XLOOKUP(A9,members!A:A,members!H:H,"NoData"))</f>
        <v>dldnjsgh7@naver.com</v>
      </c>
      <c r="D9" t="e">
        <v>#REF!</v>
      </c>
    </row>
    <row r="10" spans="1:4" x14ac:dyDescent="0.3">
      <c r="A10" t="str">
        <v>BW0001</v>
      </c>
      <c r="B10" t="str">
        <v>이영란</v>
      </c>
      <c r="C10" t="str">
        <f>IF(A10="","",_xlfn.XLOOKUP(A10,members!A:A,members!H:H,"NoData"))</f>
        <v>gracelyr7@hanmail.net</v>
      </c>
      <c r="D10" t="e">
        <v>#REF!</v>
      </c>
    </row>
    <row r="11" spans="1:4" x14ac:dyDescent="0.3">
      <c r="A11" t="str">
        <v>BW0002</v>
      </c>
      <c r="B11" t="str">
        <v>안희용</v>
      </c>
      <c r="C11" t="str">
        <f>IF(A11="","",_xlfn.XLOOKUP(A11,members!A:A,members!H:H,"NoData"))</f>
        <v>graceahy7@gmail.com</v>
      </c>
      <c r="D11" t="e">
        <v>#REF!</v>
      </c>
    </row>
    <row r="12" spans="1:4" x14ac:dyDescent="0.3">
      <c r="A12" t="str">
        <v>BW0003</v>
      </c>
      <c r="B12" t="str">
        <v>김선기</v>
      </c>
      <c r="C12" t="str">
        <f>IF(A12="","",_xlfn.XLOOKUP(A12,members!A:A,members!H:H,"NoData"))</f>
        <v>sunki0529@daum.net</v>
      </c>
      <c r="D12" t="e">
        <v>#REF!</v>
      </c>
    </row>
    <row r="13" spans="1:4" x14ac:dyDescent="0.3">
      <c r="A13" t="str">
        <v>FS0001</v>
      </c>
      <c r="B13" t="str">
        <v>이준한</v>
      </c>
      <c r="C13" t="str">
        <f>IF(A13="","",_xlfn.XLOOKUP(A13,members!A:A,members!H:H,"NoData"))</f>
        <v>chaiwoon@naver.com</v>
      </c>
      <c r="D13" t="e">
        <v>#REF!</v>
      </c>
    </row>
    <row r="14" spans="1:4" x14ac:dyDescent="0.3">
      <c r="A14" t="str">
        <v>FS0003</v>
      </c>
      <c r="B14" t="str">
        <v>김기수</v>
      </c>
      <c r="C14" t="str">
        <f>IF(A14="","",_xlfn.XLOOKUP(A14,members!A:A,members!H:H,"NoData"))</f>
        <v>nokzook@naver.com</v>
      </c>
      <c r="D14" t="e">
        <v>#REF!</v>
      </c>
    </row>
    <row r="15" spans="1:4" x14ac:dyDescent="0.3">
      <c r="A15" t="str">
        <v>HA0001</v>
      </c>
      <c r="B15" t="str">
        <v>이유라</v>
      </c>
      <c r="C15" t="str">
        <f>IF(A15="","",_xlfn.XLOOKUP(A15,members!A:A,members!H:H,"NoData"))</f>
        <v>lula88@naver.com</v>
      </c>
      <c r="D15" t="e">
        <v>#REF!</v>
      </c>
    </row>
    <row r="16" spans="1:4" x14ac:dyDescent="0.3">
      <c r="A16" t="str">
        <v>HA0020</v>
      </c>
      <c r="B16" t="str">
        <v>최양수</v>
      </c>
      <c r="C16" t="str">
        <f>IF(A16="","",_xlfn.XLOOKUP(A16,members!A:A,members!H:H,"NoData"))</f>
        <v>choic0909@naver.com</v>
      </c>
      <c r="D16" t="e">
        <v>#REF!</v>
      </c>
    </row>
    <row r="17" spans="1:4" x14ac:dyDescent="0.3">
      <c r="A17" t="str">
        <v>HA0033</v>
      </c>
      <c r="B17" t="str">
        <v>김협</v>
      </c>
      <c r="C17" t="str">
        <f>IF(A17="","",_xlfn.XLOOKUP(A17,members!A:A,members!H:H,"NoData"))</f>
        <v>kimhyeop9004@naver.com</v>
      </c>
      <c r="D17" t="e">
        <v>#REF!</v>
      </c>
    </row>
    <row r="18" spans="1:4" x14ac:dyDescent="0.3">
      <c r="A18" t="str">
        <v>HA0034</v>
      </c>
      <c r="B18" t="str">
        <v>이유림</v>
      </c>
      <c r="C18" t="str">
        <f>IF(A18="","",_xlfn.XLOOKUP(A18,members!A:A,members!H:H,"NoData"))</f>
        <v>yurim744@gmail.com</v>
      </c>
      <c r="D18" t="e">
        <v>#REF!</v>
      </c>
    </row>
    <row r="19" spans="1:4" x14ac:dyDescent="0.3">
      <c r="A19" t="str">
        <v>HA0035</v>
      </c>
      <c r="B19" t="str">
        <v>천주영</v>
      </c>
      <c r="C19" t="str">
        <f>IF(A19="","",_xlfn.XLOOKUP(A19,members!A:A,members!H:H,"NoData"))</f>
        <v>zooy5014@naver.com</v>
      </c>
      <c r="D19" t="e">
        <v>#REF!</v>
      </c>
    </row>
    <row r="20" spans="1:4" x14ac:dyDescent="0.3">
      <c r="A20" t="str">
        <v>HA0036</v>
      </c>
      <c r="B20" t="str">
        <v>한수민</v>
      </c>
      <c r="C20" t="str">
        <f>IF(A20="","",_xlfn.XLOOKUP(A20,members!A:A,members!H:H,"NoData"))</f>
        <v>dbsgktnals@naver.com</v>
      </c>
      <c r="D20" t="e">
        <v>#REF!</v>
      </c>
    </row>
    <row r="21" spans="1:4" x14ac:dyDescent="0.3">
      <c r="A21" t="str">
        <v>SA0001</v>
      </c>
      <c r="B21" t="str">
        <v>황윤제</v>
      </c>
      <c r="C21" t="str">
        <f>IF(A21="","",_xlfn.XLOOKUP(A21,members!A:A,members!H:H,"NoData"))</f>
        <v>iamhwangjae@nate.com</v>
      </c>
      <c r="D21" t="e">
        <v>#REF!</v>
      </c>
    </row>
    <row r="22" spans="1:4" x14ac:dyDescent="0.3">
      <c r="A22" t="str">
        <v>UQ0001</v>
      </c>
      <c r="B22" t="str">
        <v>황정민</v>
      </c>
      <c r="C22" t="str">
        <f>IF(A22="","",_xlfn.XLOOKUP(A22,members!A:A,members!H:H,"NoData"))</f>
        <v>hsg4687@naver.com</v>
      </c>
      <c r="D22" t="e">
        <v>#REF!</v>
      </c>
    </row>
    <row r="23" spans="1:4" x14ac:dyDescent="0.3">
      <c r="A23" t="str">
        <v>UQ0024</v>
      </c>
      <c r="B23" t="str">
        <v>박재성</v>
      </c>
      <c r="C23" t="str">
        <f>IF(A23="","",_xlfn.XLOOKUP(A23,members!A:A,members!H:H,"NoData"))</f>
        <v>pjs1993@nate.com</v>
      </c>
      <c r="D23" t="e">
        <v>#REF!</v>
      </c>
    </row>
    <row r="24" spans="1:4" x14ac:dyDescent="0.3">
      <c r="A24" t="str">
        <v>UQ0043</v>
      </c>
      <c r="B24" t="str">
        <v>방민주</v>
      </c>
      <c r="C24" t="str">
        <f>IF(A24="","",_xlfn.XLOOKUP(A24,members!A:A,members!H:H,"NoData"))</f>
        <v>minju.bang90@gmail.com</v>
      </c>
      <c r="D24" t="e">
        <v>#REF!</v>
      </c>
    </row>
    <row r="25" spans="1:4" x14ac:dyDescent="0.3">
      <c r="A25" t="str">
        <v>UQ0108</v>
      </c>
      <c r="B25" t="str">
        <v>최지광</v>
      </c>
      <c r="C25" t="str">
        <f>IF(A25="","",_xlfn.XLOOKUP(A25,members!A:A,members!H:H,"NoData"))</f>
        <v>wlrhkd0507@gmail.com</v>
      </c>
      <c r="D25" t="e">
        <v>#REF!</v>
      </c>
    </row>
    <row r="26" spans="1:4" x14ac:dyDescent="0.3">
      <c r="A26" t="str">
        <v>UQ0123</v>
      </c>
      <c r="B26" t="str">
        <v>김민수</v>
      </c>
      <c r="C26" t="str">
        <f>IF(A26="","",_xlfn.XLOOKUP(A26,members!A:A,members!H:H,"NoData"))</f>
        <v>alstn8119@naver.com</v>
      </c>
      <c r="D26" t="e">
        <v>#REF!</v>
      </c>
    </row>
    <row r="27" spans="1:4" x14ac:dyDescent="0.3">
      <c r="A27" t="str">
        <v>UQ0129</v>
      </c>
      <c r="B27" t="str">
        <v>이유림</v>
      </c>
      <c r="C27" t="str">
        <f>IF(A27="","",_xlfn.XLOOKUP(A27,members!A:A,members!H:H,"NoData"))</f>
        <v>enri037@naver.com</v>
      </c>
      <c r="D27" t="e">
        <v>#REF!</v>
      </c>
    </row>
    <row r="28" spans="1:4" x14ac:dyDescent="0.3">
      <c r="A28" t="str">
        <v>UQ0150</v>
      </c>
      <c r="B28" t="str">
        <v>김재림</v>
      </c>
      <c r="C28" t="str">
        <f>IF(A28="","",_xlfn.XLOOKUP(A28,members!A:A,members!H:H,"NoData"))</f>
        <v>wofal123@nate.com</v>
      </c>
      <c r="D28" t="e">
        <v>#REF!</v>
      </c>
    </row>
    <row r="29" spans="1:4" x14ac:dyDescent="0.3">
      <c r="A29" t="str">
        <v>UQ0153</v>
      </c>
      <c r="B29" t="str">
        <v>강동훈</v>
      </c>
      <c r="C29" t="str">
        <f>IF(A29="","",_xlfn.XLOOKUP(A29,members!A:A,members!H:H,"NoData"))</f>
        <v>kao0807@naver.com</v>
      </c>
      <c r="D29" t="e">
        <v>#REF!</v>
      </c>
    </row>
    <row r="30" spans="1:4" x14ac:dyDescent="0.3">
      <c r="A30" t="str">
        <v>UQ0155</v>
      </c>
      <c r="B30" t="str">
        <v>신현석</v>
      </c>
      <c r="C30" t="str">
        <f>IF(A30="","",_xlfn.XLOOKUP(A30,members!A:A,members!H:H,"NoData"))</f>
        <v>dajtw@naver.com</v>
      </c>
      <c r="D30" t="e">
        <v>#REF!</v>
      </c>
    </row>
    <row r="31" spans="1:4" x14ac:dyDescent="0.3">
      <c r="A31" t="str">
        <v>UQ0157</v>
      </c>
      <c r="B31" t="str">
        <v>한규영</v>
      </c>
      <c r="C31" t="str">
        <f>IF(A31="","",_xlfn.XLOOKUP(A31,members!A:A,members!H:H,"NoData"))</f>
        <v>dds05081@naver.com</v>
      </c>
      <c r="D31" t="e">
        <v>#REF!</v>
      </c>
    </row>
    <row r="32" spans="1:4" x14ac:dyDescent="0.3">
      <c r="A32" t="str">
        <v>UQ0159</v>
      </c>
      <c r="B32" t="str">
        <v>박은영</v>
      </c>
      <c r="C32" t="str">
        <f>IF(A32="","",_xlfn.XLOOKUP(A32,members!A:A,members!H:H,"NoData"))</f>
        <v>apple32018465@gmail.com</v>
      </c>
      <c r="D32" t="e">
        <v>#REF!</v>
      </c>
    </row>
    <row r="33" spans="1:4" x14ac:dyDescent="0.3">
      <c r="A33" t="str">
        <v>UQ0181</v>
      </c>
      <c r="B33" t="str">
        <v>김종원</v>
      </c>
      <c r="C33" t="str">
        <f>IF(A33="","",_xlfn.XLOOKUP(A33,members!A:A,members!H:H,"NoData"))</f>
        <v>blacksky611@naver.com</v>
      </c>
      <c r="D33" t="e">
        <v>#REF!</v>
      </c>
    </row>
    <row r="34" spans="1:4" x14ac:dyDescent="0.3">
      <c r="A34" t="str">
        <v>UQ0187</v>
      </c>
      <c r="B34" t="str">
        <v>박준우</v>
      </c>
      <c r="C34" t="str">
        <f>IF(A34="","",_xlfn.XLOOKUP(A34,members!A:A,members!H:H,"NoData"))</f>
        <v>10birdki@naver.com</v>
      </c>
      <c r="D34" t="e">
        <v>#REF!</v>
      </c>
    </row>
    <row r="35" spans="1:4" x14ac:dyDescent="0.3">
      <c r="A35" t="str">
        <v>UQ0188</v>
      </c>
      <c r="B35" t="str">
        <v>맹영록</v>
      </c>
      <c r="C35" t="str">
        <f>IF(A35="","",_xlfn.XLOOKUP(A35,members!A:A,members!H:H,"NoData"))</f>
        <v>maengyl@naver.com</v>
      </c>
      <c r="D35" t="e">
        <v>#REF!</v>
      </c>
    </row>
    <row r="36" spans="1:4" x14ac:dyDescent="0.3">
      <c r="A36" t="str">
        <v>UQ0189</v>
      </c>
      <c r="B36" t="str">
        <v>나태영</v>
      </c>
      <c r="C36" t="str">
        <f>IF(A36="","",_xlfn.XLOOKUP(A36,members!A:A,members!H:H,"NoData"))</f>
        <v>nty1004na@naver.com</v>
      </c>
      <c r="D36" t="e">
        <v>#REF!</v>
      </c>
    </row>
    <row r="37" spans="1:4" x14ac:dyDescent="0.3">
      <c r="A37" t="str">
        <v>UQ0190</v>
      </c>
      <c r="B37" t="str">
        <v>홍승표</v>
      </c>
      <c r="C37" t="str">
        <f>IF(A37="","",_xlfn.XLOOKUP(A37,members!A:A,members!H:H,"NoData"))</f>
        <v>seungpyo1991@gmail.com</v>
      </c>
      <c r="D37" t="e">
        <v>#REF!</v>
      </c>
    </row>
    <row r="38" spans="1:4" x14ac:dyDescent="0.3">
      <c r="A38" t="str">
        <v>UQ0191</v>
      </c>
      <c r="B38" t="str">
        <v>김인영</v>
      </c>
      <c r="C38" t="str">
        <f>IF(A38="","",_xlfn.XLOOKUP(A38,members!A:A,members!H:H,"NoData"))</f>
        <v>dianharmony9@gmail.com</v>
      </c>
      <c r="D38" t="e">
        <v>#REF!</v>
      </c>
    </row>
    <row r="39" spans="1:4" x14ac:dyDescent="0.3">
      <c r="A39" t="str">
        <v>UQ0192</v>
      </c>
      <c r="B39" t="str">
        <v>박지훈</v>
      </c>
      <c r="C39" t="str">
        <f>IF(A39="","",_xlfn.XLOOKUP(A39,members!A:A,members!H:H,"NoData"))</f>
        <v>asdjkl11221@gmail.com</v>
      </c>
      <c r="D39" t="e">
        <v>#REF!</v>
      </c>
    </row>
    <row r="40" spans="1:4" x14ac:dyDescent="0.3">
      <c r="A40" t="str">
        <v>UQ0194</v>
      </c>
      <c r="B40" t="str">
        <v>정동준</v>
      </c>
      <c r="C40" t="str">
        <f>IF(A40="","",_xlfn.XLOOKUP(A40,members!A:A,members!H:H,"NoData"))</f>
        <v>zerg6848@gmail.com</v>
      </c>
      <c r="D40" t="e">
        <v>#REF!</v>
      </c>
    </row>
    <row r="41" spans="1:4" x14ac:dyDescent="0.3">
      <c r="A41" t="str">
        <v>UQ0197</v>
      </c>
      <c r="B41" t="str">
        <v>황지웅</v>
      </c>
      <c r="C41" t="str">
        <f>IF(A41="","",_xlfn.XLOOKUP(A41,members!A:A,members!H:H,"NoData"))</f>
        <v>hjiwoong@nate.com</v>
      </c>
      <c r="D41" t="e">
        <v>#REF!</v>
      </c>
    </row>
    <row r="42" spans="1:4" x14ac:dyDescent="0.3">
      <c r="A42" t="str">
        <v>UQ0198</v>
      </c>
      <c r="B42" t="str">
        <v>최민재</v>
      </c>
      <c r="C42" t="str">
        <f>IF(A42="","",_xlfn.XLOOKUP(A42,members!A:A,members!H:H,"NoData"))</f>
        <v>mj780312@naver.com</v>
      </c>
      <c r="D42" t="e">
        <v>#REF!</v>
      </c>
    </row>
    <row r="43" spans="1:4" x14ac:dyDescent="0.3">
      <c r="A43" t="str">
        <v>UQ0199</v>
      </c>
      <c r="B43" t="str">
        <v>김규태</v>
      </c>
      <c r="C43" t="str">
        <f>IF(A43="","",_xlfn.XLOOKUP(A43,members!A:A,members!H:H,"NoData"))</f>
        <v>raccoon_kyu@naver.com</v>
      </c>
      <c r="D43" t="e">
        <v>#REF!</v>
      </c>
    </row>
    <row r="44" spans="1:4" x14ac:dyDescent="0.3">
      <c r="A44" t="str">
        <v>UQ0200</v>
      </c>
      <c r="B44" t="str">
        <v>최권수</v>
      </c>
      <c r="C44" t="str">
        <f>IF(A44="","",_xlfn.XLOOKUP(A44,members!A:A,members!H:H,"NoData"))</f>
        <v>rnjst73507@naver.com</v>
      </c>
      <c r="D44" t="e">
        <v>#REF!</v>
      </c>
    </row>
    <row r="45" spans="1:4" x14ac:dyDescent="0.3">
      <c r="A45" t="str">
        <v>UQ0201</v>
      </c>
      <c r="B45" t="str">
        <v>김나현</v>
      </c>
      <c r="C45" t="str">
        <f>IF(A45="","",_xlfn.XLOOKUP(A45,members!A:A,members!H:H,"NoData"))</f>
        <v>k23255146@gmail.com</v>
      </c>
      <c r="D45" t="e">
        <v>#REF!</v>
      </c>
    </row>
    <row r="46" spans="1:4" x14ac:dyDescent="0.3">
      <c r="A46" t="str">
        <v>UQ0202</v>
      </c>
      <c r="B46" t="str">
        <v>정희윤</v>
      </c>
      <c r="C46" t="str">
        <f>IF(A46="","",_xlfn.XLOOKUP(A46,members!A:A,members!H:H,"NoData"))</f>
        <v>bright_jesus@naver.com</v>
      </c>
      <c r="D46" t="e">
        <v>#REF!</v>
      </c>
    </row>
    <row r="47" spans="1:4" x14ac:dyDescent="0.3">
      <c r="A47" t="str">
        <v>UQ0203</v>
      </c>
      <c r="B47" t="str">
        <v>김예성</v>
      </c>
      <c r="C47" t="str">
        <f>IF(A47="","",_xlfn.XLOOKUP(A47,members!A:A,members!H:H,"NoData"))</f>
        <v>yesung642@naver.com</v>
      </c>
      <c r="D47" t="e">
        <v>#REF!</v>
      </c>
    </row>
    <row r="48" spans="1:4" x14ac:dyDescent="0.3">
      <c r="A48" t="str">
        <v>UQ0204</v>
      </c>
      <c r="B48" t="str">
        <v>김명규</v>
      </c>
      <c r="C48" t="str">
        <f>IF(A48="","",_xlfn.XLOOKUP(A48,members!A:A,members!H:H,"NoData"))</f>
        <v>cjswlakswl@hanmail.net</v>
      </c>
      <c r="D48" t="e">
        <v>#REF!</v>
      </c>
    </row>
    <row r="49" spans="1:4" x14ac:dyDescent="0.3">
      <c r="A49" t="str">
        <v>UQ0205</v>
      </c>
      <c r="B49" t="str">
        <v>박혜인</v>
      </c>
      <c r="C49" t="str">
        <f>IF(A49="","",_xlfn.XLOOKUP(A49,members!A:A,members!H:H,"NoData"))</f>
        <v>qkrdmsgk95@naver.com</v>
      </c>
      <c r="D49" t="e">
        <v>#REF!</v>
      </c>
    </row>
    <row r="50" spans="1:4" x14ac:dyDescent="0.3">
      <c r="A50" t="str">
        <v>UQ0206</v>
      </c>
      <c r="B50" t="str">
        <v>김경민</v>
      </c>
      <c r="C50" t="str">
        <f>IF(A50="","",_xlfn.XLOOKUP(A50,members!A:A,members!H:H,"NoData"))</f>
        <v>rudals45785@naver.com</v>
      </c>
      <c r="D50" t="e">
        <v>#REF!</v>
      </c>
    </row>
    <row r="51" spans="1:4" x14ac:dyDescent="0.3">
      <c r="A51" t="str">
        <v>UQ0207</v>
      </c>
      <c r="B51" t="str">
        <v>이영숙</v>
      </c>
      <c r="C51" t="str">
        <f>IF(A51="","",_xlfn.XLOOKUP(A51,members!A:A,members!H:H,"NoData"))</f>
        <v>tnrtnr90@naver.com</v>
      </c>
      <c r="D51" t="e">
        <v>#REF!</v>
      </c>
    </row>
    <row r="52" spans="1:4" x14ac:dyDescent="0.3">
      <c r="A52" t="str">
        <v>UQ0208</v>
      </c>
      <c r="B52" t="str">
        <v>주다희</v>
      </c>
      <c r="C52" t="str">
        <f>IF(A52="","",_xlfn.XLOOKUP(A52,members!A:A,members!H:H,"NoData"))</f>
        <v>dahee2862@naver.com</v>
      </c>
      <c r="D52" t="e">
        <v>#REF!</v>
      </c>
    </row>
    <row r="53" spans="1:4" x14ac:dyDescent="0.3">
      <c r="C53" t="str">
        <f>IF(A53="","",_xlfn.XLOOKUP(A53,members!A:A,members!H:H,"NoData"))</f>
        <v/>
      </c>
    </row>
    <row r="54" spans="1:4" x14ac:dyDescent="0.3">
      <c r="C54" t="str">
        <f>IF(A54="","",_xlfn.XLOOKUP(A54,members!A:A,members!H:H,"NoData"))</f>
        <v/>
      </c>
    </row>
    <row r="55" spans="1:4" x14ac:dyDescent="0.3">
      <c r="C55" t="str">
        <f>IF(A55="","",_xlfn.XLOOKUP(A55,members!A:A,members!H:H,"NoData"))</f>
        <v/>
      </c>
    </row>
    <row r="56" spans="1:4" x14ac:dyDescent="0.3">
      <c r="C56" t="str">
        <f>IF(A56="","",_xlfn.XLOOKUP(A56,members!A:A,members!H:H,"NoData"))</f>
        <v/>
      </c>
    </row>
    <row r="57" spans="1:4" x14ac:dyDescent="0.3">
      <c r="C57" t="str">
        <f>IF(A57="","",_xlfn.XLOOKUP(A57,members!A:A,members!H:H,"NoData"))</f>
        <v/>
      </c>
    </row>
    <row r="58" spans="1:4" x14ac:dyDescent="0.3">
      <c r="C58" t="str">
        <f>IF(A58="","",_xlfn.XLOOKUP(A58,members!A:A,members!H:H,"NoData"))</f>
        <v/>
      </c>
    </row>
    <row r="59" spans="1:4" x14ac:dyDescent="0.3">
      <c r="C59" t="str">
        <f>IF(A59="","",_xlfn.XLOOKUP(A59,members!A:A,members!H:H,"NoData"))</f>
        <v/>
      </c>
    </row>
    <row r="60" spans="1:4" x14ac:dyDescent="0.3">
      <c r="C60" t="str">
        <f>IF(A60="","",_xlfn.XLOOKUP(A60,members!A:A,members!H:H,"NoData"))</f>
        <v/>
      </c>
    </row>
    <row r="61" spans="1:4" x14ac:dyDescent="0.3">
      <c r="C61" t="str">
        <f>IF(A61="","",_xlfn.XLOOKUP(A61,members!A:A,members!H:H,"NoData"))</f>
        <v/>
      </c>
    </row>
    <row r="62" spans="1:4" x14ac:dyDescent="0.3">
      <c r="C62" t="str">
        <f>IF(A62="","",_xlfn.XLOOKUP(A62,members!A:A,members!H:H,"NoData"))</f>
        <v/>
      </c>
    </row>
    <row r="63" spans="1:4" x14ac:dyDescent="0.3">
      <c r="C63" t="str">
        <f>IF(A63="","",_xlfn.XLOOKUP(A63,members!A:A,members!H:H,"NoData"))</f>
        <v/>
      </c>
    </row>
    <row r="64" spans="1:4" x14ac:dyDescent="0.3">
      <c r="C64" t="str">
        <f>IF(A64="","",_xlfn.XLOOKUP(A64,members!A:A,members!H:H,"NoData"))</f>
        <v/>
      </c>
    </row>
    <row r="65" spans="3:3" x14ac:dyDescent="0.3">
      <c r="C65" t="str">
        <f>IF(A65="","",_xlfn.XLOOKUP(A65,members!A:A,members!H:H,"NoData"))</f>
        <v/>
      </c>
    </row>
    <row r="66" spans="3:3" x14ac:dyDescent="0.3">
      <c r="C66" t="str">
        <f>IF(A66="","",_xlfn.XLOOKUP(A66,members!A:A,members!H:H,"NoData"))</f>
        <v/>
      </c>
    </row>
    <row r="67" spans="3:3" x14ac:dyDescent="0.3">
      <c r="C67" t="str">
        <f>IF(A67="","",_xlfn.XLOOKUP(A67,members!A:A,members!H:H,"NoData"))</f>
        <v/>
      </c>
    </row>
    <row r="68" spans="3:3" x14ac:dyDescent="0.3">
      <c r="C68" t="str">
        <f>IF(A68="","",_xlfn.XLOOKUP(A68,members!A:A,members!H:H,"NoData"))</f>
        <v/>
      </c>
    </row>
    <row r="69" spans="3:3" x14ac:dyDescent="0.3">
      <c r="C69" t="str">
        <f>IF(A69="","",_xlfn.XLOOKUP(A69,members!A:A,members!H:H,"NoData"))</f>
        <v/>
      </c>
    </row>
    <row r="70" spans="3:3" x14ac:dyDescent="0.3">
      <c r="C70" t="str">
        <f>IF(A70="","",_xlfn.XLOOKUP(A70,members!A:A,members!H:H,"NoData"))</f>
        <v/>
      </c>
    </row>
    <row r="71" spans="3:3" x14ac:dyDescent="0.3">
      <c r="C71" t="str">
        <f>IF(A71="","",_xlfn.XLOOKUP(A71,members!A:A,members!H:H,"NoData"))</f>
        <v/>
      </c>
    </row>
    <row r="72" spans="3:3" x14ac:dyDescent="0.3">
      <c r="C72" t="str">
        <f>IF(A72="","",_xlfn.XLOOKUP(A72,members!A:A,members!H:H,"NoData"))</f>
        <v/>
      </c>
    </row>
    <row r="73" spans="3:3" x14ac:dyDescent="0.3">
      <c r="C73" t="str">
        <f>IF(A73="","",_xlfn.XLOOKUP(A73,members!A:A,members!H:H,"NoData"))</f>
        <v/>
      </c>
    </row>
    <row r="74" spans="3:3" x14ac:dyDescent="0.3">
      <c r="C74" t="str">
        <f>IF(A74="","",_xlfn.XLOOKUP(A74,members!A:A,members!H:H,"NoData"))</f>
        <v/>
      </c>
    </row>
    <row r="75" spans="3:3" x14ac:dyDescent="0.3">
      <c r="C75" t="str">
        <f>IF(A75="","",_xlfn.XLOOKUP(A75,members!A:A,members!H:H,"NoData"))</f>
        <v/>
      </c>
    </row>
    <row r="76" spans="3:3" x14ac:dyDescent="0.3">
      <c r="C76" t="str">
        <f>IF(A76="","",_xlfn.XLOOKUP(A76,members!A:A,members!H:H,"NoData"))</f>
        <v/>
      </c>
    </row>
    <row r="77" spans="3:3" x14ac:dyDescent="0.3">
      <c r="C77" t="str">
        <f>IF(A77="","",_xlfn.XLOOKUP(A77,members!A:A,members!H:H,"NoData"))</f>
        <v/>
      </c>
    </row>
    <row r="78" spans="3:3" x14ac:dyDescent="0.3">
      <c r="C78" t="str">
        <f>IF(A78="","",_xlfn.XLOOKUP(A78,members!A:A,members!H:H,"NoData"))</f>
        <v/>
      </c>
    </row>
    <row r="79" spans="3:3" x14ac:dyDescent="0.3">
      <c r="C79" t="str">
        <f>IF(A79="","",_xlfn.XLOOKUP(A79,members!A:A,members!H:H,"NoData"))</f>
        <v/>
      </c>
    </row>
    <row r="80" spans="3:3" x14ac:dyDescent="0.3">
      <c r="C80" t="str">
        <f>IF(A80="","",_xlfn.XLOOKUP(A80,members!A:A,members!H:H,"NoData"))</f>
        <v/>
      </c>
    </row>
    <row r="81" spans="3:3" x14ac:dyDescent="0.3">
      <c r="C81" t="str">
        <f>IF(A81="","",_xlfn.XLOOKUP(A81,members!A:A,members!H:H,"NoData"))</f>
        <v/>
      </c>
    </row>
    <row r="82" spans="3:3" x14ac:dyDescent="0.3">
      <c r="C82" t="str">
        <f>IF(A82="","",_xlfn.XLOOKUP(A82,members!A:A,members!H:H,"NoData"))</f>
        <v/>
      </c>
    </row>
    <row r="83" spans="3:3" x14ac:dyDescent="0.3">
      <c r="C83" t="str">
        <f>IF(A83="","",_xlfn.XLOOKUP(A83,members!A:A,members!H:H,"NoData"))</f>
        <v/>
      </c>
    </row>
    <row r="84" spans="3:3" x14ac:dyDescent="0.3">
      <c r="C84" t="str">
        <f>IF(A84="","",_xlfn.XLOOKUP(A84,members!A:A,members!H:H,"NoData"))</f>
        <v/>
      </c>
    </row>
    <row r="85" spans="3:3" x14ac:dyDescent="0.3">
      <c r="C85" t="str">
        <f>IF(A85="","",_xlfn.XLOOKUP(A85,members!A:A,members!H:H,"NoData"))</f>
        <v/>
      </c>
    </row>
    <row r="86" spans="3:3" x14ac:dyDescent="0.3">
      <c r="C86" t="str">
        <f>IF(A86="","",_xlfn.XLOOKUP(A86,members!A:A,members!H:H,"NoData"))</f>
        <v/>
      </c>
    </row>
    <row r="87" spans="3:3" x14ac:dyDescent="0.3">
      <c r="C87" t="str">
        <f>IF(A87="","",_xlfn.XLOOKUP(A87,members!A:A,members!H:H,"NoData"))</f>
        <v/>
      </c>
    </row>
    <row r="88" spans="3:3" x14ac:dyDescent="0.3">
      <c r="C88" t="str">
        <f>IF(A88="","",_xlfn.XLOOKUP(A88,members!A:A,members!H:H,"NoData"))</f>
        <v/>
      </c>
    </row>
    <row r="89" spans="3:3" x14ac:dyDescent="0.3">
      <c r="C89" t="str">
        <f>IF(A89="","",_xlfn.XLOOKUP(A89,members!A:A,members!H:H,"NoData"))</f>
        <v/>
      </c>
    </row>
  </sheetData>
  <phoneticPr fontId="1" type="noConversion"/>
  <conditionalFormatting sqref="B2:C1048576">
    <cfRule type="cellIs" dxfId="0" priority="1" operator="equal">
      <formula>"NoData"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D39F-7D92-4C5D-AEB6-E4E4E85FE383}">
  <sheetPr codeName="Sheet2">
    <tabColor theme="4" tint="0.39997558519241921"/>
  </sheetPr>
  <dimension ref="A1:H647"/>
  <sheetViews>
    <sheetView workbookViewId="0">
      <selection activeCell="J24" sqref="J24"/>
    </sheetView>
  </sheetViews>
  <sheetFormatPr defaultRowHeight="16.5" x14ac:dyDescent="0.3"/>
  <cols>
    <col min="1" max="1" width="9" style="65"/>
    <col min="2" max="2" width="13" style="65" bestFit="1" customWidth="1"/>
    <col min="3" max="3" width="8.875" style="66" customWidth="1"/>
    <col min="4" max="4" width="17.75" style="67" bestFit="1" customWidth="1"/>
    <col min="5" max="5" width="15.625" style="66" bestFit="1" customWidth="1"/>
    <col min="6" max="6" width="24.25" style="67" customWidth="1"/>
    <col min="7" max="7" width="10.75" style="66" customWidth="1"/>
    <col min="8" max="8" width="35" style="65" customWidth="1"/>
  </cols>
  <sheetData>
    <row r="1" spans="1:8" x14ac:dyDescent="0.3">
      <c r="A1" s="63" t="s">
        <v>14</v>
      </c>
      <c r="B1" s="63" t="s">
        <v>15</v>
      </c>
      <c r="C1" s="63" t="s">
        <v>16</v>
      </c>
      <c r="D1" s="64" t="s">
        <v>17</v>
      </c>
      <c r="E1" s="63" t="s">
        <v>18</v>
      </c>
      <c r="F1" s="64" t="s">
        <v>19</v>
      </c>
      <c r="G1" s="63" t="s">
        <v>20</v>
      </c>
      <c r="H1" s="63" t="s">
        <v>21</v>
      </c>
    </row>
    <row r="2" spans="1:8" x14ac:dyDescent="0.3">
      <c r="A2" s="65" t="s">
        <v>22</v>
      </c>
      <c r="B2" s="65" t="s">
        <v>164</v>
      </c>
      <c r="C2" s="66" t="s">
        <v>98</v>
      </c>
      <c r="D2" s="67" t="s">
        <v>165</v>
      </c>
      <c r="E2" s="66" t="s">
        <v>166</v>
      </c>
      <c r="F2" s="67" t="s">
        <v>167</v>
      </c>
      <c r="G2" s="66" t="s">
        <v>98</v>
      </c>
      <c r="H2" s="65" t="s">
        <v>168</v>
      </c>
    </row>
    <row r="3" spans="1:8" x14ac:dyDescent="0.3">
      <c r="A3" s="65" t="s">
        <v>169</v>
      </c>
      <c r="B3" s="65" t="s">
        <v>170</v>
      </c>
      <c r="C3" s="66" t="s">
        <v>171</v>
      </c>
      <c r="D3" s="67" t="s">
        <v>165</v>
      </c>
      <c r="E3" s="66" t="s">
        <v>166</v>
      </c>
      <c r="F3" s="67" t="s">
        <v>172</v>
      </c>
      <c r="G3" s="66" t="s">
        <v>171</v>
      </c>
      <c r="H3" s="65" t="s">
        <v>173</v>
      </c>
    </row>
    <row r="4" spans="1:8" x14ac:dyDescent="0.3">
      <c r="A4" s="65" t="s">
        <v>174</v>
      </c>
      <c r="B4" s="65" t="s">
        <v>175</v>
      </c>
      <c r="C4" s="66" t="s">
        <v>176</v>
      </c>
      <c r="D4" s="67" t="s">
        <v>165</v>
      </c>
      <c r="E4" s="66" t="s">
        <v>166</v>
      </c>
      <c r="F4" s="67" t="s">
        <v>177</v>
      </c>
      <c r="G4" s="66" t="s">
        <v>176</v>
      </c>
      <c r="H4" s="65" t="s">
        <v>178</v>
      </c>
    </row>
    <row r="5" spans="1:8" x14ac:dyDescent="0.3">
      <c r="A5" s="65" t="s">
        <v>179</v>
      </c>
      <c r="B5" s="65" t="s">
        <v>180</v>
      </c>
      <c r="C5" s="66" t="s">
        <v>181</v>
      </c>
      <c r="D5" s="67" t="s">
        <v>165</v>
      </c>
      <c r="E5" s="66" t="s">
        <v>166</v>
      </c>
      <c r="F5" s="67" t="s">
        <v>182</v>
      </c>
      <c r="G5" s="66" t="s">
        <v>181</v>
      </c>
      <c r="H5" s="65" t="s">
        <v>183</v>
      </c>
    </row>
    <row r="6" spans="1:8" x14ac:dyDescent="0.3">
      <c r="A6" s="65" t="s">
        <v>184</v>
      </c>
      <c r="B6" s="65" t="s">
        <v>185</v>
      </c>
      <c r="C6" s="66" t="s">
        <v>186</v>
      </c>
      <c r="D6" s="67" t="s">
        <v>165</v>
      </c>
      <c r="E6" s="66" t="s">
        <v>166</v>
      </c>
      <c r="F6" s="67" t="s">
        <v>187</v>
      </c>
      <c r="G6" s="66" t="s">
        <v>186</v>
      </c>
      <c r="H6" s="65" t="s">
        <v>188</v>
      </c>
    </row>
    <row r="7" spans="1:8" x14ac:dyDescent="0.3">
      <c r="A7" s="65" t="s">
        <v>189</v>
      </c>
      <c r="B7" s="65" t="s">
        <v>190</v>
      </c>
      <c r="C7" s="66" t="s">
        <v>191</v>
      </c>
      <c r="D7" s="67" t="s">
        <v>165</v>
      </c>
      <c r="E7" s="66" t="s">
        <v>166</v>
      </c>
      <c r="F7" s="67" t="s">
        <v>192</v>
      </c>
      <c r="G7" s="66" t="s">
        <v>191</v>
      </c>
      <c r="H7" s="65" t="s">
        <v>193</v>
      </c>
    </row>
    <row r="8" spans="1:8" x14ac:dyDescent="0.3">
      <c r="A8" s="65" t="s">
        <v>194</v>
      </c>
      <c r="B8" s="65" t="s">
        <v>195</v>
      </c>
      <c r="C8" s="66" t="s">
        <v>196</v>
      </c>
      <c r="D8" s="67" t="s">
        <v>165</v>
      </c>
      <c r="E8" s="66" t="s">
        <v>166</v>
      </c>
      <c r="F8" s="67" t="s">
        <v>197</v>
      </c>
      <c r="G8" s="66" t="s">
        <v>196</v>
      </c>
      <c r="H8" s="65" t="s">
        <v>198</v>
      </c>
    </row>
    <row r="9" spans="1:8" x14ac:dyDescent="0.3">
      <c r="A9" s="65" t="s">
        <v>199</v>
      </c>
      <c r="B9" s="65" t="s">
        <v>200</v>
      </c>
      <c r="C9" s="66" t="s">
        <v>201</v>
      </c>
      <c r="D9" s="67" t="s">
        <v>165</v>
      </c>
      <c r="E9" s="66" t="s">
        <v>166</v>
      </c>
      <c r="F9" s="67" t="s">
        <v>202</v>
      </c>
      <c r="G9" s="66" t="s">
        <v>201</v>
      </c>
      <c r="H9" s="65" t="s">
        <v>203</v>
      </c>
    </row>
    <row r="10" spans="1:8" x14ac:dyDescent="0.3">
      <c r="A10" s="65" t="s">
        <v>204</v>
      </c>
      <c r="B10" s="65" t="s">
        <v>205</v>
      </c>
      <c r="C10" s="66" t="s">
        <v>206</v>
      </c>
      <c r="D10" s="67" t="s">
        <v>165</v>
      </c>
      <c r="E10" s="66" t="s">
        <v>166</v>
      </c>
      <c r="F10" s="67" t="s">
        <v>207</v>
      </c>
      <c r="G10" s="66" t="s">
        <v>206</v>
      </c>
      <c r="H10" s="65" t="s">
        <v>208</v>
      </c>
    </row>
    <row r="11" spans="1:8" x14ac:dyDescent="0.3">
      <c r="A11" s="65" t="s">
        <v>209</v>
      </c>
      <c r="B11" s="65" t="s">
        <v>210</v>
      </c>
      <c r="C11" s="66" t="s">
        <v>211</v>
      </c>
      <c r="D11" s="67" t="s">
        <v>212</v>
      </c>
      <c r="E11" s="66" t="s">
        <v>213</v>
      </c>
      <c r="F11" s="67" t="s">
        <v>214</v>
      </c>
      <c r="G11" s="66" t="s">
        <v>211</v>
      </c>
      <c r="H11" s="65" t="s">
        <v>215</v>
      </c>
    </row>
    <row r="12" spans="1:8" x14ac:dyDescent="0.3">
      <c r="A12" s="65" t="s">
        <v>216</v>
      </c>
      <c r="B12" s="65" t="s">
        <v>217</v>
      </c>
      <c r="C12" s="66" t="s">
        <v>218</v>
      </c>
      <c r="D12" s="67" t="s">
        <v>219</v>
      </c>
      <c r="E12" s="66" t="s">
        <v>220</v>
      </c>
      <c r="F12" s="67" t="s">
        <v>221</v>
      </c>
      <c r="G12" s="66" t="s">
        <v>218</v>
      </c>
      <c r="H12" s="65" t="s">
        <v>222</v>
      </c>
    </row>
    <row r="13" spans="1:8" x14ac:dyDescent="0.3">
      <c r="A13" s="65" t="s">
        <v>223</v>
      </c>
      <c r="B13" s="65" t="s">
        <v>224</v>
      </c>
      <c r="C13" s="66" t="s">
        <v>225</v>
      </c>
      <c r="D13" s="67" t="s">
        <v>165</v>
      </c>
      <c r="E13" s="66" t="s">
        <v>166</v>
      </c>
      <c r="F13" s="67" t="s">
        <v>226</v>
      </c>
      <c r="G13" s="66" t="s">
        <v>225</v>
      </c>
      <c r="H13" s="65" t="s">
        <v>227</v>
      </c>
    </row>
    <row r="14" spans="1:8" x14ac:dyDescent="0.3">
      <c r="A14" s="65" t="s">
        <v>228</v>
      </c>
      <c r="B14" s="65" t="s">
        <v>229</v>
      </c>
      <c r="C14" s="66" t="s">
        <v>230</v>
      </c>
      <c r="D14" s="67" t="s">
        <v>165</v>
      </c>
      <c r="E14" s="66" t="s">
        <v>166</v>
      </c>
      <c r="F14" s="67" t="s">
        <v>231</v>
      </c>
      <c r="G14" s="66" t="s">
        <v>230</v>
      </c>
      <c r="H14" s="65" t="s">
        <v>232</v>
      </c>
    </row>
    <row r="15" spans="1:8" x14ac:dyDescent="0.3">
      <c r="A15" s="65" t="s">
        <v>233</v>
      </c>
      <c r="B15" s="65" t="s">
        <v>234</v>
      </c>
      <c r="C15" s="66" t="s">
        <v>235</v>
      </c>
      <c r="D15" s="67" t="s">
        <v>165</v>
      </c>
      <c r="E15" s="66" t="s">
        <v>166</v>
      </c>
      <c r="F15" s="67" t="s">
        <v>236</v>
      </c>
      <c r="G15" s="66" t="s">
        <v>235</v>
      </c>
      <c r="H15" s="65" t="s">
        <v>237</v>
      </c>
    </row>
    <row r="16" spans="1:8" x14ac:dyDescent="0.3">
      <c r="A16" s="65" t="s">
        <v>238</v>
      </c>
      <c r="B16" s="65" t="s">
        <v>239</v>
      </c>
      <c r="C16" s="66" t="s">
        <v>240</v>
      </c>
      <c r="D16" s="67" t="s">
        <v>241</v>
      </c>
      <c r="E16" s="66" t="s">
        <v>242</v>
      </c>
      <c r="F16" s="67" t="s">
        <v>243</v>
      </c>
      <c r="G16" s="66" t="s">
        <v>240</v>
      </c>
      <c r="H16" s="65" t="s">
        <v>244</v>
      </c>
    </row>
    <row r="17" spans="1:8" x14ac:dyDescent="0.3">
      <c r="A17" s="65" t="s">
        <v>245</v>
      </c>
      <c r="B17" s="65" t="s">
        <v>246</v>
      </c>
      <c r="C17" s="66" t="s">
        <v>247</v>
      </c>
      <c r="D17" s="67" t="s">
        <v>241</v>
      </c>
      <c r="E17" s="66" t="s">
        <v>242</v>
      </c>
      <c r="F17" s="67" t="s">
        <v>248</v>
      </c>
      <c r="G17" s="66" t="s">
        <v>247</v>
      </c>
      <c r="H17" s="65" t="s">
        <v>249</v>
      </c>
    </row>
    <row r="18" spans="1:8" x14ac:dyDescent="0.3">
      <c r="A18" s="65" t="s">
        <v>250</v>
      </c>
      <c r="B18" s="65" t="s">
        <v>251</v>
      </c>
      <c r="C18" s="66" t="s">
        <v>252</v>
      </c>
      <c r="D18" s="67" t="s">
        <v>241</v>
      </c>
      <c r="E18" s="66" t="s">
        <v>242</v>
      </c>
      <c r="F18" s="67" t="s">
        <v>253</v>
      </c>
      <c r="G18" s="66" t="s">
        <v>252</v>
      </c>
      <c r="H18" s="65" t="s">
        <v>254</v>
      </c>
    </row>
    <row r="19" spans="1:8" x14ac:dyDescent="0.3">
      <c r="A19" s="65" t="s">
        <v>255</v>
      </c>
      <c r="B19" s="65" t="s">
        <v>256</v>
      </c>
      <c r="C19" s="66" t="s">
        <v>257</v>
      </c>
      <c r="D19" s="67" t="s">
        <v>165</v>
      </c>
      <c r="E19" s="66" t="s">
        <v>166</v>
      </c>
      <c r="F19" s="67" t="s">
        <v>258</v>
      </c>
      <c r="G19" s="66" t="s">
        <v>257</v>
      </c>
      <c r="H19" s="65" t="s">
        <v>259</v>
      </c>
    </row>
    <row r="20" spans="1:8" x14ac:dyDescent="0.3">
      <c r="A20" s="65" t="s">
        <v>260</v>
      </c>
      <c r="B20" s="65" t="s">
        <v>261</v>
      </c>
      <c r="C20" s="66" t="s">
        <v>262</v>
      </c>
      <c r="D20" s="67" t="s">
        <v>165</v>
      </c>
      <c r="E20" s="66" t="s">
        <v>166</v>
      </c>
      <c r="F20" s="67" t="s">
        <v>263</v>
      </c>
      <c r="G20" s="66" t="s">
        <v>262</v>
      </c>
      <c r="H20" s="65" t="s">
        <v>264</v>
      </c>
    </row>
    <row r="21" spans="1:8" x14ac:dyDescent="0.3">
      <c r="A21" s="65" t="s">
        <v>265</v>
      </c>
      <c r="B21" s="65" t="s">
        <v>266</v>
      </c>
      <c r="C21" s="66" t="s">
        <v>267</v>
      </c>
      <c r="D21" s="67" t="s">
        <v>165</v>
      </c>
      <c r="E21" s="66" t="s">
        <v>166</v>
      </c>
      <c r="F21" s="67" t="s">
        <v>268</v>
      </c>
      <c r="G21" s="66" t="s">
        <v>267</v>
      </c>
      <c r="H21" s="65" t="s">
        <v>269</v>
      </c>
    </row>
    <row r="22" spans="1:8" x14ac:dyDescent="0.3">
      <c r="A22" s="65" t="s">
        <v>270</v>
      </c>
      <c r="B22" s="65" t="s">
        <v>271</v>
      </c>
      <c r="C22" s="66" t="s">
        <v>272</v>
      </c>
      <c r="D22" s="67" t="s">
        <v>165</v>
      </c>
      <c r="E22" s="66" t="s">
        <v>166</v>
      </c>
      <c r="F22" s="67" t="s">
        <v>273</v>
      </c>
      <c r="G22" s="66" t="s">
        <v>272</v>
      </c>
      <c r="H22" s="65" t="s">
        <v>274</v>
      </c>
    </row>
    <row r="23" spans="1:8" x14ac:dyDescent="0.3">
      <c r="A23" s="65" t="s">
        <v>275</v>
      </c>
      <c r="B23" s="65" t="s">
        <v>276</v>
      </c>
      <c r="C23" s="66" t="s">
        <v>277</v>
      </c>
      <c r="D23" s="67" t="s">
        <v>165</v>
      </c>
      <c r="E23" s="66" t="s">
        <v>166</v>
      </c>
      <c r="F23" s="67" t="s">
        <v>278</v>
      </c>
      <c r="G23" s="66" t="s">
        <v>277</v>
      </c>
      <c r="H23" s="65" t="s">
        <v>279</v>
      </c>
    </row>
    <row r="24" spans="1:8" x14ac:dyDescent="0.3">
      <c r="A24" s="65" t="s">
        <v>280</v>
      </c>
      <c r="B24" s="65" t="s">
        <v>281</v>
      </c>
      <c r="C24" s="66" t="s">
        <v>282</v>
      </c>
      <c r="D24" s="67" t="s">
        <v>165</v>
      </c>
      <c r="E24" s="66" t="s">
        <v>166</v>
      </c>
      <c r="F24" s="67" t="s">
        <v>283</v>
      </c>
      <c r="G24" s="66" t="s">
        <v>282</v>
      </c>
      <c r="H24" s="65" t="s">
        <v>284</v>
      </c>
    </row>
    <row r="25" spans="1:8" x14ac:dyDescent="0.3">
      <c r="A25" s="65" t="s">
        <v>285</v>
      </c>
      <c r="B25" s="65" t="s">
        <v>286</v>
      </c>
      <c r="C25" s="66" t="s">
        <v>287</v>
      </c>
      <c r="D25" s="67" t="s">
        <v>165</v>
      </c>
      <c r="E25" s="66" t="s">
        <v>166</v>
      </c>
      <c r="F25" s="67" t="s">
        <v>288</v>
      </c>
      <c r="G25" s="66" t="s">
        <v>287</v>
      </c>
      <c r="H25" s="65" t="s">
        <v>289</v>
      </c>
    </row>
    <row r="26" spans="1:8" x14ac:dyDescent="0.3">
      <c r="A26" s="65" t="s">
        <v>290</v>
      </c>
      <c r="B26" s="65" t="s">
        <v>291</v>
      </c>
      <c r="C26" s="66" t="s">
        <v>292</v>
      </c>
      <c r="D26" s="67" t="s">
        <v>165</v>
      </c>
      <c r="E26" s="66" t="s">
        <v>166</v>
      </c>
      <c r="F26" s="67" t="s">
        <v>293</v>
      </c>
      <c r="G26" s="66" t="s">
        <v>292</v>
      </c>
      <c r="H26" s="65" t="s">
        <v>294</v>
      </c>
    </row>
    <row r="27" spans="1:8" x14ac:dyDescent="0.3">
      <c r="A27" s="65" t="s">
        <v>295</v>
      </c>
      <c r="B27" s="65" t="s">
        <v>296</v>
      </c>
      <c r="C27" s="66" t="s">
        <v>297</v>
      </c>
      <c r="D27" s="67" t="s">
        <v>165</v>
      </c>
      <c r="E27" s="66" t="s">
        <v>166</v>
      </c>
      <c r="F27" s="67" t="s">
        <v>298</v>
      </c>
      <c r="G27" s="66" t="s">
        <v>297</v>
      </c>
      <c r="H27" s="65" t="s">
        <v>299</v>
      </c>
    </row>
    <row r="28" spans="1:8" x14ac:dyDescent="0.3">
      <c r="A28" s="65" t="s">
        <v>300</v>
      </c>
      <c r="B28" s="65" t="s">
        <v>301</v>
      </c>
      <c r="C28" s="66" t="s">
        <v>302</v>
      </c>
      <c r="D28" s="67" t="s">
        <v>241</v>
      </c>
      <c r="E28" s="66" t="s">
        <v>242</v>
      </c>
      <c r="F28" s="67" t="s">
        <v>303</v>
      </c>
      <c r="G28" s="66" t="s">
        <v>302</v>
      </c>
      <c r="H28" s="65" t="s">
        <v>304</v>
      </c>
    </row>
    <row r="29" spans="1:8" x14ac:dyDescent="0.3">
      <c r="A29" s="65" t="s">
        <v>305</v>
      </c>
      <c r="B29" s="65" t="s">
        <v>306</v>
      </c>
      <c r="C29" s="66" t="s">
        <v>307</v>
      </c>
      <c r="D29" s="67" t="s">
        <v>308</v>
      </c>
      <c r="E29" s="66" t="s">
        <v>309</v>
      </c>
      <c r="F29" s="67" t="s">
        <v>310</v>
      </c>
      <c r="G29" s="66" t="s">
        <v>307</v>
      </c>
      <c r="H29" s="65" t="s">
        <v>311</v>
      </c>
    </row>
    <row r="30" spans="1:8" x14ac:dyDescent="0.3">
      <c r="A30" s="65" t="s">
        <v>312</v>
      </c>
      <c r="B30" s="65" t="s">
        <v>313</v>
      </c>
      <c r="C30" s="66" t="s">
        <v>314</v>
      </c>
      <c r="D30" s="67" t="s">
        <v>165</v>
      </c>
      <c r="E30" s="66" t="s">
        <v>166</v>
      </c>
      <c r="F30" s="67" t="s">
        <v>315</v>
      </c>
      <c r="G30" s="66" t="s">
        <v>314</v>
      </c>
      <c r="H30" s="65" t="s">
        <v>316</v>
      </c>
    </row>
    <row r="31" spans="1:8" x14ac:dyDescent="0.3">
      <c r="A31" s="65" t="s">
        <v>317</v>
      </c>
      <c r="B31" s="65" t="s">
        <v>318</v>
      </c>
      <c r="C31" s="66" t="s">
        <v>319</v>
      </c>
      <c r="D31" s="67" t="s">
        <v>320</v>
      </c>
      <c r="E31" s="66" t="s">
        <v>321</v>
      </c>
      <c r="F31" s="67" t="s">
        <v>322</v>
      </c>
      <c r="G31" s="66" t="s">
        <v>319</v>
      </c>
      <c r="H31" s="65" t="s">
        <v>323</v>
      </c>
    </row>
    <row r="32" spans="1:8" x14ac:dyDescent="0.3">
      <c r="A32" s="65" t="s">
        <v>324</v>
      </c>
      <c r="B32" s="65" t="s">
        <v>325</v>
      </c>
      <c r="C32" s="66" t="s">
        <v>326</v>
      </c>
      <c r="D32" s="67" t="s">
        <v>165</v>
      </c>
      <c r="E32" s="66" t="s">
        <v>166</v>
      </c>
      <c r="F32" s="67" t="s">
        <v>327</v>
      </c>
      <c r="G32" s="66" t="s">
        <v>326</v>
      </c>
      <c r="H32" s="65" t="s">
        <v>328</v>
      </c>
    </row>
    <row r="33" spans="1:8" x14ac:dyDescent="0.3">
      <c r="A33" s="65" t="s">
        <v>329</v>
      </c>
      <c r="B33" s="65" t="s">
        <v>330</v>
      </c>
      <c r="C33" s="66" t="s">
        <v>331</v>
      </c>
      <c r="D33" s="67" t="s">
        <v>165</v>
      </c>
      <c r="E33" s="66" t="s">
        <v>166</v>
      </c>
      <c r="F33" s="67" t="s">
        <v>332</v>
      </c>
      <c r="G33" s="66" t="s">
        <v>331</v>
      </c>
      <c r="H33" s="65" t="s">
        <v>333</v>
      </c>
    </row>
    <row r="34" spans="1:8" x14ac:dyDescent="0.3">
      <c r="A34" s="65" t="s">
        <v>334</v>
      </c>
      <c r="B34" s="65" t="s">
        <v>335</v>
      </c>
      <c r="C34" s="66" t="s">
        <v>336</v>
      </c>
      <c r="D34" s="67" t="s">
        <v>165</v>
      </c>
      <c r="E34" s="66" t="s">
        <v>166</v>
      </c>
      <c r="F34" s="67" t="s">
        <v>337</v>
      </c>
      <c r="G34" s="66" t="s">
        <v>336</v>
      </c>
      <c r="H34" s="65" t="s">
        <v>338</v>
      </c>
    </row>
    <row r="35" spans="1:8" x14ac:dyDescent="0.3">
      <c r="A35" s="65" t="s">
        <v>339</v>
      </c>
      <c r="B35" s="65" t="s">
        <v>340</v>
      </c>
      <c r="C35" s="66" t="s">
        <v>341</v>
      </c>
      <c r="D35" s="67" t="s">
        <v>165</v>
      </c>
      <c r="E35" s="66" t="s">
        <v>166</v>
      </c>
      <c r="F35" s="67" t="s">
        <v>342</v>
      </c>
      <c r="G35" s="66" t="s">
        <v>341</v>
      </c>
      <c r="H35" s="65" t="s">
        <v>343</v>
      </c>
    </row>
    <row r="36" spans="1:8" x14ac:dyDescent="0.3">
      <c r="A36" s="65" t="s">
        <v>344</v>
      </c>
      <c r="B36" s="65" t="s">
        <v>345</v>
      </c>
      <c r="C36" s="66" t="s">
        <v>346</v>
      </c>
      <c r="D36" s="67" t="s">
        <v>165</v>
      </c>
      <c r="E36" s="66" t="s">
        <v>166</v>
      </c>
      <c r="F36" s="67" t="s">
        <v>347</v>
      </c>
      <c r="G36" s="66" t="s">
        <v>346</v>
      </c>
      <c r="H36" s="65" t="s">
        <v>348</v>
      </c>
    </row>
    <row r="37" spans="1:8" x14ac:dyDescent="0.3">
      <c r="A37" s="65" t="s">
        <v>349</v>
      </c>
      <c r="B37" s="65" t="s">
        <v>350</v>
      </c>
      <c r="C37" s="66" t="s">
        <v>351</v>
      </c>
      <c r="D37" s="67" t="s">
        <v>165</v>
      </c>
      <c r="E37" s="66" t="s">
        <v>166</v>
      </c>
      <c r="F37" s="67" t="s">
        <v>352</v>
      </c>
      <c r="G37" s="66" t="s">
        <v>351</v>
      </c>
      <c r="H37" s="65" t="s">
        <v>353</v>
      </c>
    </row>
    <row r="38" spans="1:8" x14ac:dyDescent="0.3">
      <c r="A38" s="65" t="s">
        <v>354</v>
      </c>
      <c r="B38" s="65" t="s">
        <v>355</v>
      </c>
      <c r="C38" s="66" t="s">
        <v>356</v>
      </c>
      <c r="D38" s="67" t="s">
        <v>165</v>
      </c>
      <c r="E38" s="66" t="s">
        <v>166</v>
      </c>
      <c r="F38" s="67" t="s">
        <v>357</v>
      </c>
      <c r="G38" s="66" t="s">
        <v>356</v>
      </c>
      <c r="H38" s="65" t="s">
        <v>358</v>
      </c>
    </row>
    <row r="39" spans="1:8" x14ac:dyDescent="0.3">
      <c r="A39" s="65" t="s">
        <v>359</v>
      </c>
      <c r="B39" s="65" t="s">
        <v>360</v>
      </c>
      <c r="C39" s="66" t="s">
        <v>361</v>
      </c>
      <c r="D39" s="67" t="s">
        <v>165</v>
      </c>
      <c r="E39" s="66" t="s">
        <v>166</v>
      </c>
      <c r="F39" s="67" t="s">
        <v>362</v>
      </c>
      <c r="G39" s="66" t="s">
        <v>361</v>
      </c>
      <c r="H39" s="65" t="s">
        <v>363</v>
      </c>
    </row>
    <row r="40" spans="1:8" x14ac:dyDescent="0.3">
      <c r="A40" s="65" t="s">
        <v>364</v>
      </c>
      <c r="B40" s="65" t="s">
        <v>365</v>
      </c>
      <c r="C40" s="66" t="s">
        <v>366</v>
      </c>
      <c r="D40" s="67" t="s">
        <v>165</v>
      </c>
      <c r="E40" s="66" t="s">
        <v>166</v>
      </c>
      <c r="F40" s="67" t="s">
        <v>367</v>
      </c>
      <c r="G40" s="66" t="s">
        <v>366</v>
      </c>
      <c r="H40" s="65" t="s">
        <v>368</v>
      </c>
    </row>
    <row r="41" spans="1:8" x14ac:dyDescent="0.3">
      <c r="A41" s="65" t="s">
        <v>369</v>
      </c>
      <c r="B41" s="65" t="s">
        <v>370</v>
      </c>
      <c r="C41" s="66" t="s">
        <v>371</v>
      </c>
      <c r="D41" s="67" t="s">
        <v>241</v>
      </c>
      <c r="E41" s="66" t="s">
        <v>242</v>
      </c>
      <c r="F41" s="67" t="s">
        <v>372</v>
      </c>
      <c r="G41" s="66" t="s">
        <v>371</v>
      </c>
      <c r="H41" s="65" t="s">
        <v>373</v>
      </c>
    </row>
    <row r="42" spans="1:8" x14ac:dyDescent="0.3">
      <c r="A42" s="65" t="s">
        <v>374</v>
      </c>
      <c r="B42" s="65" t="s">
        <v>375</v>
      </c>
      <c r="C42" s="66" t="s">
        <v>376</v>
      </c>
      <c r="D42" s="67" t="s">
        <v>165</v>
      </c>
      <c r="E42" s="66" t="s">
        <v>166</v>
      </c>
      <c r="F42" s="67" t="s">
        <v>377</v>
      </c>
      <c r="G42" s="66" t="s">
        <v>376</v>
      </c>
      <c r="H42" s="65" t="s">
        <v>378</v>
      </c>
    </row>
    <row r="43" spans="1:8" x14ac:dyDescent="0.3">
      <c r="A43" s="65" t="s">
        <v>379</v>
      </c>
      <c r="B43" s="65" t="s">
        <v>380</v>
      </c>
      <c r="C43" s="66" t="s">
        <v>381</v>
      </c>
      <c r="D43" s="67" t="s">
        <v>165</v>
      </c>
      <c r="E43" s="66" t="s">
        <v>166</v>
      </c>
      <c r="F43" s="67" t="s">
        <v>382</v>
      </c>
      <c r="G43" s="66" t="s">
        <v>381</v>
      </c>
      <c r="H43" s="65" t="s">
        <v>383</v>
      </c>
    </row>
    <row r="44" spans="1:8" x14ac:dyDescent="0.3">
      <c r="A44" s="65" t="s">
        <v>384</v>
      </c>
      <c r="B44" s="65" t="s">
        <v>385</v>
      </c>
      <c r="C44" s="66" t="s">
        <v>386</v>
      </c>
      <c r="D44" s="67" t="s">
        <v>165</v>
      </c>
      <c r="E44" s="66" t="s">
        <v>166</v>
      </c>
      <c r="F44" s="67" t="s">
        <v>387</v>
      </c>
      <c r="G44" s="66" t="s">
        <v>386</v>
      </c>
      <c r="H44" s="65" t="s">
        <v>388</v>
      </c>
    </row>
    <row r="45" spans="1:8" x14ac:dyDescent="0.3">
      <c r="A45" s="65" t="s">
        <v>389</v>
      </c>
      <c r="B45" s="65" t="s">
        <v>390</v>
      </c>
      <c r="C45" s="66" t="s">
        <v>391</v>
      </c>
      <c r="D45" s="67" t="s">
        <v>165</v>
      </c>
      <c r="E45" s="66" t="s">
        <v>166</v>
      </c>
      <c r="F45" s="67" t="s">
        <v>392</v>
      </c>
      <c r="G45" s="66" t="s">
        <v>391</v>
      </c>
      <c r="H45" s="65" t="s">
        <v>393</v>
      </c>
    </row>
    <row r="46" spans="1:8" x14ac:dyDescent="0.3">
      <c r="A46" s="65" t="s">
        <v>23</v>
      </c>
      <c r="B46" s="65" t="s">
        <v>394</v>
      </c>
      <c r="C46" s="66" t="s">
        <v>99</v>
      </c>
      <c r="D46" s="67" t="s">
        <v>165</v>
      </c>
      <c r="E46" s="66" t="s">
        <v>166</v>
      </c>
      <c r="F46" s="67" t="s">
        <v>395</v>
      </c>
      <c r="G46" s="66" t="s">
        <v>99</v>
      </c>
      <c r="H46" s="65" t="s">
        <v>396</v>
      </c>
    </row>
    <row r="47" spans="1:8" x14ac:dyDescent="0.3">
      <c r="A47" s="65" t="s">
        <v>397</v>
      </c>
      <c r="B47" s="65" t="s">
        <v>398</v>
      </c>
      <c r="C47" s="66" t="s">
        <v>399</v>
      </c>
      <c r="D47" s="67" t="s">
        <v>165</v>
      </c>
      <c r="E47" s="66" t="s">
        <v>166</v>
      </c>
      <c r="F47" s="67" t="s">
        <v>400</v>
      </c>
      <c r="G47" s="66" t="s">
        <v>399</v>
      </c>
      <c r="H47" s="65" t="s">
        <v>401</v>
      </c>
    </row>
    <row r="48" spans="1:8" x14ac:dyDescent="0.3">
      <c r="A48" s="65" t="s">
        <v>402</v>
      </c>
      <c r="B48" s="65" t="s">
        <v>403</v>
      </c>
      <c r="C48" s="66" t="s">
        <v>404</v>
      </c>
      <c r="D48" s="67" t="s">
        <v>165</v>
      </c>
      <c r="E48" s="66" t="s">
        <v>166</v>
      </c>
      <c r="F48" s="67" t="s">
        <v>405</v>
      </c>
      <c r="G48" s="66" t="s">
        <v>404</v>
      </c>
      <c r="H48" s="65" t="s">
        <v>406</v>
      </c>
    </row>
    <row r="49" spans="1:8" x14ac:dyDescent="0.3">
      <c r="A49" s="65" t="s">
        <v>407</v>
      </c>
      <c r="B49" s="65" t="s">
        <v>408</v>
      </c>
      <c r="C49" s="66" t="s">
        <v>409</v>
      </c>
      <c r="D49" s="67" t="s">
        <v>165</v>
      </c>
      <c r="E49" s="66" t="s">
        <v>166</v>
      </c>
      <c r="F49" s="67" t="s">
        <v>410</v>
      </c>
      <c r="G49" s="66" t="s">
        <v>409</v>
      </c>
      <c r="H49" s="65" t="s">
        <v>411</v>
      </c>
    </row>
    <row r="50" spans="1:8" x14ac:dyDescent="0.3">
      <c r="A50" s="65" t="s">
        <v>412</v>
      </c>
      <c r="B50" s="65" t="s">
        <v>413</v>
      </c>
      <c r="C50" s="66" t="s">
        <v>414</v>
      </c>
      <c r="D50" s="67" t="s">
        <v>165</v>
      </c>
      <c r="E50" s="66" t="s">
        <v>166</v>
      </c>
      <c r="F50" s="67" t="s">
        <v>415</v>
      </c>
      <c r="G50" s="66" t="s">
        <v>414</v>
      </c>
      <c r="H50" s="65" t="s">
        <v>416</v>
      </c>
    </row>
    <row r="51" spans="1:8" x14ac:dyDescent="0.3">
      <c r="A51" s="65" t="s">
        <v>417</v>
      </c>
      <c r="B51" s="65" t="s">
        <v>418</v>
      </c>
      <c r="C51" s="66" t="s">
        <v>419</v>
      </c>
      <c r="D51" s="67" t="s">
        <v>212</v>
      </c>
      <c r="E51" s="66" t="s">
        <v>213</v>
      </c>
      <c r="F51" s="67" t="s">
        <v>420</v>
      </c>
      <c r="G51" s="66" t="s">
        <v>419</v>
      </c>
      <c r="H51" s="65" t="s">
        <v>421</v>
      </c>
    </row>
    <row r="52" spans="1:8" x14ac:dyDescent="0.3">
      <c r="A52" s="65" t="s">
        <v>422</v>
      </c>
      <c r="B52" s="65" t="s">
        <v>423</v>
      </c>
      <c r="C52" s="66" t="s">
        <v>424</v>
      </c>
      <c r="D52" s="67" t="s">
        <v>165</v>
      </c>
      <c r="E52" s="66" t="s">
        <v>166</v>
      </c>
      <c r="F52" s="67" t="s">
        <v>425</v>
      </c>
      <c r="G52" s="66" t="s">
        <v>424</v>
      </c>
      <c r="H52" s="65" t="s">
        <v>426</v>
      </c>
    </row>
    <row r="53" spans="1:8" x14ac:dyDescent="0.3">
      <c r="A53" s="65" t="s">
        <v>427</v>
      </c>
      <c r="B53" s="65" t="s">
        <v>428</v>
      </c>
      <c r="C53" s="66" t="s">
        <v>429</v>
      </c>
      <c r="D53" s="67" t="s">
        <v>165</v>
      </c>
      <c r="E53" s="66" t="s">
        <v>166</v>
      </c>
      <c r="F53" s="67" t="s">
        <v>430</v>
      </c>
      <c r="G53" s="66" t="s">
        <v>429</v>
      </c>
      <c r="H53" s="65" t="s">
        <v>431</v>
      </c>
    </row>
    <row r="54" spans="1:8" x14ac:dyDescent="0.3">
      <c r="A54" s="65" t="s">
        <v>432</v>
      </c>
      <c r="B54" s="65" t="s">
        <v>433</v>
      </c>
      <c r="C54" s="66" t="s">
        <v>434</v>
      </c>
      <c r="D54" s="67" t="s">
        <v>308</v>
      </c>
      <c r="E54" s="66" t="s">
        <v>309</v>
      </c>
      <c r="F54" s="67" t="s">
        <v>435</v>
      </c>
      <c r="G54" s="66" t="s">
        <v>434</v>
      </c>
      <c r="H54" s="65" t="s">
        <v>436</v>
      </c>
    </row>
    <row r="55" spans="1:8" x14ac:dyDescent="0.3">
      <c r="A55" s="65" t="s">
        <v>437</v>
      </c>
      <c r="B55" s="65" t="s">
        <v>438</v>
      </c>
      <c r="C55" s="66" t="s">
        <v>439</v>
      </c>
      <c r="D55" s="67" t="s">
        <v>165</v>
      </c>
      <c r="E55" s="66" t="s">
        <v>166</v>
      </c>
      <c r="F55" s="67" t="s">
        <v>440</v>
      </c>
      <c r="G55" s="66" t="s">
        <v>439</v>
      </c>
      <c r="H55" s="65" t="s">
        <v>441</v>
      </c>
    </row>
    <row r="56" spans="1:8" x14ac:dyDescent="0.3">
      <c r="A56" s="65" t="s">
        <v>442</v>
      </c>
      <c r="B56" s="65" t="s">
        <v>443</v>
      </c>
      <c r="C56" s="66" t="s">
        <v>444</v>
      </c>
      <c r="D56" s="67" t="s">
        <v>165</v>
      </c>
      <c r="E56" s="66" t="s">
        <v>166</v>
      </c>
      <c r="F56" s="67" t="s">
        <v>445</v>
      </c>
      <c r="G56" s="66" t="s">
        <v>444</v>
      </c>
      <c r="H56" s="65" t="s">
        <v>446</v>
      </c>
    </row>
    <row r="57" spans="1:8" x14ac:dyDescent="0.3">
      <c r="A57" s="65" t="s">
        <v>447</v>
      </c>
      <c r="B57" s="65" t="s">
        <v>448</v>
      </c>
      <c r="C57" s="66" t="s">
        <v>449</v>
      </c>
      <c r="D57" s="67" t="s">
        <v>165</v>
      </c>
      <c r="E57" s="66" t="s">
        <v>166</v>
      </c>
      <c r="F57" s="67" t="s">
        <v>450</v>
      </c>
      <c r="G57" s="66" t="s">
        <v>449</v>
      </c>
      <c r="H57" s="65" t="s">
        <v>451</v>
      </c>
    </row>
    <row r="58" spans="1:8" x14ac:dyDescent="0.3">
      <c r="A58" s="65" t="s">
        <v>452</v>
      </c>
      <c r="B58" s="65" t="s">
        <v>453</v>
      </c>
      <c r="C58" s="66" t="s">
        <v>454</v>
      </c>
      <c r="D58" s="67" t="s">
        <v>165</v>
      </c>
      <c r="E58" s="66" t="s">
        <v>166</v>
      </c>
      <c r="F58" s="67" t="s">
        <v>455</v>
      </c>
      <c r="G58" s="66" t="s">
        <v>454</v>
      </c>
      <c r="H58" s="65" t="s">
        <v>456</v>
      </c>
    </row>
    <row r="59" spans="1:8" x14ac:dyDescent="0.3">
      <c r="A59" s="65" t="s">
        <v>457</v>
      </c>
      <c r="B59" s="65" t="s">
        <v>458</v>
      </c>
      <c r="C59" s="66" t="s">
        <v>459</v>
      </c>
      <c r="D59" s="67" t="s">
        <v>165</v>
      </c>
      <c r="E59" s="66" t="s">
        <v>166</v>
      </c>
      <c r="F59" s="67" t="s">
        <v>460</v>
      </c>
      <c r="G59" s="66" t="s">
        <v>459</v>
      </c>
      <c r="H59" s="65" t="s">
        <v>461</v>
      </c>
    </row>
    <row r="60" spans="1:8" x14ac:dyDescent="0.3">
      <c r="A60" s="65" t="s">
        <v>462</v>
      </c>
      <c r="B60" s="65" t="s">
        <v>463</v>
      </c>
      <c r="C60" s="66" t="s">
        <v>464</v>
      </c>
      <c r="D60" s="67" t="s">
        <v>320</v>
      </c>
      <c r="E60" s="66" t="s">
        <v>321</v>
      </c>
      <c r="F60" s="67" t="s">
        <v>465</v>
      </c>
      <c r="G60" s="66" t="s">
        <v>464</v>
      </c>
      <c r="H60" s="65" t="s">
        <v>466</v>
      </c>
    </row>
    <row r="61" spans="1:8" x14ac:dyDescent="0.3">
      <c r="A61" s="65" t="s">
        <v>467</v>
      </c>
      <c r="B61" s="65" t="s">
        <v>468</v>
      </c>
      <c r="C61" s="66" t="s">
        <v>469</v>
      </c>
      <c r="D61" s="67" t="s">
        <v>165</v>
      </c>
      <c r="E61" s="66" t="s">
        <v>166</v>
      </c>
      <c r="F61" s="67" t="s">
        <v>470</v>
      </c>
      <c r="G61" s="66" t="s">
        <v>469</v>
      </c>
      <c r="H61" s="65" t="s">
        <v>471</v>
      </c>
    </row>
    <row r="62" spans="1:8" x14ac:dyDescent="0.3">
      <c r="A62" s="65" t="s">
        <v>472</v>
      </c>
      <c r="B62" s="65" t="s">
        <v>473</v>
      </c>
      <c r="C62" s="66" t="s">
        <v>474</v>
      </c>
      <c r="D62" s="67" t="s">
        <v>165</v>
      </c>
      <c r="E62" s="66" t="s">
        <v>166</v>
      </c>
      <c r="F62" s="67" t="s">
        <v>475</v>
      </c>
      <c r="G62" s="66" t="s">
        <v>474</v>
      </c>
      <c r="H62" s="65" t="s">
        <v>476</v>
      </c>
    </row>
    <row r="63" spans="1:8" x14ac:dyDescent="0.3">
      <c r="A63" s="65" t="s">
        <v>477</v>
      </c>
      <c r="B63" s="65" t="s">
        <v>478</v>
      </c>
      <c r="C63" s="66" t="s">
        <v>479</v>
      </c>
      <c r="D63" s="67" t="s">
        <v>165</v>
      </c>
      <c r="E63" s="66" t="s">
        <v>166</v>
      </c>
      <c r="F63" s="67" t="s">
        <v>480</v>
      </c>
      <c r="G63" s="66" t="s">
        <v>479</v>
      </c>
      <c r="H63" s="65" t="s">
        <v>481</v>
      </c>
    </row>
    <row r="64" spans="1:8" x14ac:dyDescent="0.3">
      <c r="A64" s="65" t="s">
        <v>482</v>
      </c>
      <c r="B64" s="65" t="s">
        <v>483</v>
      </c>
      <c r="C64" s="66" t="s">
        <v>484</v>
      </c>
      <c r="D64" s="67" t="s">
        <v>165</v>
      </c>
      <c r="E64" s="66" t="s">
        <v>166</v>
      </c>
      <c r="F64" s="67" t="s">
        <v>485</v>
      </c>
      <c r="G64" s="66" t="s">
        <v>484</v>
      </c>
      <c r="H64" s="65" t="s">
        <v>486</v>
      </c>
    </row>
    <row r="65" spans="1:8" x14ac:dyDescent="0.3">
      <c r="A65" s="65" t="s">
        <v>487</v>
      </c>
      <c r="B65" s="65" t="s">
        <v>488</v>
      </c>
      <c r="C65" s="66" t="s">
        <v>489</v>
      </c>
      <c r="D65" s="67" t="s">
        <v>165</v>
      </c>
      <c r="E65" s="66" t="s">
        <v>166</v>
      </c>
      <c r="F65" s="67" t="s">
        <v>490</v>
      </c>
      <c r="G65" s="66" t="s">
        <v>489</v>
      </c>
      <c r="H65" s="65" t="s">
        <v>491</v>
      </c>
    </row>
    <row r="66" spans="1:8" x14ac:dyDescent="0.3">
      <c r="A66" s="65" t="s">
        <v>492</v>
      </c>
      <c r="B66" s="65" t="s">
        <v>493</v>
      </c>
      <c r="C66" s="66" t="s">
        <v>494</v>
      </c>
      <c r="D66" s="67" t="s">
        <v>165</v>
      </c>
      <c r="E66" s="66" t="s">
        <v>166</v>
      </c>
      <c r="F66" s="67" t="s">
        <v>495</v>
      </c>
      <c r="G66" s="66" t="s">
        <v>494</v>
      </c>
      <c r="H66" s="65" t="s">
        <v>496</v>
      </c>
    </row>
    <row r="67" spans="1:8" x14ac:dyDescent="0.3">
      <c r="A67" s="65" t="s">
        <v>497</v>
      </c>
      <c r="B67" s="65" t="s">
        <v>498</v>
      </c>
      <c r="C67" s="66" t="s">
        <v>499</v>
      </c>
      <c r="D67" s="67" t="s">
        <v>241</v>
      </c>
      <c r="E67" s="66" t="s">
        <v>242</v>
      </c>
      <c r="F67" s="67" t="s">
        <v>500</v>
      </c>
      <c r="G67" s="66" t="s">
        <v>499</v>
      </c>
      <c r="H67" s="65" t="s">
        <v>501</v>
      </c>
    </row>
    <row r="68" spans="1:8" x14ac:dyDescent="0.3">
      <c r="A68" s="65" t="s">
        <v>502</v>
      </c>
      <c r="B68" s="65" t="s">
        <v>503</v>
      </c>
      <c r="C68" s="66" t="s">
        <v>504</v>
      </c>
      <c r="D68" s="67" t="s">
        <v>320</v>
      </c>
      <c r="E68" s="66" t="s">
        <v>321</v>
      </c>
      <c r="F68" s="67" t="s">
        <v>505</v>
      </c>
      <c r="G68" s="66" t="s">
        <v>504</v>
      </c>
      <c r="H68" s="65" t="s">
        <v>506</v>
      </c>
    </row>
    <row r="69" spans="1:8" x14ac:dyDescent="0.3">
      <c r="A69" s="65" t="s">
        <v>507</v>
      </c>
      <c r="B69" s="65" t="s">
        <v>508</v>
      </c>
      <c r="C69" s="66" t="s">
        <v>509</v>
      </c>
      <c r="D69" s="67" t="s">
        <v>241</v>
      </c>
      <c r="E69" s="66" t="s">
        <v>242</v>
      </c>
      <c r="F69" s="67" t="s">
        <v>510</v>
      </c>
      <c r="G69" s="66" t="s">
        <v>509</v>
      </c>
      <c r="H69" s="65" t="s">
        <v>511</v>
      </c>
    </row>
    <row r="70" spans="1:8" x14ac:dyDescent="0.3">
      <c r="A70" s="65" t="s">
        <v>512</v>
      </c>
      <c r="B70" s="65" t="s">
        <v>513</v>
      </c>
      <c r="C70" s="66" t="s">
        <v>514</v>
      </c>
      <c r="D70" s="67" t="s">
        <v>320</v>
      </c>
      <c r="E70" s="66" t="s">
        <v>321</v>
      </c>
      <c r="F70" s="67" t="s">
        <v>515</v>
      </c>
      <c r="G70" s="66" t="s">
        <v>514</v>
      </c>
      <c r="H70" s="65" t="s">
        <v>516</v>
      </c>
    </row>
    <row r="71" spans="1:8" x14ac:dyDescent="0.3">
      <c r="A71" s="65" t="s">
        <v>517</v>
      </c>
      <c r="B71" s="65" t="s">
        <v>518</v>
      </c>
      <c r="C71" s="66" t="s">
        <v>519</v>
      </c>
      <c r="D71" s="67" t="s">
        <v>520</v>
      </c>
      <c r="E71" s="66" t="s">
        <v>521</v>
      </c>
      <c r="F71" s="67" t="s">
        <v>522</v>
      </c>
      <c r="G71" s="66" t="s">
        <v>519</v>
      </c>
      <c r="H71" s="65" t="s">
        <v>523</v>
      </c>
    </row>
    <row r="72" spans="1:8" x14ac:dyDescent="0.3">
      <c r="A72" s="65" t="s">
        <v>524</v>
      </c>
      <c r="B72" s="65" t="s">
        <v>525</v>
      </c>
      <c r="C72" s="66" t="s">
        <v>526</v>
      </c>
      <c r="D72" s="67" t="s">
        <v>165</v>
      </c>
      <c r="E72" s="66" t="s">
        <v>166</v>
      </c>
      <c r="F72" s="67" t="s">
        <v>527</v>
      </c>
      <c r="G72" s="66" t="s">
        <v>526</v>
      </c>
      <c r="H72" s="65" t="s">
        <v>528</v>
      </c>
    </row>
    <row r="73" spans="1:8" x14ac:dyDescent="0.3">
      <c r="A73" s="65" t="s">
        <v>529</v>
      </c>
      <c r="B73" s="65" t="s">
        <v>530</v>
      </c>
      <c r="C73" s="66" t="s">
        <v>531</v>
      </c>
      <c r="D73" s="67" t="s">
        <v>320</v>
      </c>
      <c r="E73" s="66" t="s">
        <v>321</v>
      </c>
      <c r="F73" s="67" t="s">
        <v>532</v>
      </c>
      <c r="G73" s="66" t="s">
        <v>531</v>
      </c>
      <c r="H73" s="65" t="s">
        <v>533</v>
      </c>
    </row>
    <row r="74" spans="1:8" x14ac:dyDescent="0.3">
      <c r="A74" s="65" t="s">
        <v>534</v>
      </c>
      <c r="B74" s="65" t="s">
        <v>535</v>
      </c>
      <c r="C74" s="66" t="s">
        <v>536</v>
      </c>
      <c r="D74" s="67" t="s">
        <v>165</v>
      </c>
      <c r="E74" s="66" t="s">
        <v>166</v>
      </c>
      <c r="F74" s="67" t="s">
        <v>537</v>
      </c>
      <c r="G74" s="66" t="s">
        <v>536</v>
      </c>
      <c r="H74" s="65" t="s">
        <v>538</v>
      </c>
    </row>
    <row r="75" spans="1:8" x14ac:dyDescent="0.3">
      <c r="A75" s="65" t="s">
        <v>539</v>
      </c>
      <c r="B75" s="65" t="s">
        <v>540</v>
      </c>
      <c r="C75" s="66" t="s">
        <v>541</v>
      </c>
      <c r="D75" s="67" t="s">
        <v>165</v>
      </c>
      <c r="E75" s="66" t="s">
        <v>166</v>
      </c>
      <c r="F75" s="67" t="s">
        <v>542</v>
      </c>
      <c r="G75" s="66" t="s">
        <v>541</v>
      </c>
      <c r="H75" s="65" t="s">
        <v>543</v>
      </c>
    </row>
    <row r="76" spans="1:8" x14ac:dyDescent="0.3">
      <c r="A76" s="65" t="s">
        <v>544</v>
      </c>
      <c r="B76" s="65" t="s">
        <v>545</v>
      </c>
      <c r="C76" s="66" t="s">
        <v>546</v>
      </c>
      <c r="D76" s="67" t="s">
        <v>165</v>
      </c>
      <c r="E76" s="66" t="s">
        <v>166</v>
      </c>
      <c r="F76" s="67" t="s">
        <v>547</v>
      </c>
      <c r="G76" s="66" t="s">
        <v>546</v>
      </c>
      <c r="H76" s="65" t="s">
        <v>548</v>
      </c>
    </row>
    <row r="77" spans="1:8" x14ac:dyDescent="0.3">
      <c r="A77" s="65" t="s">
        <v>549</v>
      </c>
      <c r="B77" s="65" t="s">
        <v>550</v>
      </c>
      <c r="C77" s="66" t="s">
        <v>551</v>
      </c>
      <c r="D77" s="67" t="s">
        <v>165</v>
      </c>
      <c r="E77" s="66" t="s">
        <v>166</v>
      </c>
      <c r="F77" s="67" t="s">
        <v>552</v>
      </c>
      <c r="G77" s="66" t="s">
        <v>551</v>
      </c>
      <c r="H77" s="65" t="s">
        <v>553</v>
      </c>
    </row>
    <row r="78" spans="1:8" x14ac:dyDescent="0.3">
      <c r="A78" s="65" t="s">
        <v>554</v>
      </c>
      <c r="B78" s="65" t="s">
        <v>555</v>
      </c>
      <c r="C78" s="66" t="s">
        <v>556</v>
      </c>
      <c r="D78" s="67" t="s">
        <v>219</v>
      </c>
      <c r="E78" s="66" t="s">
        <v>220</v>
      </c>
      <c r="F78" s="67" t="s">
        <v>557</v>
      </c>
      <c r="G78" s="66" t="s">
        <v>556</v>
      </c>
      <c r="H78" s="65" t="s">
        <v>558</v>
      </c>
    </row>
    <row r="79" spans="1:8" x14ac:dyDescent="0.3">
      <c r="A79" s="65" t="s">
        <v>559</v>
      </c>
      <c r="B79" s="65" t="s">
        <v>560</v>
      </c>
      <c r="C79" s="66" t="s">
        <v>561</v>
      </c>
      <c r="D79" s="67" t="s">
        <v>165</v>
      </c>
      <c r="E79" s="66" t="s">
        <v>166</v>
      </c>
      <c r="F79" s="67" t="s">
        <v>562</v>
      </c>
      <c r="G79" s="66" t="s">
        <v>561</v>
      </c>
      <c r="H79" s="65" t="s">
        <v>563</v>
      </c>
    </row>
    <row r="80" spans="1:8" x14ac:dyDescent="0.3">
      <c r="A80" s="65" t="s">
        <v>564</v>
      </c>
      <c r="B80" s="65" t="s">
        <v>565</v>
      </c>
      <c r="C80" s="66" t="s">
        <v>566</v>
      </c>
      <c r="D80" s="67" t="s">
        <v>165</v>
      </c>
      <c r="E80" s="66" t="s">
        <v>166</v>
      </c>
      <c r="F80" s="67" t="s">
        <v>567</v>
      </c>
      <c r="G80" s="66" t="s">
        <v>566</v>
      </c>
      <c r="H80" s="65" t="s">
        <v>568</v>
      </c>
    </row>
    <row r="81" spans="1:8" x14ac:dyDescent="0.3">
      <c r="A81" s="65" t="s">
        <v>569</v>
      </c>
      <c r="B81" s="65" t="s">
        <v>570</v>
      </c>
      <c r="C81" s="66" t="s">
        <v>571</v>
      </c>
      <c r="D81" s="67" t="s">
        <v>165</v>
      </c>
      <c r="E81" s="66" t="s">
        <v>166</v>
      </c>
      <c r="F81" s="67" t="s">
        <v>572</v>
      </c>
      <c r="G81" s="66" t="s">
        <v>571</v>
      </c>
      <c r="H81" s="65" t="s">
        <v>573</v>
      </c>
    </row>
    <row r="82" spans="1:8" x14ac:dyDescent="0.3">
      <c r="A82" s="65" t="s">
        <v>574</v>
      </c>
      <c r="B82" s="65" t="s">
        <v>575</v>
      </c>
      <c r="C82" s="66" t="s">
        <v>576</v>
      </c>
      <c r="D82" s="67" t="s">
        <v>219</v>
      </c>
      <c r="E82" s="66" t="s">
        <v>220</v>
      </c>
      <c r="F82" s="67" t="s">
        <v>577</v>
      </c>
      <c r="G82" s="66" t="s">
        <v>576</v>
      </c>
      <c r="H82" s="65" t="s">
        <v>578</v>
      </c>
    </row>
    <row r="83" spans="1:8" x14ac:dyDescent="0.3">
      <c r="A83" s="65" t="s">
        <v>579</v>
      </c>
      <c r="B83" s="65" t="s">
        <v>580</v>
      </c>
      <c r="C83" s="66" t="s">
        <v>581</v>
      </c>
      <c r="D83" s="67" t="s">
        <v>165</v>
      </c>
      <c r="E83" s="66" t="s">
        <v>166</v>
      </c>
      <c r="F83" s="67" t="s">
        <v>582</v>
      </c>
      <c r="G83" s="66" t="s">
        <v>581</v>
      </c>
      <c r="H83" s="65" t="s">
        <v>583</v>
      </c>
    </row>
    <row r="84" spans="1:8" x14ac:dyDescent="0.3">
      <c r="A84" s="65" t="s">
        <v>584</v>
      </c>
      <c r="B84" s="65" t="s">
        <v>585</v>
      </c>
      <c r="C84" s="66" t="s">
        <v>586</v>
      </c>
      <c r="D84" s="67" t="s">
        <v>308</v>
      </c>
      <c r="E84" s="66" t="s">
        <v>309</v>
      </c>
      <c r="F84" s="67" t="s">
        <v>587</v>
      </c>
      <c r="G84" s="66" t="s">
        <v>586</v>
      </c>
      <c r="H84" s="65" t="s">
        <v>588</v>
      </c>
    </row>
    <row r="85" spans="1:8" x14ac:dyDescent="0.3">
      <c r="A85" s="65" t="s">
        <v>589</v>
      </c>
      <c r="B85" s="65" t="s">
        <v>590</v>
      </c>
      <c r="C85" s="66" t="s">
        <v>591</v>
      </c>
      <c r="D85" s="67" t="s">
        <v>165</v>
      </c>
      <c r="E85" s="66" t="s">
        <v>166</v>
      </c>
      <c r="F85" s="67" t="s">
        <v>592</v>
      </c>
      <c r="G85" s="66" t="s">
        <v>591</v>
      </c>
      <c r="H85" s="65" t="s">
        <v>593</v>
      </c>
    </row>
    <row r="86" spans="1:8" x14ac:dyDescent="0.3">
      <c r="A86" s="65" t="s">
        <v>594</v>
      </c>
      <c r="B86" s="65" t="s">
        <v>595</v>
      </c>
      <c r="C86" s="66" t="s">
        <v>596</v>
      </c>
      <c r="D86" s="67" t="s">
        <v>165</v>
      </c>
      <c r="E86" s="66" t="s">
        <v>166</v>
      </c>
      <c r="F86" s="67" t="s">
        <v>597</v>
      </c>
      <c r="G86" s="66" t="s">
        <v>596</v>
      </c>
      <c r="H86" s="65" t="s">
        <v>598</v>
      </c>
    </row>
    <row r="87" spans="1:8" x14ac:dyDescent="0.3">
      <c r="A87" s="65" t="s">
        <v>599</v>
      </c>
      <c r="B87" s="65" t="s">
        <v>600</v>
      </c>
      <c r="C87" s="66" t="s">
        <v>601</v>
      </c>
      <c r="D87" s="67" t="s">
        <v>241</v>
      </c>
      <c r="E87" s="66" t="s">
        <v>242</v>
      </c>
      <c r="F87" s="67" t="s">
        <v>602</v>
      </c>
      <c r="G87" s="66" t="s">
        <v>601</v>
      </c>
      <c r="H87" s="65" t="s">
        <v>603</v>
      </c>
    </row>
    <row r="88" spans="1:8" x14ac:dyDescent="0.3">
      <c r="A88" s="65" t="s">
        <v>604</v>
      </c>
      <c r="B88" s="65" t="s">
        <v>605</v>
      </c>
      <c r="C88" s="66" t="s">
        <v>606</v>
      </c>
      <c r="D88" s="67" t="s">
        <v>320</v>
      </c>
      <c r="E88" s="66" t="s">
        <v>321</v>
      </c>
      <c r="F88" s="67" t="s">
        <v>607</v>
      </c>
      <c r="G88" s="66" t="s">
        <v>606</v>
      </c>
      <c r="H88" s="65" t="s">
        <v>608</v>
      </c>
    </row>
    <row r="89" spans="1:8" x14ac:dyDescent="0.3">
      <c r="A89" s="65" t="s">
        <v>609</v>
      </c>
      <c r="B89" s="65" t="s">
        <v>610</v>
      </c>
      <c r="C89" s="66" t="s">
        <v>611</v>
      </c>
      <c r="D89" s="67" t="s">
        <v>212</v>
      </c>
      <c r="E89" s="66" t="s">
        <v>213</v>
      </c>
      <c r="F89" s="67" t="s">
        <v>612</v>
      </c>
      <c r="G89" s="66" t="s">
        <v>611</v>
      </c>
      <c r="H89" s="65" t="s">
        <v>613</v>
      </c>
    </row>
    <row r="90" spans="1:8" x14ac:dyDescent="0.3">
      <c r="A90" s="65" t="s">
        <v>614</v>
      </c>
      <c r="B90" s="65" t="s">
        <v>615</v>
      </c>
      <c r="C90" s="66" t="s">
        <v>616</v>
      </c>
      <c r="D90" s="67" t="s">
        <v>320</v>
      </c>
      <c r="E90" s="66" t="s">
        <v>321</v>
      </c>
      <c r="F90" s="67" t="s">
        <v>617</v>
      </c>
      <c r="G90" s="66" t="s">
        <v>616</v>
      </c>
      <c r="H90" s="65" t="s">
        <v>618</v>
      </c>
    </row>
    <row r="91" spans="1:8" x14ac:dyDescent="0.3">
      <c r="A91" s="65" t="s">
        <v>619</v>
      </c>
      <c r="B91" s="65" t="s">
        <v>620</v>
      </c>
      <c r="C91" s="66" t="s">
        <v>621</v>
      </c>
      <c r="D91" s="67" t="s">
        <v>165</v>
      </c>
      <c r="E91" s="66" t="s">
        <v>166</v>
      </c>
      <c r="F91" s="67" t="s">
        <v>622</v>
      </c>
      <c r="G91" s="66" t="s">
        <v>621</v>
      </c>
      <c r="H91" s="65" t="s">
        <v>623</v>
      </c>
    </row>
    <row r="92" spans="1:8" x14ac:dyDescent="0.3">
      <c r="A92" s="65" t="s">
        <v>624</v>
      </c>
      <c r="B92" s="65" t="s">
        <v>625</v>
      </c>
      <c r="C92" s="66" t="s">
        <v>626</v>
      </c>
      <c r="D92" s="67" t="s">
        <v>165</v>
      </c>
      <c r="E92" s="66" t="s">
        <v>166</v>
      </c>
      <c r="F92" s="67" t="s">
        <v>627</v>
      </c>
      <c r="G92" s="66" t="s">
        <v>626</v>
      </c>
      <c r="H92" s="65" t="s">
        <v>628</v>
      </c>
    </row>
    <row r="93" spans="1:8" x14ac:dyDescent="0.3">
      <c r="A93" s="65" t="s">
        <v>629</v>
      </c>
      <c r="B93" s="65" t="s">
        <v>630</v>
      </c>
      <c r="C93" s="66" t="s">
        <v>631</v>
      </c>
      <c r="D93" s="67" t="s">
        <v>219</v>
      </c>
      <c r="E93" s="66" t="s">
        <v>220</v>
      </c>
      <c r="F93" s="67" t="s">
        <v>632</v>
      </c>
      <c r="G93" s="66" t="s">
        <v>631</v>
      </c>
      <c r="H93" s="65" t="s">
        <v>633</v>
      </c>
    </row>
    <row r="94" spans="1:8" x14ac:dyDescent="0.3">
      <c r="A94" s="65" t="s">
        <v>634</v>
      </c>
      <c r="B94" s="65" t="s">
        <v>635</v>
      </c>
      <c r="C94" s="66" t="s">
        <v>636</v>
      </c>
      <c r="D94" s="67" t="s">
        <v>219</v>
      </c>
      <c r="E94" s="66" t="s">
        <v>220</v>
      </c>
      <c r="F94" s="67" t="s">
        <v>637</v>
      </c>
      <c r="G94" s="66" t="s">
        <v>636</v>
      </c>
      <c r="H94" s="65" t="s">
        <v>638</v>
      </c>
    </row>
    <row r="95" spans="1:8" x14ac:dyDescent="0.3">
      <c r="A95" s="65" t="s">
        <v>639</v>
      </c>
      <c r="B95" s="65" t="s">
        <v>640</v>
      </c>
      <c r="C95" s="66" t="s">
        <v>641</v>
      </c>
      <c r="D95" s="67" t="s">
        <v>241</v>
      </c>
      <c r="E95" s="66" t="s">
        <v>242</v>
      </c>
      <c r="F95" s="67" t="s">
        <v>642</v>
      </c>
      <c r="G95" s="66" t="s">
        <v>641</v>
      </c>
      <c r="H95" s="65" t="s">
        <v>643</v>
      </c>
    </row>
    <row r="96" spans="1:8" x14ac:dyDescent="0.3">
      <c r="A96" s="65" t="s">
        <v>644</v>
      </c>
      <c r="B96" s="65" t="s">
        <v>645</v>
      </c>
      <c r="C96" s="66" t="s">
        <v>646</v>
      </c>
      <c r="D96" s="67" t="s">
        <v>165</v>
      </c>
      <c r="E96" s="66" t="s">
        <v>166</v>
      </c>
      <c r="F96" s="67" t="s">
        <v>647</v>
      </c>
      <c r="G96" s="66" t="s">
        <v>646</v>
      </c>
      <c r="H96" s="65" t="s">
        <v>648</v>
      </c>
    </row>
    <row r="97" spans="1:8" x14ac:dyDescent="0.3">
      <c r="A97" s="65" t="s">
        <v>649</v>
      </c>
      <c r="B97" s="65" t="s">
        <v>650</v>
      </c>
      <c r="C97" s="66" t="s">
        <v>651</v>
      </c>
      <c r="D97" s="67" t="s">
        <v>165</v>
      </c>
      <c r="E97" s="66" t="s">
        <v>166</v>
      </c>
      <c r="F97" s="67" t="s">
        <v>652</v>
      </c>
      <c r="G97" s="66" t="s">
        <v>651</v>
      </c>
      <c r="H97" s="65" t="s">
        <v>653</v>
      </c>
    </row>
    <row r="98" spans="1:8" x14ac:dyDescent="0.3">
      <c r="A98" s="65" t="s">
        <v>654</v>
      </c>
      <c r="B98" s="65" t="s">
        <v>655</v>
      </c>
      <c r="C98" s="66" t="s">
        <v>656</v>
      </c>
      <c r="D98" s="67" t="s">
        <v>165</v>
      </c>
      <c r="E98" s="66" t="s">
        <v>166</v>
      </c>
      <c r="F98" s="67" t="s">
        <v>657</v>
      </c>
      <c r="G98" s="66" t="s">
        <v>656</v>
      </c>
      <c r="H98" s="65" t="s">
        <v>658</v>
      </c>
    </row>
    <row r="99" spans="1:8" x14ac:dyDescent="0.3">
      <c r="A99" s="65" t="s">
        <v>659</v>
      </c>
      <c r="B99" s="65" t="s">
        <v>660</v>
      </c>
      <c r="C99" s="66" t="s">
        <v>661</v>
      </c>
      <c r="D99" s="67" t="s">
        <v>165</v>
      </c>
      <c r="E99" s="66" t="s">
        <v>166</v>
      </c>
      <c r="F99" s="67" t="s">
        <v>662</v>
      </c>
      <c r="G99" s="66" t="s">
        <v>661</v>
      </c>
      <c r="H99" s="65" t="s">
        <v>663</v>
      </c>
    </row>
    <row r="100" spans="1:8" x14ac:dyDescent="0.3">
      <c r="A100" s="65" t="s">
        <v>664</v>
      </c>
      <c r="B100" s="65" t="s">
        <v>665</v>
      </c>
      <c r="C100" s="66" t="s">
        <v>666</v>
      </c>
      <c r="D100" s="67" t="s">
        <v>320</v>
      </c>
      <c r="E100" s="66" t="s">
        <v>321</v>
      </c>
      <c r="F100" s="67" t="s">
        <v>667</v>
      </c>
      <c r="G100" s="66" t="s">
        <v>666</v>
      </c>
      <c r="H100" s="65" t="s">
        <v>668</v>
      </c>
    </row>
    <row r="101" spans="1:8" x14ac:dyDescent="0.3">
      <c r="A101" s="65" t="s">
        <v>669</v>
      </c>
      <c r="B101" s="65" t="s">
        <v>670</v>
      </c>
      <c r="C101" s="66" t="s">
        <v>671</v>
      </c>
      <c r="D101" s="67" t="s">
        <v>212</v>
      </c>
      <c r="E101" s="66" t="s">
        <v>213</v>
      </c>
      <c r="F101" s="67" t="s">
        <v>672</v>
      </c>
      <c r="G101" s="66" t="s">
        <v>671</v>
      </c>
      <c r="H101" s="65" t="s">
        <v>673</v>
      </c>
    </row>
    <row r="102" spans="1:8" x14ac:dyDescent="0.3">
      <c r="A102" s="65" t="s">
        <v>674</v>
      </c>
      <c r="B102" s="65" t="s">
        <v>675</v>
      </c>
      <c r="C102" s="66" t="s">
        <v>676</v>
      </c>
      <c r="D102" s="67" t="s">
        <v>219</v>
      </c>
      <c r="E102" s="66" t="s">
        <v>220</v>
      </c>
      <c r="F102" s="67" t="s">
        <v>677</v>
      </c>
      <c r="G102" s="66" t="s">
        <v>676</v>
      </c>
      <c r="H102" s="65" t="s">
        <v>678</v>
      </c>
    </row>
    <row r="103" spans="1:8" x14ac:dyDescent="0.3">
      <c r="A103" s="65" t="s">
        <v>679</v>
      </c>
      <c r="B103" s="65" t="s">
        <v>680</v>
      </c>
      <c r="C103" s="66" t="s">
        <v>314</v>
      </c>
      <c r="D103" s="67" t="s">
        <v>320</v>
      </c>
      <c r="E103" s="66" t="s">
        <v>321</v>
      </c>
      <c r="F103" s="67" t="s">
        <v>681</v>
      </c>
      <c r="G103" s="66" t="s">
        <v>314</v>
      </c>
      <c r="H103" s="65" t="s">
        <v>682</v>
      </c>
    </row>
    <row r="104" spans="1:8" x14ac:dyDescent="0.3">
      <c r="A104" s="65" t="s">
        <v>683</v>
      </c>
      <c r="B104" s="65" t="s">
        <v>684</v>
      </c>
      <c r="C104" s="66" t="s">
        <v>685</v>
      </c>
      <c r="D104" s="67" t="s">
        <v>308</v>
      </c>
      <c r="E104" s="66" t="s">
        <v>309</v>
      </c>
      <c r="F104" s="67" t="s">
        <v>686</v>
      </c>
      <c r="G104" s="66" t="s">
        <v>685</v>
      </c>
      <c r="H104" s="65" t="s">
        <v>687</v>
      </c>
    </row>
    <row r="105" spans="1:8" x14ac:dyDescent="0.3">
      <c r="A105" s="65" t="s">
        <v>688</v>
      </c>
      <c r="B105" s="65" t="s">
        <v>689</v>
      </c>
      <c r="C105" s="66" t="s">
        <v>690</v>
      </c>
      <c r="D105" s="67" t="s">
        <v>165</v>
      </c>
      <c r="E105" s="66" t="s">
        <v>166</v>
      </c>
      <c r="F105" s="67" t="s">
        <v>691</v>
      </c>
      <c r="G105" s="66" t="s">
        <v>690</v>
      </c>
      <c r="H105" s="65" t="s">
        <v>692</v>
      </c>
    </row>
    <row r="106" spans="1:8" x14ac:dyDescent="0.3">
      <c r="A106" s="65" t="s">
        <v>693</v>
      </c>
      <c r="B106" s="65" t="s">
        <v>694</v>
      </c>
      <c r="C106" s="66" t="s">
        <v>695</v>
      </c>
      <c r="D106" s="67" t="s">
        <v>241</v>
      </c>
      <c r="E106" s="66" t="s">
        <v>242</v>
      </c>
      <c r="F106" s="67" t="s">
        <v>696</v>
      </c>
      <c r="G106" s="66" t="s">
        <v>695</v>
      </c>
      <c r="H106" s="65" t="s">
        <v>697</v>
      </c>
    </row>
    <row r="107" spans="1:8" x14ac:dyDescent="0.3">
      <c r="A107" s="65" t="s">
        <v>698</v>
      </c>
      <c r="B107" s="65" t="s">
        <v>699</v>
      </c>
      <c r="C107" s="66" t="s">
        <v>700</v>
      </c>
      <c r="D107" s="67" t="s">
        <v>520</v>
      </c>
      <c r="E107" s="66" t="s">
        <v>521</v>
      </c>
      <c r="F107" s="67" t="s">
        <v>701</v>
      </c>
      <c r="G107" s="66" t="s">
        <v>700</v>
      </c>
      <c r="H107" s="65" t="s">
        <v>702</v>
      </c>
    </row>
    <row r="108" spans="1:8" x14ac:dyDescent="0.3">
      <c r="A108" s="65" t="s">
        <v>703</v>
      </c>
      <c r="B108" s="65" t="s">
        <v>704</v>
      </c>
      <c r="C108" s="66" t="s">
        <v>705</v>
      </c>
      <c r="D108" s="67" t="s">
        <v>165</v>
      </c>
      <c r="E108" s="66" t="s">
        <v>166</v>
      </c>
      <c r="F108" s="67" t="s">
        <v>706</v>
      </c>
      <c r="G108" s="66" t="s">
        <v>705</v>
      </c>
      <c r="H108" s="65" t="s">
        <v>707</v>
      </c>
    </row>
    <row r="109" spans="1:8" x14ac:dyDescent="0.3">
      <c r="A109" s="65" t="s">
        <v>708</v>
      </c>
      <c r="B109" s="65" t="s">
        <v>709</v>
      </c>
      <c r="C109" s="66" t="s">
        <v>710</v>
      </c>
      <c r="D109" s="67" t="s">
        <v>165</v>
      </c>
      <c r="E109" s="66" t="s">
        <v>166</v>
      </c>
      <c r="F109" s="67" t="s">
        <v>711</v>
      </c>
      <c r="G109" s="66" t="s">
        <v>710</v>
      </c>
      <c r="H109" s="65" t="s">
        <v>712</v>
      </c>
    </row>
    <row r="110" spans="1:8" x14ac:dyDescent="0.3">
      <c r="A110" s="65" t="s">
        <v>713</v>
      </c>
      <c r="B110" s="65" t="s">
        <v>714</v>
      </c>
      <c r="C110" s="66" t="s">
        <v>715</v>
      </c>
      <c r="D110" s="67" t="s">
        <v>165</v>
      </c>
      <c r="E110" s="66" t="s">
        <v>166</v>
      </c>
      <c r="F110" s="67" t="s">
        <v>716</v>
      </c>
      <c r="G110" s="66" t="s">
        <v>715</v>
      </c>
      <c r="H110" s="65" t="s">
        <v>717</v>
      </c>
    </row>
    <row r="111" spans="1:8" x14ac:dyDescent="0.3">
      <c r="A111" s="65" t="s">
        <v>718</v>
      </c>
      <c r="B111" s="65" t="s">
        <v>719</v>
      </c>
      <c r="C111" s="66" t="s">
        <v>720</v>
      </c>
      <c r="D111" s="67" t="s">
        <v>165</v>
      </c>
      <c r="E111" s="66" t="s">
        <v>166</v>
      </c>
      <c r="F111" s="67" t="s">
        <v>721</v>
      </c>
      <c r="G111" s="66" t="s">
        <v>720</v>
      </c>
      <c r="H111" s="65" t="s">
        <v>722</v>
      </c>
    </row>
    <row r="112" spans="1:8" x14ac:dyDescent="0.3">
      <c r="A112" s="65" t="s">
        <v>73</v>
      </c>
      <c r="B112" s="65" t="s">
        <v>723</v>
      </c>
      <c r="C112" s="66" t="s">
        <v>115</v>
      </c>
      <c r="D112" s="67" t="s">
        <v>165</v>
      </c>
      <c r="E112" s="66" t="s">
        <v>166</v>
      </c>
      <c r="F112" s="67" t="s">
        <v>724</v>
      </c>
      <c r="G112" s="66" t="s">
        <v>115</v>
      </c>
      <c r="H112" s="65" t="s">
        <v>725</v>
      </c>
    </row>
    <row r="113" spans="1:8" x14ac:dyDescent="0.3">
      <c r="A113" s="65" t="s">
        <v>726</v>
      </c>
      <c r="B113" s="65" t="s">
        <v>727</v>
      </c>
      <c r="C113" s="66" t="s">
        <v>728</v>
      </c>
      <c r="D113" s="67" t="s">
        <v>165</v>
      </c>
      <c r="E113" s="66" t="s">
        <v>166</v>
      </c>
      <c r="F113" s="67" t="s">
        <v>729</v>
      </c>
      <c r="G113" s="66" t="s">
        <v>728</v>
      </c>
      <c r="H113" s="65" t="s">
        <v>730</v>
      </c>
    </row>
    <row r="114" spans="1:8" x14ac:dyDescent="0.3">
      <c r="A114" s="65" t="s">
        <v>731</v>
      </c>
      <c r="B114" s="65" t="s">
        <v>732</v>
      </c>
      <c r="C114" s="66" t="s">
        <v>733</v>
      </c>
      <c r="D114" s="67" t="s">
        <v>165</v>
      </c>
      <c r="E114" s="66" t="s">
        <v>166</v>
      </c>
      <c r="F114" s="67" t="s">
        <v>734</v>
      </c>
      <c r="G114" s="66" t="s">
        <v>733</v>
      </c>
      <c r="H114" s="65" t="s">
        <v>735</v>
      </c>
    </row>
    <row r="115" spans="1:8" x14ac:dyDescent="0.3">
      <c r="A115" s="65" t="s">
        <v>736</v>
      </c>
      <c r="B115" s="65" t="s">
        <v>737</v>
      </c>
      <c r="C115" s="66" t="s">
        <v>738</v>
      </c>
      <c r="D115" s="67" t="s">
        <v>165</v>
      </c>
      <c r="E115" s="66" t="s">
        <v>166</v>
      </c>
      <c r="F115" s="67" t="s">
        <v>739</v>
      </c>
      <c r="G115" s="66" t="s">
        <v>738</v>
      </c>
      <c r="H115" s="65" t="s">
        <v>740</v>
      </c>
    </row>
    <row r="116" spans="1:8" x14ac:dyDescent="0.3">
      <c r="A116" s="65" t="s">
        <v>78</v>
      </c>
      <c r="B116" s="65" t="s">
        <v>741</v>
      </c>
      <c r="C116" s="66" t="s">
        <v>100</v>
      </c>
      <c r="D116" s="67" t="s">
        <v>212</v>
      </c>
      <c r="E116" s="66" t="s">
        <v>213</v>
      </c>
      <c r="F116" s="67" t="s">
        <v>742</v>
      </c>
      <c r="G116" s="66" t="s">
        <v>100</v>
      </c>
      <c r="H116" s="65" t="s">
        <v>743</v>
      </c>
    </row>
    <row r="117" spans="1:8" x14ac:dyDescent="0.3">
      <c r="A117" s="65" t="s">
        <v>744</v>
      </c>
      <c r="B117" s="65" t="s">
        <v>745</v>
      </c>
      <c r="C117" s="66" t="s">
        <v>746</v>
      </c>
      <c r="D117" s="67" t="s">
        <v>165</v>
      </c>
      <c r="E117" s="66" t="s">
        <v>166</v>
      </c>
      <c r="F117" s="67" t="s">
        <v>747</v>
      </c>
      <c r="G117" s="66" t="s">
        <v>746</v>
      </c>
      <c r="H117" s="65" t="s">
        <v>748</v>
      </c>
    </row>
    <row r="118" spans="1:8" x14ac:dyDescent="0.3">
      <c r="A118" s="65" t="s">
        <v>749</v>
      </c>
      <c r="B118" s="65" t="s">
        <v>750</v>
      </c>
      <c r="C118" s="66" t="s">
        <v>751</v>
      </c>
      <c r="D118" s="67" t="s">
        <v>165</v>
      </c>
      <c r="E118" s="66" t="s">
        <v>166</v>
      </c>
      <c r="F118" s="67" t="s">
        <v>752</v>
      </c>
      <c r="G118" s="66" t="s">
        <v>751</v>
      </c>
      <c r="H118" s="65" t="s">
        <v>753</v>
      </c>
    </row>
    <row r="119" spans="1:8" x14ac:dyDescent="0.3">
      <c r="A119" s="65" t="s">
        <v>754</v>
      </c>
      <c r="B119" s="65" t="s">
        <v>755</v>
      </c>
      <c r="C119" s="66" t="s">
        <v>756</v>
      </c>
      <c r="D119" s="67" t="s">
        <v>520</v>
      </c>
      <c r="E119" s="66" t="s">
        <v>521</v>
      </c>
      <c r="F119" s="67" t="s">
        <v>757</v>
      </c>
      <c r="G119" s="66" t="s">
        <v>756</v>
      </c>
      <c r="H119" s="65" t="s">
        <v>758</v>
      </c>
    </row>
    <row r="120" spans="1:8" x14ac:dyDescent="0.3">
      <c r="A120" s="65" t="s">
        <v>759</v>
      </c>
      <c r="B120" s="65" t="s">
        <v>760</v>
      </c>
      <c r="C120" s="66" t="s">
        <v>761</v>
      </c>
      <c r="D120" s="67" t="s">
        <v>241</v>
      </c>
      <c r="E120" s="66" t="s">
        <v>242</v>
      </c>
      <c r="F120" s="67" t="s">
        <v>762</v>
      </c>
      <c r="G120" s="66" t="s">
        <v>761</v>
      </c>
      <c r="H120" s="65" t="s">
        <v>763</v>
      </c>
    </row>
    <row r="121" spans="1:8" x14ac:dyDescent="0.3">
      <c r="A121" s="65" t="s">
        <v>764</v>
      </c>
      <c r="B121" s="65" t="s">
        <v>765</v>
      </c>
      <c r="C121" s="66" t="s">
        <v>766</v>
      </c>
      <c r="D121" s="67" t="s">
        <v>165</v>
      </c>
      <c r="E121" s="66" t="s">
        <v>166</v>
      </c>
      <c r="F121" s="67" t="s">
        <v>767</v>
      </c>
      <c r="G121" s="66" t="s">
        <v>766</v>
      </c>
      <c r="H121" s="65" t="s">
        <v>768</v>
      </c>
    </row>
    <row r="122" spans="1:8" x14ac:dyDescent="0.3">
      <c r="A122" s="65" t="s">
        <v>769</v>
      </c>
      <c r="B122" s="65" t="s">
        <v>770</v>
      </c>
      <c r="C122" s="66" t="s">
        <v>771</v>
      </c>
      <c r="D122" s="67" t="s">
        <v>520</v>
      </c>
      <c r="E122" s="66" t="s">
        <v>521</v>
      </c>
      <c r="F122" s="67" t="s">
        <v>772</v>
      </c>
      <c r="G122" s="66" t="s">
        <v>771</v>
      </c>
      <c r="H122" s="65" t="s">
        <v>773</v>
      </c>
    </row>
    <row r="123" spans="1:8" x14ac:dyDescent="0.3">
      <c r="A123" s="65" t="s">
        <v>774</v>
      </c>
      <c r="B123" s="65" t="s">
        <v>775</v>
      </c>
      <c r="C123" s="66" t="s">
        <v>776</v>
      </c>
      <c r="D123" s="67" t="s">
        <v>165</v>
      </c>
      <c r="E123" s="66" t="s">
        <v>166</v>
      </c>
      <c r="F123" s="67" t="s">
        <v>777</v>
      </c>
      <c r="G123" s="66" t="s">
        <v>776</v>
      </c>
      <c r="H123" s="65" t="s">
        <v>778</v>
      </c>
    </row>
    <row r="124" spans="1:8" x14ac:dyDescent="0.3">
      <c r="A124" s="65" t="s">
        <v>779</v>
      </c>
      <c r="B124" s="65" t="s">
        <v>780</v>
      </c>
      <c r="C124" s="66" t="s">
        <v>781</v>
      </c>
      <c r="D124" s="67" t="s">
        <v>219</v>
      </c>
      <c r="E124" s="66" t="s">
        <v>220</v>
      </c>
      <c r="F124" s="67" t="s">
        <v>782</v>
      </c>
      <c r="G124" s="66" t="s">
        <v>781</v>
      </c>
      <c r="H124" s="65" t="s">
        <v>783</v>
      </c>
    </row>
    <row r="125" spans="1:8" x14ac:dyDescent="0.3">
      <c r="A125" s="65" t="s">
        <v>784</v>
      </c>
      <c r="B125" s="65" t="s">
        <v>785</v>
      </c>
      <c r="C125" s="66" t="s">
        <v>786</v>
      </c>
      <c r="D125" s="67" t="s">
        <v>165</v>
      </c>
      <c r="E125" s="66" t="s">
        <v>166</v>
      </c>
      <c r="F125" s="67" t="s">
        <v>787</v>
      </c>
      <c r="G125" s="66" t="s">
        <v>786</v>
      </c>
      <c r="H125" s="65" t="s">
        <v>788</v>
      </c>
    </row>
    <row r="126" spans="1:8" x14ac:dyDescent="0.3">
      <c r="A126" s="65" t="s">
        <v>789</v>
      </c>
      <c r="B126" s="65" t="s">
        <v>790</v>
      </c>
      <c r="C126" s="66" t="s">
        <v>791</v>
      </c>
      <c r="D126" s="67" t="s">
        <v>520</v>
      </c>
      <c r="E126" s="66" t="s">
        <v>521</v>
      </c>
      <c r="F126" s="67" t="s">
        <v>792</v>
      </c>
      <c r="G126" s="66" t="s">
        <v>791</v>
      </c>
      <c r="H126" s="65" t="s">
        <v>793</v>
      </c>
    </row>
    <row r="127" spans="1:8" x14ac:dyDescent="0.3">
      <c r="A127" s="65" t="s">
        <v>794</v>
      </c>
      <c r="B127" s="65" t="s">
        <v>795</v>
      </c>
      <c r="C127" s="66" t="s">
        <v>796</v>
      </c>
      <c r="D127" s="67" t="s">
        <v>165</v>
      </c>
      <c r="E127" s="66" t="s">
        <v>166</v>
      </c>
      <c r="F127" s="67" t="s">
        <v>797</v>
      </c>
      <c r="G127" s="66" t="s">
        <v>796</v>
      </c>
      <c r="H127" s="65" t="s">
        <v>798</v>
      </c>
    </row>
    <row r="128" spans="1:8" x14ac:dyDescent="0.3">
      <c r="A128" s="65" t="s">
        <v>799</v>
      </c>
      <c r="B128" s="65" t="s">
        <v>800</v>
      </c>
      <c r="C128" s="66" t="s">
        <v>801</v>
      </c>
      <c r="D128" s="67" t="s">
        <v>165</v>
      </c>
      <c r="E128" s="66" t="s">
        <v>166</v>
      </c>
      <c r="F128" s="67" t="s">
        <v>802</v>
      </c>
      <c r="G128" s="66" t="s">
        <v>801</v>
      </c>
      <c r="H128" s="65" t="s">
        <v>803</v>
      </c>
    </row>
    <row r="129" spans="1:8" x14ac:dyDescent="0.3">
      <c r="A129" s="65" t="s">
        <v>804</v>
      </c>
      <c r="B129" s="65" t="s">
        <v>805</v>
      </c>
      <c r="C129" s="66" t="s">
        <v>806</v>
      </c>
      <c r="D129" s="67" t="s">
        <v>165</v>
      </c>
      <c r="E129" s="66" t="s">
        <v>166</v>
      </c>
      <c r="F129" s="67" t="s">
        <v>807</v>
      </c>
      <c r="G129" s="66" t="s">
        <v>806</v>
      </c>
      <c r="H129" s="65" t="s">
        <v>808</v>
      </c>
    </row>
    <row r="130" spans="1:8" x14ac:dyDescent="0.3">
      <c r="A130" s="65" t="s">
        <v>88</v>
      </c>
      <c r="B130" s="65" t="s">
        <v>809</v>
      </c>
      <c r="C130" s="66" t="s">
        <v>117</v>
      </c>
      <c r="D130" s="67" t="s">
        <v>165</v>
      </c>
      <c r="E130" s="66" t="s">
        <v>166</v>
      </c>
      <c r="F130" s="67" t="s">
        <v>810</v>
      </c>
      <c r="G130" s="66" t="s">
        <v>117</v>
      </c>
      <c r="H130" s="65" t="s">
        <v>811</v>
      </c>
    </row>
    <row r="131" spans="1:8" x14ac:dyDescent="0.3">
      <c r="A131" s="65" t="s">
        <v>812</v>
      </c>
      <c r="B131" s="65" t="s">
        <v>813</v>
      </c>
      <c r="C131" s="66" t="s">
        <v>814</v>
      </c>
      <c r="D131" s="67" t="s">
        <v>165</v>
      </c>
      <c r="E131" s="66" t="s">
        <v>166</v>
      </c>
      <c r="F131" s="67" t="s">
        <v>815</v>
      </c>
      <c r="G131" s="66" t="s">
        <v>814</v>
      </c>
      <c r="H131" s="65" t="s">
        <v>816</v>
      </c>
    </row>
    <row r="132" spans="1:8" x14ac:dyDescent="0.3">
      <c r="A132" s="65" t="s">
        <v>817</v>
      </c>
      <c r="B132" s="65" t="s">
        <v>818</v>
      </c>
      <c r="C132" s="66" t="s">
        <v>819</v>
      </c>
      <c r="D132" s="67" t="s">
        <v>219</v>
      </c>
      <c r="E132" s="66" t="s">
        <v>220</v>
      </c>
      <c r="F132" s="67" t="s">
        <v>820</v>
      </c>
      <c r="G132" s="66" t="s">
        <v>819</v>
      </c>
      <c r="H132" s="65" t="s">
        <v>821</v>
      </c>
    </row>
    <row r="133" spans="1:8" x14ac:dyDescent="0.3">
      <c r="A133" s="65" t="s">
        <v>822</v>
      </c>
      <c r="B133" s="65" t="s">
        <v>823</v>
      </c>
      <c r="C133" s="66" t="s">
        <v>824</v>
      </c>
      <c r="D133" s="67" t="s">
        <v>308</v>
      </c>
      <c r="E133" s="66" t="s">
        <v>309</v>
      </c>
      <c r="F133" s="67" t="s">
        <v>825</v>
      </c>
      <c r="G133" s="66" t="s">
        <v>824</v>
      </c>
      <c r="H133" s="65" t="s">
        <v>826</v>
      </c>
    </row>
    <row r="134" spans="1:8" x14ac:dyDescent="0.3">
      <c r="A134" s="65" t="s">
        <v>827</v>
      </c>
      <c r="B134" s="65" t="s">
        <v>828</v>
      </c>
      <c r="C134" s="66" t="s">
        <v>829</v>
      </c>
      <c r="D134" s="67" t="s">
        <v>165</v>
      </c>
      <c r="E134" s="66" t="s">
        <v>166</v>
      </c>
      <c r="F134" s="67" t="s">
        <v>830</v>
      </c>
      <c r="G134" s="66" t="s">
        <v>829</v>
      </c>
      <c r="H134" s="65" t="s">
        <v>831</v>
      </c>
    </row>
    <row r="135" spans="1:8" x14ac:dyDescent="0.3">
      <c r="A135" s="65" t="s">
        <v>832</v>
      </c>
      <c r="B135" s="65" t="s">
        <v>833</v>
      </c>
      <c r="C135" s="66" t="s">
        <v>834</v>
      </c>
      <c r="D135" s="67" t="s">
        <v>165</v>
      </c>
      <c r="E135" s="66" t="s">
        <v>166</v>
      </c>
      <c r="F135" s="67" t="s">
        <v>835</v>
      </c>
      <c r="G135" s="66" t="s">
        <v>834</v>
      </c>
      <c r="H135" s="65" t="s">
        <v>836</v>
      </c>
    </row>
    <row r="136" spans="1:8" x14ac:dyDescent="0.3">
      <c r="A136" s="65" t="s">
        <v>837</v>
      </c>
      <c r="B136" s="65" t="s">
        <v>838</v>
      </c>
      <c r="C136" s="66" t="s">
        <v>839</v>
      </c>
      <c r="D136" s="67" t="s">
        <v>165</v>
      </c>
      <c r="E136" s="66" t="s">
        <v>166</v>
      </c>
      <c r="F136" s="67" t="s">
        <v>840</v>
      </c>
      <c r="G136" s="66" t="s">
        <v>841</v>
      </c>
      <c r="H136" s="65" t="s">
        <v>842</v>
      </c>
    </row>
    <row r="137" spans="1:8" x14ac:dyDescent="0.3">
      <c r="A137" s="65" t="s">
        <v>843</v>
      </c>
      <c r="B137" s="65" t="s">
        <v>844</v>
      </c>
      <c r="C137" s="66" t="s">
        <v>845</v>
      </c>
      <c r="D137" s="67" t="s">
        <v>165</v>
      </c>
      <c r="E137" s="66" t="s">
        <v>166</v>
      </c>
      <c r="F137" s="67" t="s">
        <v>846</v>
      </c>
      <c r="G137" s="66" t="s">
        <v>845</v>
      </c>
      <c r="H137" s="65" t="s">
        <v>847</v>
      </c>
    </row>
    <row r="138" spans="1:8" x14ac:dyDescent="0.3">
      <c r="A138" s="65" t="s">
        <v>848</v>
      </c>
      <c r="B138" s="65" t="s">
        <v>849</v>
      </c>
      <c r="C138" s="66" t="s">
        <v>206</v>
      </c>
      <c r="D138" s="67" t="s">
        <v>165</v>
      </c>
      <c r="E138" s="66" t="s">
        <v>166</v>
      </c>
      <c r="F138" s="67" t="s">
        <v>850</v>
      </c>
      <c r="G138" s="66" t="s">
        <v>206</v>
      </c>
      <c r="H138" s="65" t="s">
        <v>851</v>
      </c>
    </row>
    <row r="139" spans="1:8" x14ac:dyDescent="0.3">
      <c r="A139" s="65" t="s">
        <v>852</v>
      </c>
      <c r="B139" s="65" t="s">
        <v>853</v>
      </c>
      <c r="C139" s="66" t="s">
        <v>854</v>
      </c>
      <c r="D139" s="67" t="s">
        <v>241</v>
      </c>
      <c r="E139" s="66" t="s">
        <v>242</v>
      </c>
      <c r="F139" s="67" t="s">
        <v>855</v>
      </c>
      <c r="G139" s="66" t="s">
        <v>854</v>
      </c>
      <c r="H139" s="65" t="s">
        <v>856</v>
      </c>
    </row>
    <row r="140" spans="1:8" x14ac:dyDescent="0.3">
      <c r="A140" s="65" t="s">
        <v>857</v>
      </c>
      <c r="B140" s="65" t="s">
        <v>858</v>
      </c>
      <c r="C140" s="66" t="s">
        <v>859</v>
      </c>
      <c r="D140" s="67" t="s">
        <v>860</v>
      </c>
      <c r="E140" s="66" t="s">
        <v>861</v>
      </c>
      <c r="F140" s="67" t="s">
        <v>862</v>
      </c>
      <c r="G140" s="66" t="s">
        <v>859</v>
      </c>
      <c r="H140" s="65" t="s">
        <v>863</v>
      </c>
    </row>
    <row r="141" spans="1:8" x14ac:dyDescent="0.3">
      <c r="A141" s="65" t="s">
        <v>864</v>
      </c>
      <c r="B141" s="65" t="s">
        <v>865</v>
      </c>
      <c r="C141" s="66" t="s">
        <v>866</v>
      </c>
      <c r="D141" s="67" t="s">
        <v>165</v>
      </c>
      <c r="E141" s="66" t="s">
        <v>166</v>
      </c>
      <c r="F141" s="67" t="s">
        <v>867</v>
      </c>
      <c r="G141" s="66" t="s">
        <v>866</v>
      </c>
      <c r="H141" s="65" t="s">
        <v>868</v>
      </c>
    </row>
    <row r="142" spans="1:8" x14ac:dyDescent="0.3">
      <c r="A142" s="65" t="s">
        <v>869</v>
      </c>
      <c r="B142" s="65" t="s">
        <v>870</v>
      </c>
      <c r="C142" s="66" t="s">
        <v>871</v>
      </c>
      <c r="D142" s="67" t="s">
        <v>165</v>
      </c>
      <c r="E142" s="66" t="s">
        <v>166</v>
      </c>
      <c r="F142" s="67" t="s">
        <v>872</v>
      </c>
      <c r="G142" s="66" t="s">
        <v>871</v>
      </c>
      <c r="H142" s="65" t="s">
        <v>873</v>
      </c>
    </row>
    <row r="143" spans="1:8" x14ac:dyDescent="0.3">
      <c r="A143" s="65" t="s">
        <v>874</v>
      </c>
      <c r="B143" s="65" t="s">
        <v>875</v>
      </c>
      <c r="C143" s="66" t="s">
        <v>876</v>
      </c>
      <c r="D143" s="67" t="s">
        <v>860</v>
      </c>
      <c r="E143" s="66" t="s">
        <v>861</v>
      </c>
      <c r="F143" s="67" t="s">
        <v>877</v>
      </c>
      <c r="G143" s="66" t="s">
        <v>876</v>
      </c>
      <c r="H143" s="65" t="s">
        <v>842</v>
      </c>
    </row>
    <row r="144" spans="1:8" x14ac:dyDescent="0.3">
      <c r="A144" s="65" t="s">
        <v>878</v>
      </c>
      <c r="B144" s="65" t="s">
        <v>879</v>
      </c>
      <c r="C144" s="66" t="s">
        <v>880</v>
      </c>
      <c r="D144" s="67" t="s">
        <v>165</v>
      </c>
      <c r="E144" s="66" t="s">
        <v>166</v>
      </c>
      <c r="F144" s="67" t="s">
        <v>881</v>
      </c>
      <c r="G144" s="66" t="s">
        <v>880</v>
      </c>
      <c r="H144" s="65" t="s">
        <v>882</v>
      </c>
    </row>
    <row r="145" spans="1:8" x14ac:dyDescent="0.3">
      <c r="A145" s="65" t="s">
        <v>883</v>
      </c>
      <c r="B145" s="65" t="s">
        <v>884</v>
      </c>
      <c r="C145" s="66" t="s">
        <v>885</v>
      </c>
      <c r="D145" s="67" t="s">
        <v>165</v>
      </c>
      <c r="E145" s="66" t="s">
        <v>166</v>
      </c>
      <c r="F145" s="67" t="s">
        <v>886</v>
      </c>
      <c r="G145" s="66" t="s">
        <v>885</v>
      </c>
      <c r="H145" s="65" t="s">
        <v>887</v>
      </c>
    </row>
    <row r="146" spans="1:8" x14ac:dyDescent="0.3">
      <c r="A146" s="65" t="s">
        <v>888</v>
      </c>
      <c r="B146" s="65" t="s">
        <v>889</v>
      </c>
      <c r="C146" s="66" t="s">
        <v>890</v>
      </c>
      <c r="D146" s="67" t="s">
        <v>165</v>
      </c>
      <c r="E146" s="66" t="s">
        <v>166</v>
      </c>
      <c r="F146" s="67" t="s">
        <v>891</v>
      </c>
      <c r="G146" s="66" t="s">
        <v>890</v>
      </c>
      <c r="H146" s="65" t="s">
        <v>892</v>
      </c>
    </row>
    <row r="147" spans="1:8" x14ac:dyDescent="0.3">
      <c r="A147" s="65" t="s">
        <v>893</v>
      </c>
      <c r="B147" s="65" t="s">
        <v>894</v>
      </c>
      <c r="C147" s="66" t="s">
        <v>895</v>
      </c>
      <c r="D147" s="67" t="s">
        <v>165</v>
      </c>
      <c r="E147" s="66" t="s">
        <v>166</v>
      </c>
      <c r="F147" s="67" t="s">
        <v>896</v>
      </c>
      <c r="G147" s="66" t="s">
        <v>895</v>
      </c>
      <c r="H147" s="65" t="s">
        <v>897</v>
      </c>
    </row>
    <row r="148" spans="1:8" x14ac:dyDescent="0.3">
      <c r="A148" s="65" t="s">
        <v>898</v>
      </c>
      <c r="B148" s="65" t="s">
        <v>899</v>
      </c>
      <c r="C148" s="66" t="s">
        <v>900</v>
      </c>
      <c r="D148" s="67" t="s">
        <v>241</v>
      </c>
      <c r="E148" s="66" t="s">
        <v>242</v>
      </c>
      <c r="F148" s="67" t="s">
        <v>901</v>
      </c>
      <c r="G148" s="66" t="s">
        <v>900</v>
      </c>
      <c r="H148" s="65" t="s">
        <v>902</v>
      </c>
    </row>
    <row r="149" spans="1:8" x14ac:dyDescent="0.3">
      <c r="A149" s="65" t="s">
        <v>903</v>
      </c>
      <c r="B149" s="65" t="s">
        <v>904</v>
      </c>
      <c r="C149" s="66" t="s">
        <v>905</v>
      </c>
      <c r="D149" s="67" t="s">
        <v>165</v>
      </c>
      <c r="E149" s="66" t="s">
        <v>166</v>
      </c>
      <c r="F149" s="67" t="s">
        <v>906</v>
      </c>
      <c r="G149" s="66" t="s">
        <v>905</v>
      </c>
      <c r="H149" s="65" t="s">
        <v>907</v>
      </c>
    </row>
    <row r="150" spans="1:8" x14ac:dyDescent="0.3">
      <c r="A150" s="65" t="s">
        <v>908</v>
      </c>
      <c r="B150" s="65" t="s">
        <v>909</v>
      </c>
      <c r="C150" s="66" t="s">
        <v>910</v>
      </c>
      <c r="D150" s="67" t="s">
        <v>241</v>
      </c>
      <c r="E150" s="66" t="s">
        <v>242</v>
      </c>
      <c r="F150" s="67" t="s">
        <v>911</v>
      </c>
      <c r="G150" s="66" t="s">
        <v>910</v>
      </c>
      <c r="H150" s="65" t="s">
        <v>912</v>
      </c>
    </row>
    <row r="151" spans="1:8" x14ac:dyDescent="0.3">
      <c r="A151" s="65" t="s">
        <v>913</v>
      </c>
      <c r="B151" s="65" t="s">
        <v>914</v>
      </c>
      <c r="C151" s="66" t="s">
        <v>915</v>
      </c>
      <c r="D151" s="67" t="s">
        <v>916</v>
      </c>
      <c r="E151" s="66" t="s">
        <v>917</v>
      </c>
      <c r="F151" s="67" t="s">
        <v>918</v>
      </c>
      <c r="G151" s="66" t="s">
        <v>915</v>
      </c>
      <c r="H151" s="65" t="s">
        <v>919</v>
      </c>
    </row>
    <row r="152" spans="1:8" x14ac:dyDescent="0.3">
      <c r="A152" s="65" t="s">
        <v>920</v>
      </c>
      <c r="B152" s="65" t="s">
        <v>921</v>
      </c>
      <c r="C152" s="66" t="s">
        <v>922</v>
      </c>
      <c r="D152" s="67" t="s">
        <v>165</v>
      </c>
      <c r="E152" s="66" t="s">
        <v>166</v>
      </c>
      <c r="F152" s="67" t="s">
        <v>923</v>
      </c>
      <c r="G152" s="66" t="s">
        <v>922</v>
      </c>
      <c r="H152" s="65" t="s">
        <v>924</v>
      </c>
    </row>
    <row r="153" spans="1:8" x14ac:dyDescent="0.3">
      <c r="A153" s="65" t="s">
        <v>925</v>
      </c>
      <c r="B153" s="65" t="s">
        <v>926</v>
      </c>
      <c r="C153" s="66" t="s">
        <v>927</v>
      </c>
      <c r="D153" s="67" t="s">
        <v>165</v>
      </c>
      <c r="E153" s="66" t="s">
        <v>166</v>
      </c>
      <c r="F153" s="67" t="s">
        <v>928</v>
      </c>
      <c r="G153" s="66" t="s">
        <v>927</v>
      </c>
      <c r="H153" s="65" t="s">
        <v>929</v>
      </c>
    </row>
    <row r="154" spans="1:8" x14ac:dyDescent="0.3">
      <c r="A154" s="65" t="s">
        <v>930</v>
      </c>
      <c r="B154" s="65" t="s">
        <v>931</v>
      </c>
      <c r="C154" s="66" t="s">
        <v>932</v>
      </c>
      <c r="D154" s="67" t="s">
        <v>165</v>
      </c>
      <c r="E154" s="66" t="s">
        <v>166</v>
      </c>
      <c r="F154" s="67" t="s">
        <v>933</v>
      </c>
      <c r="G154" s="66" t="s">
        <v>932</v>
      </c>
      <c r="H154" s="65" t="s">
        <v>934</v>
      </c>
    </row>
    <row r="155" spans="1:8" x14ac:dyDescent="0.3">
      <c r="A155" s="65" t="s">
        <v>935</v>
      </c>
      <c r="B155" s="65" t="s">
        <v>936</v>
      </c>
      <c r="C155" s="66" t="s">
        <v>937</v>
      </c>
      <c r="D155" s="67" t="s">
        <v>938</v>
      </c>
      <c r="F155" s="67" t="s">
        <v>938</v>
      </c>
      <c r="H155" s="65" t="s">
        <v>939</v>
      </c>
    </row>
    <row r="156" spans="1:8" x14ac:dyDescent="0.3">
      <c r="A156" s="65" t="s">
        <v>940</v>
      </c>
      <c r="B156" s="65" t="s">
        <v>941</v>
      </c>
      <c r="C156" s="66" t="s">
        <v>942</v>
      </c>
      <c r="D156" s="67" t="s">
        <v>165</v>
      </c>
      <c r="E156" s="66" t="s">
        <v>166</v>
      </c>
      <c r="F156" s="67" t="s">
        <v>943</v>
      </c>
      <c r="G156" s="66" t="s">
        <v>942</v>
      </c>
      <c r="H156" s="65" t="s">
        <v>944</v>
      </c>
    </row>
    <row r="157" spans="1:8" x14ac:dyDescent="0.3">
      <c r="A157" s="65" t="s">
        <v>945</v>
      </c>
      <c r="B157" s="65" t="s">
        <v>946</v>
      </c>
      <c r="C157" s="66" t="s">
        <v>947</v>
      </c>
      <c r="D157" s="67" t="s">
        <v>165</v>
      </c>
      <c r="E157" s="66" t="s">
        <v>166</v>
      </c>
      <c r="F157" s="67" t="s">
        <v>948</v>
      </c>
      <c r="G157" s="66" t="s">
        <v>947</v>
      </c>
      <c r="H157" s="65" t="s">
        <v>949</v>
      </c>
    </row>
    <row r="158" spans="1:8" x14ac:dyDescent="0.3">
      <c r="A158" s="65" t="s">
        <v>950</v>
      </c>
      <c r="B158" s="65" t="s">
        <v>951</v>
      </c>
      <c r="C158" s="66" t="s">
        <v>952</v>
      </c>
      <c r="D158" s="67" t="s">
        <v>165</v>
      </c>
      <c r="E158" s="66" t="s">
        <v>166</v>
      </c>
      <c r="F158" s="67" t="s">
        <v>953</v>
      </c>
      <c r="G158" s="66" t="s">
        <v>952</v>
      </c>
      <c r="H158" s="65" t="s">
        <v>954</v>
      </c>
    </row>
    <row r="159" spans="1:8" x14ac:dyDescent="0.3">
      <c r="A159" s="65" t="s">
        <v>955</v>
      </c>
      <c r="B159" s="65" t="s">
        <v>956</v>
      </c>
      <c r="C159" s="66" t="s">
        <v>957</v>
      </c>
      <c r="D159" s="67" t="s">
        <v>165</v>
      </c>
      <c r="E159" s="66" t="s">
        <v>166</v>
      </c>
      <c r="F159" s="67" t="s">
        <v>958</v>
      </c>
      <c r="G159" s="66" t="s">
        <v>957</v>
      </c>
      <c r="H159" s="65" t="s">
        <v>959</v>
      </c>
    </row>
    <row r="160" spans="1:8" x14ac:dyDescent="0.3">
      <c r="A160" s="65" t="s">
        <v>960</v>
      </c>
      <c r="B160" s="65" t="s">
        <v>961</v>
      </c>
      <c r="C160" s="66" t="s">
        <v>962</v>
      </c>
      <c r="D160" s="67" t="s">
        <v>165</v>
      </c>
      <c r="E160" s="66" t="s">
        <v>166</v>
      </c>
      <c r="F160" s="67" t="s">
        <v>963</v>
      </c>
      <c r="G160" s="66" t="s">
        <v>962</v>
      </c>
      <c r="H160" s="65" t="s">
        <v>964</v>
      </c>
    </row>
    <row r="161" spans="1:8" x14ac:dyDescent="0.3">
      <c r="A161" s="65" t="s">
        <v>965</v>
      </c>
      <c r="B161" s="65" t="s">
        <v>966</v>
      </c>
      <c r="C161" s="66" t="s">
        <v>967</v>
      </c>
      <c r="D161" s="67" t="s">
        <v>165</v>
      </c>
      <c r="E161" s="66" t="s">
        <v>166</v>
      </c>
      <c r="F161" s="67" t="s">
        <v>968</v>
      </c>
      <c r="G161" s="66" t="s">
        <v>967</v>
      </c>
      <c r="H161" s="65" t="s">
        <v>969</v>
      </c>
    </row>
    <row r="162" spans="1:8" x14ac:dyDescent="0.3">
      <c r="A162" s="65" t="s">
        <v>970</v>
      </c>
      <c r="B162" s="65" t="s">
        <v>971</v>
      </c>
      <c r="C162" s="66" t="s">
        <v>972</v>
      </c>
      <c r="D162" s="67" t="s">
        <v>916</v>
      </c>
      <c r="E162" s="66" t="s">
        <v>917</v>
      </c>
      <c r="F162" s="67" t="s">
        <v>973</v>
      </c>
      <c r="G162" s="66" t="s">
        <v>972</v>
      </c>
      <c r="H162" s="65" t="s">
        <v>974</v>
      </c>
    </row>
    <row r="163" spans="1:8" x14ac:dyDescent="0.3">
      <c r="A163" s="65" t="s">
        <v>975</v>
      </c>
      <c r="B163" s="65" t="s">
        <v>976</v>
      </c>
      <c r="C163" s="66" t="s">
        <v>977</v>
      </c>
      <c r="D163" s="67" t="s">
        <v>165</v>
      </c>
      <c r="E163" s="66" t="s">
        <v>166</v>
      </c>
      <c r="F163" s="67" t="s">
        <v>978</v>
      </c>
      <c r="G163" s="66" t="s">
        <v>977</v>
      </c>
      <c r="H163" s="65" t="s">
        <v>979</v>
      </c>
    </row>
    <row r="164" spans="1:8" x14ac:dyDescent="0.3">
      <c r="A164" s="65" t="s">
        <v>980</v>
      </c>
      <c r="B164" s="65" t="s">
        <v>981</v>
      </c>
      <c r="C164" s="66" t="s">
        <v>982</v>
      </c>
      <c r="D164" s="67" t="s">
        <v>165</v>
      </c>
      <c r="E164" s="66" t="s">
        <v>166</v>
      </c>
      <c r="F164" s="67" t="s">
        <v>983</v>
      </c>
      <c r="G164" s="66" t="s">
        <v>982</v>
      </c>
      <c r="H164" s="65" t="s">
        <v>984</v>
      </c>
    </row>
    <row r="165" spans="1:8" x14ac:dyDescent="0.3">
      <c r="A165" s="65" t="s">
        <v>985</v>
      </c>
      <c r="B165" s="65" t="s">
        <v>986</v>
      </c>
      <c r="C165" s="66" t="s">
        <v>987</v>
      </c>
      <c r="D165" s="67" t="s">
        <v>165</v>
      </c>
      <c r="E165" s="66" t="s">
        <v>166</v>
      </c>
      <c r="F165" s="67" t="s">
        <v>988</v>
      </c>
      <c r="G165" s="66" t="s">
        <v>987</v>
      </c>
      <c r="H165" s="65" t="s">
        <v>989</v>
      </c>
    </row>
    <row r="166" spans="1:8" x14ac:dyDescent="0.3">
      <c r="A166" s="65" t="s">
        <v>990</v>
      </c>
      <c r="B166" s="65" t="s">
        <v>991</v>
      </c>
      <c r="C166" s="66" t="s">
        <v>992</v>
      </c>
      <c r="D166" s="67" t="s">
        <v>165</v>
      </c>
      <c r="E166" s="66" t="s">
        <v>166</v>
      </c>
      <c r="F166" s="67" t="s">
        <v>993</v>
      </c>
      <c r="G166" s="66" t="s">
        <v>992</v>
      </c>
      <c r="H166" s="65" t="s">
        <v>994</v>
      </c>
    </row>
    <row r="167" spans="1:8" x14ac:dyDescent="0.3">
      <c r="A167" s="65" t="s">
        <v>995</v>
      </c>
      <c r="B167" s="65" t="s">
        <v>996</v>
      </c>
      <c r="C167" s="66" t="s">
        <v>997</v>
      </c>
      <c r="D167" s="67" t="s">
        <v>165</v>
      </c>
      <c r="E167" s="66" t="s">
        <v>166</v>
      </c>
      <c r="F167" s="67" t="s">
        <v>998</v>
      </c>
      <c r="G167" s="66" t="s">
        <v>841</v>
      </c>
      <c r="H167" s="65" t="s">
        <v>999</v>
      </c>
    </row>
    <row r="168" spans="1:8" x14ac:dyDescent="0.3">
      <c r="A168" s="65" t="s">
        <v>1000</v>
      </c>
      <c r="B168" s="65" t="s">
        <v>1001</v>
      </c>
      <c r="C168" s="66" t="s">
        <v>1002</v>
      </c>
      <c r="D168" s="67" t="s">
        <v>165</v>
      </c>
      <c r="E168" s="66" t="s">
        <v>166</v>
      </c>
      <c r="F168" s="67" t="s">
        <v>1003</v>
      </c>
      <c r="G168" s="66" t="s">
        <v>1002</v>
      </c>
      <c r="H168" s="65" t="s">
        <v>1004</v>
      </c>
    </row>
    <row r="169" spans="1:8" x14ac:dyDescent="0.3">
      <c r="A169" s="65" t="s">
        <v>1005</v>
      </c>
      <c r="B169" s="65" t="s">
        <v>1006</v>
      </c>
      <c r="C169" s="66" t="s">
        <v>1007</v>
      </c>
      <c r="D169" s="67" t="s">
        <v>165</v>
      </c>
      <c r="E169" s="66" t="s">
        <v>166</v>
      </c>
      <c r="F169" s="67" t="s">
        <v>1008</v>
      </c>
      <c r="G169" s="66" t="s">
        <v>1007</v>
      </c>
      <c r="H169" s="65" t="s">
        <v>1009</v>
      </c>
    </row>
    <row r="170" spans="1:8" x14ac:dyDescent="0.3">
      <c r="A170" s="65" t="s">
        <v>1010</v>
      </c>
      <c r="B170" s="65" t="s">
        <v>1011</v>
      </c>
      <c r="C170" s="66" t="s">
        <v>1012</v>
      </c>
      <c r="D170" s="67" t="s">
        <v>938</v>
      </c>
      <c r="F170" s="67" t="s">
        <v>938</v>
      </c>
      <c r="H170" s="65" t="s">
        <v>1013</v>
      </c>
    </row>
    <row r="171" spans="1:8" x14ac:dyDescent="0.3">
      <c r="A171" s="65" t="s">
        <v>1014</v>
      </c>
      <c r="B171" s="65" t="s">
        <v>1015</v>
      </c>
      <c r="C171" s="66" t="s">
        <v>1016</v>
      </c>
      <c r="D171" s="67" t="s">
        <v>938</v>
      </c>
      <c r="F171" s="67" t="s">
        <v>938</v>
      </c>
      <c r="H171" s="65" t="s">
        <v>1017</v>
      </c>
    </row>
    <row r="172" spans="1:8" x14ac:dyDescent="0.3">
      <c r="A172" s="65" t="s">
        <v>1018</v>
      </c>
      <c r="B172" s="65" t="s">
        <v>1019</v>
      </c>
      <c r="C172" s="66" t="s">
        <v>1020</v>
      </c>
      <c r="D172" s="67" t="s">
        <v>165</v>
      </c>
      <c r="E172" s="66" t="s">
        <v>166</v>
      </c>
      <c r="F172" s="67" t="s">
        <v>1021</v>
      </c>
      <c r="G172" s="66" t="s">
        <v>1020</v>
      </c>
      <c r="H172" s="65" t="s">
        <v>1022</v>
      </c>
    </row>
    <row r="173" spans="1:8" x14ac:dyDescent="0.3">
      <c r="A173" s="65" t="s">
        <v>1023</v>
      </c>
      <c r="B173" s="65" t="s">
        <v>1024</v>
      </c>
      <c r="C173" s="66" t="s">
        <v>1025</v>
      </c>
      <c r="D173" s="67" t="s">
        <v>165</v>
      </c>
      <c r="E173" s="66" t="s">
        <v>166</v>
      </c>
      <c r="F173" s="67" t="s">
        <v>1026</v>
      </c>
      <c r="G173" s="66" t="s">
        <v>1025</v>
      </c>
      <c r="H173" s="65" t="s">
        <v>1027</v>
      </c>
    </row>
    <row r="174" spans="1:8" x14ac:dyDescent="0.3">
      <c r="A174" s="65" t="s">
        <v>1028</v>
      </c>
      <c r="B174" s="65" t="s">
        <v>1029</v>
      </c>
      <c r="C174" s="66" t="s">
        <v>1030</v>
      </c>
      <c r="D174" s="67" t="s">
        <v>165</v>
      </c>
      <c r="E174" s="66" t="s">
        <v>166</v>
      </c>
      <c r="F174" s="67" t="s">
        <v>1031</v>
      </c>
      <c r="G174" s="66" t="s">
        <v>1030</v>
      </c>
      <c r="H174" s="65" t="s">
        <v>1032</v>
      </c>
    </row>
    <row r="175" spans="1:8" x14ac:dyDescent="0.3">
      <c r="A175" s="65" t="s">
        <v>1033</v>
      </c>
      <c r="B175" s="65" t="s">
        <v>1034</v>
      </c>
      <c r="C175" s="66" t="s">
        <v>1035</v>
      </c>
      <c r="D175" s="67" t="s">
        <v>241</v>
      </c>
      <c r="E175" s="66" t="s">
        <v>242</v>
      </c>
      <c r="F175" s="67" t="s">
        <v>1036</v>
      </c>
      <c r="G175" s="66" t="s">
        <v>1035</v>
      </c>
      <c r="H175" s="65" t="s">
        <v>1037</v>
      </c>
    </row>
    <row r="176" spans="1:8" x14ac:dyDescent="0.3">
      <c r="A176" s="65" t="s">
        <v>1038</v>
      </c>
      <c r="B176" s="65" t="s">
        <v>1039</v>
      </c>
      <c r="C176" s="66" t="s">
        <v>1040</v>
      </c>
      <c r="D176" s="67" t="s">
        <v>165</v>
      </c>
      <c r="E176" s="66" t="s">
        <v>166</v>
      </c>
      <c r="F176" s="67" t="s">
        <v>1041</v>
      </c>
      <c r="G176" s="66" t="s">
        <v>1040</v>
      </c>
      <c r="H176" s="65" t="s">
        <v>1042</v>
      </c>
    </row>
    <row r="177" spans="1:8" x14ac:dyDescent="0.3">
      <c r="A177" s="65" t="s">
        <v>1043</v>
      </c>
      <c r="B177" s="65" t="s">
        <v>1044</v>
      </c>
      <c r="C177" s="66" t="s">
        <v>1045</v>
      </c>
      <c r="D177" s="67" t="s">
        <v>219</v>
      </c>
      <c r="E177" s="66" t="s">
        <v>220</v>
      </c>
      <c r="F177" s="67" t="s">
        <v>1046</v>
      </c>
      <c r="G177" s="66" t="s">
        <v>1045</v>
      </c>
      <c r="H177" s="65" t="s">
        <v>1047</v>
      </c>
    </row>
    <row r="178" spans="1:8" x14ac:dyDescent="0.3">
      <c r="A178" s="65" t="s">
        <v>24</v>
      </c>
      <c r="B178" s="65" t="s">
        <v>1048</v>
      </c>
      <c r="C178" s="66" t="s">
        <v>103</v>
      </c>
      <c r="D178" s="67" t="s">
        <v>165</v>
      </c>
      <c r="E178" s="66" t="s">
        <v>166</v>
      </c>
      <c r="F178" s="67" t="s">
        <v>1049</v>
      </c>
      <c r="G178" s="66" t="s">
        <v>103</v>
      </c>
      <c r="H178" s="65" t="s">
        <v>1050</v>
      </c>
    </row>
    <row r="179" spans="1:8" x14ac:dyDescent="0.3">
      <c r="A179" s="65" t="s">
        <v>25</v>
      </c>
      <c r="B179" s="65" t="s">
        <v>1051</v>
      </c>
      <c r="C179" s="66" t="s">
        <v>129</v>
      </c>
      <c r="D179" s="67" t="s">
        <v>165</v>
      </c>
      <c r="E179" s="66" t="s">
        <v>166</v>
      </c>
      <c r="F179" s="67" t="s">
        <v>1052</v>
      </c>
      <c r="G179" s="66" t="s">
        <v>129</v>
      </c>
      <c r="H179" s="65" t="s">
        <v>1053</v>
      </c>
    </row>
    <row r="180" spans="1:8" x14ac:dyDescent="0.3">
      <c r="A180" s="65" t="s">
        <v>26</v>
      </c>
      <c r="B180" s="65" t="s">
        <v>1054</v>
      </c>
      <c r="C180" s="66" t="s">
        <v>130</v>
      </c>
      <c r="D180" s="67" t="s">
        <v>165</v>
      </c>
      <c r="E180" s="66" t="s">
        <v>166</v>
      </c>
      <c r="F180" s="67" t="s">
        <v>1055</v>
      </c>
      <c r="G180" s="66" t="s">
        <v>130</v>
      </c>
      <c r="H180" s="65" t="s">
        <v>1056</v>
      </c>
    </row>
    <row r="181" spans="1:8" x14ac:dyDescent="0.3">
      <c r="A181" s="65" t="s">
        <v>79</v>
      </c>
      <c r="B181" s="65" t="s">
        <v>1057</v>
      </c>
      <c r="C181" s="66" t="s">
        <v>131</v>
      </c>
      <c r="D181" s="67" t="s">
        <v>1058</v>
      </c>
      <c r="E181" s="66" t="s">
        <v>1059</v>
      </c>
      <c r="F181" s="67" t="s">
        <v>1060</v>
      </c>
      <c r="G181" s="66" t="s">
        <v>131</v>
      </c>
      <c r="H181" s="65" t="s">
        <v>1061</v>
      </c>
    </row>
    <row r="182" spans="1:8" x14ac:dyDescent="0.3">
      <c r="A182" s="65" t="s">
        <v>1062</v>
      </c>
      <c r="B182" s="65" t="s">
        <v>1063</v>
      </c>
      <c r="C182" s="66" t="s">
        <v>1064</v>
      </c>
      <c r="D182" s="67" t="s">
        <v>165</v>
      </c>
      <c r="E182" s="66" t="s">
        <v>166</v>
      </c>
      <c r="F182" s="67" t="s">
        <v>1065</v>
      </c>
      <c r="G182" s="66" t="s">
        <v>1064</v>
      </c>
      <c r="H182" s="65" t="s">
        <v>1066</v>
      </c>
    </row>
    <row r="183" spans="1:8" x14ac:dyDescent="0.3">
      <c r="A183" s="65" t="s">
        <v>1067</v>
      </c>
      <c r="B183" s="65" t="s">
        <v>1068</v>
      </c>
      <c r="C183" s="66" t="s">
        <v>1069</v>
      </c>
      <c r="D183" s="67" t="s">
        <v>241</v>
      </c>
      <c r="E183" s="66" t="s">
        <v>242</v>
      </c>
      <c r="F183" s="67" t="s">
        <v>1070</v>
      </c>
      <c r="G183" s="66" t="s">
        <v>1069</v>
      </c>
      <c r="H183" s="65" t="s">
        <v>1071</v>
      </c>
    </row>
    <row r="184" spans="1:8" x14ac:dyDescent="0.3">
      <c r="A184" s="65" t="s">
        <v>1072</v>
      </c>
      <c r="B184" s="65" t="s">
        <v>1073</v>
      </c>
      <c r="C184" s="66" t="s">
        <v>1074</v>
      </c>
      <c r="D184" s="67" t="s">
        <v>165</v>
      </c>
      <c r="E184" s="66" t="s">
        <v>166</v>
      </c>
      <c r="F184" s="67" t="s">
        <v>1075</v>
      </c>
      <c r="G184" s="66" t="s">
        <v>1074</v>
      </c>
      <c r="H184" s="65" t="s">
        <v>1076</v>
      </c>
    </row>
    <row r="185" spans="1:8" x14ac:dyDescent="0.3">
      <c r="A185" s="65" t="s">
        <v>1077</v>
      </c>
      <c r="B185" s="65" t="s">
        <v>1078</v>
      </c>
      <c r="C185" s="66" t="s">
        <v>1079</v>
      </c>
      <c r="D185" s="67" t="s">
        <v>320</v>
      </c>
      <c r="E185" s="66" t="s">
        <v>321</v>
      </c>
      <c r="F185" s="67" t="s">
        <v>1080</v>
      </c>
      <c r="G185" s="66" t="s">
        <v>1079</v>
      </c>
      <c r="H185" s="65" t="s">
        <v>1081</v>
      </c>
    </row>
    <row r="186" spans="1:8" x14ac:dyDescent="0.3">
      <c r="A186" s="65" t="s">
        <v>1082</v>
      </c>
      <c r="B186" s="65" t="s">
        <v>1083</v>
      </c>
      <c r="C186" s="66" t="s">
        <v>1084</v>
      </c>
      <c r="D186" s="67" t="s">
        <v>165</v>
      </c>
      <c r="E186" s="66" t="s">
        <v>166</v>
      </c>
      <c r="F186" s="67" t="s">
        <v>1085</v>
      </c>
      <c r="G186" s="66" t="s">
        <v>1084</v>
      </c>
      <c r="H186" s="65" t="s">
        <v>1086</v>
      </c>
    </row>
    <row r="187" spans="1:8" x14ac:dyDescent="0.3">
      <c r="A187" s="65" t="s">
        <v>1087</v>
      </c>
      <c r="B187" s="65" t="s">
        <v>1088</v>
      </c>
      <c r="C187" s="66" t="s">
        <v>1089</v>
      </c>
      <c r="D187" s="67" t="s">
        <v>165</v>
      </c>
      <c r="E187" s="66" t="s">
        <v>166</v>
      </c>
      <c r="F187" s="67" t="s">
        <v>1090</v>
      </c>
      <c r="G187" s="66" t="s">
        <v>1089</v>
      </c>
      <c r="H187" s="65" t="s">
        <v>1091</v>
      </c>
    </row>
    <row r="188" spans="1:8" x14ac:dyDescent="0.3">
      <c r="A188" s="65" t="s">
        <v>27</v>
      </c>
      <c r="B188" s="65" t="s">
        <v>1092</v>
      </c>
      <c r="C188" s="66" t="s">
        <v>101</v>
      </c>
      <c r="D188" s="67" t="s">
        <v>165</v>
      </c>
      <c r="E188" s="66" t="s">
        <v>166</v>
      </c>
      <c r="F188" s="67" t="s">
        <v>1093</v>
      </c>
      <c r="G188" s="66" t="s">
        <v>101</v>
      </c>
      <c r="H188" s="65" t="s">
        <v>1094</v>
      </c>
    </row>
    <row r="189" spans="1:8" x14ac:dyDescent="0.3">
      <c r="A189" s="65" t="s">
        <v>1095</v>
      </c>
      <c r="B189" s="65" t="s">
        <v>1096</v>
      </c>
      <c r="C189" s="66" t="s">
        <v>1097</v>
      </c>
      <c r="D189" s="67" t="s">
        <v>165</v>
      </c>
      <c r="E189" s="66" t="s">
        <v>166</v>
      </c>
      <c r="F189" s="67" t="s">
        <v>1098</v>
      </c>
      <c r="G189" s="66" t="s">
        <v>1097</v>
      </c>
      <c r="H189" s="65" t="s">
        <v>1099</v>
      </c>
    </row>
    <row r="190" spans="1:8" x14ac:dyDescent="0.3">
      <c r="A190" s="65" t="s">
        <v>1100</v>
      </c>
      <c r="B190" s="65" t="s">
        <v>1101</v>
      </c>
      <c r="C190" s="66" t="s">
        <v>1102</v>
      </c>
      <c r="D190" s="67" t="s">
        <v>165</v>
      </c>
      <c r="E190" s="66" t="s">
        <v>166</v>
      </c>
      <c r="F190" s="67" t="s">
        <v>1103</v>
      </c>
      <c r="G190" s="66" t="s">
        <v>1102</v>
      </c>
      <c r="H190" s="65" t="s">
        <v>1104</v>
      </c>
    </row>
    <row r="191" spans="1:8" x14ac:dyDescent="0.3">
      <c r="A191" s="65" t="s">
        <v>1105</v>
      </c>
      <c r="B191" s="65" t="s">
        <v>1106</v>
      </c>
      <c r="C191" s="66" t="s">
        <v>1107</v>
      </c>
      <c r="D191" s="67" t="s">
        <v>165</v>
      </c>
      <c r="E191" s="66" t="s">
        <v>166</v>
      </c>
      <c r="F191" s="67" t="s">
        <v>1108</v>
      </c>
      <c r="G191" s="66" t="s">
        <v>1107</v>
      </c>
      <c r="H191" s="65" t="s">
        <v>1109</v>
      </c>
    </row>
    <row r="192" spans="1:8" x14ac:dyDescent="0.3">
      <c r="A192" s="65" t="s">
        <v>1110</v>
      </c>
      <c r="B192" s="65" t="s">
        <v>1111</v>
      </c>
      <c r="C192" s="66" t="s">
        <v>1112</v>
      </c>
      <c r="D192" s="67" t="s">
        <v>165</v>
      </c>
      <c r="E192" s="66" t="s">
        <v>166</v>
      </c>
      <c r="F192" s="67" t="s">
        <v>1113</v>
      </c>
      <c r="G192" s="66" t="s">
        <v>1112</v>
      </c>
      <c r="H192" s="65" t="s">
        <v>1114</v>
      </c>
    </row>
    <row r="193" spans="1:8" x14ac:dyDescent="0.3">
      <c r="A193" s="65" t="s">
        <v>1115</v>
      </c>
      <c r="B193" s="65" t="s">
        <v>1116</v>
      </c>
      <c r="C193" s="66" t="s">
        <v>1117</v>
      </c>
      <c r="D193" s="67" t="s">
        <v>165</v>
      </c>
      <c r="E193" s="66" t="s">
        <v>166</v>
      </c>
      <c r="F193" s="67" t="s">
        <v>1118</v>
      </c>
      <c r="G193" s="66" t="s">
        <v>1117</v>
      </c>
      <c r="H193" s="65" t="s">
        <v>1119</v>
      </c>
    </row>
    <row r="194" spans="1:8" x14ac:dyDescent="0.3">
      <c r="A194" s="65" t="s">
        <v>1120</v>
      </c>
      <c r="B194" s="65" t="s">
        <v>1121</v>
      </c>
      <c r="C194" s="66" t="s">
        <v>109</v>
      </c>
      <c r="D194" s="67" t="s">
        <v>165</v>
      </c>
      <c r="E194" s="66" t="s">
        <v>166</v>
      </c>
      <c r="F194" s="67" t="s">
        <v>1122</v>
      </c>
      <c r="G194" s="66" t="s">
        <v>109</v>
      </c>
      <c r="H194" s="65" t="s">
        <v>1123</v>
      </c>
    </row>
    <row r="195" spans="1:8" x14ac:dyDescent="0.3">
      <c r="A195" s="65" t="s">
        <v>1124</v>
      </c>
      <c r="B195" s="65" t="s">
        <v>1125</v>
      </c>
      <c r="C195" s="66" t="s">
        <v>1126</v>
      </c>
      <c r="D195" s="67" t="s">
        <v>165</v>
      </c>
      <c r="E195" s="66" t="s">
        <v>166</v>
      </c>
      <c r="F195" s="67" t="s">
        <v>1127</v>
      </c>
      <c r="G195" s="66" t="s">
        <v>1126</v>
      </c>
      <c r="H195" s="65" t="s">
        <v>1128</v>
      </c>
    </row>
    <row r="196" spans="1:8" x14ac:dyDescent="0.3">
      <c r="A196" s="65" t="s">
        <v>1129</v>
      </c>
      <c r="B196" s="65" t="s">
        <v>1130</v>
      </c>
      <c r="C196" s="66" t="s">
        <v>1131</v>
      </c>
      <c r="D196" s="67" t="s">
        <v>165</v>
      </c>
      <c r="E196" s="66" t="s">
        <v>166</v>
      </c>
      <c r="F196" s="67" t="s">
        <v>1132</v>
      </c>
      <c r="G196" s="66" t="s">
        <v>1131</v>
      </c>
      <c r="H196" s="65" t="s">
        <v>1133</v>
      </c>
    </row>
    <row r="197" spans="1:8" x14ac:dyDescent="0.3">
      <c r="A197" s="65" t="s">
        <v>1134</v>
      </c>
      <c r="B197" s="65" t="s">
        <v>1135</v>
      </c>
      <c r="C197" s="66" t="s">
        <v>1136</v>
      </c>
      <c r="D197" s="67" t="s">
        <v>165</v>
      </c>
      <c r="E197" s="66" t="s">
        <v>166</v>
      </c>
      <c r="F197" s="67" t="s">
        <v>1137</v>
      </c>
      <c r="G197" s="66" t="s">
        <v>1136</v>
      </c>
      <c r="H197" s="65" t="s">
        <v>1138</v>
      </c>
    </row>
    <row r="198" spans="1:8" x14ac:dyDescent="0.3">
      <c r="A198" s="65" t="s">
        <v>1139</v>
      </c>
      <c r="B198" s="65" t="s">
        <v>1140</v>
      </c>
      <c r="C198" s="66" t="s">
        <v>1141</v>
      </c>
      <c r="D198" s="67" t="s">
        <v>165</v>
      </c>
      <c r="E198" s="66" t="s">
        <v>166</v>
      </c>
      <c r="F198" s="67" t="s">
        <v>1142</v>
      </c>
      <c r="G198" s="66" t="s">
        <v>1141</v>
      </c>
      <c r="H198" s="65" t="s">
        <v>1143</v>
      </c>
    </row>
    <row r="199" spans="1:8" x14ac:dyDescent="0.3">
      <c r="A199" s="65" t="s">
        <v>1144</v>
      </c>
      <c r="B199" s="65" t="s">
        <v>1145</v>
      </c>
      <c r="C199" s="66" t="s">
        <v>1146</v>
      </c>
      <c r="D199" s="67" t="s">
        <v>165</v>
      </c>
      <c r="E199" s="66" t="s">
        <v>166</v>
      </c>
      <c r="F199" s="67" t="s">
        <v>1147</v>
      </c>
      <c r="G199" s="66" t="s">
        <v>1146</v>
      </c>
      <c r="H199" s="65" t="s">
        <v>1148</v>
      </c>
    </row>
    <row r="200" spans="1:8" x14ac:dyDescent="0.3">
      <c r="A200" s="65" t="s">
        <v>1149</v>
      </c>
      <c r="B200" s="65" t="s">
        <v>1150</v>
      </c>
      <c r="C200" s="66" t="s">
        <v>1151</v>
      </c>
      <c r="D200" s="67" t="s">
        <v>165</v>
      </c>
      <c r="E200" s="66" t="s">
        <v>166</v>
      </c>
      <c r="F200" s="67" t="s">
        <v>1152</v>
      </c>
      <c r="G200" s="66" t="s">
        <v>1151</v>
      </c>
      <c r="H200" s="65" t="s">
        <v>1153</v>
      </c>
    </row>
    <row r="201" spans="1:8" x14ac:dyDescent="0.3">
      <c r="A201" s="65" t="s">
        <v>1154</v>
      </c>
      <c r="B201" s="65" t="s">
        <v>1155</v>
      </c>
      <c r="C201" s="66" t="s">
        <v>1156</v>
      </c>
      <c r="D201" s="67" t="s">
        <v>165</v>
      </c>
      <c r="E201" s="66" t="s">
        <v>166</v>
      </c>
      <c r="F201" s="67" t="s">
        <v>1157</v>
      </c>
      <c r="G201" s="66" t="s">
        <v>1156</v>
      </c>
      <c r="H201" s="65" t="s">
        <v>1158</v>
      </c>
    </row>
    <row r="202" spans="1:8" x14ac:dyDescent="0.3">
      <c r="A202" s="65" t="s">
        <v>1159</v>
      </c>
      <c r="B202" s="65" t="s">
        <v>1160</v>
      </c>
      <c r="C202" s="66" t="s">
        <v>1161</v>
      </c>
      <c r="D202" s="67" t="s">
        <v>165</v>
      </c>
      <c r="E202" s="66" t="s">
        <v>166</v>
      </c>
      <c r="F202" s="67" t="s">
        <v>1162</v>
      </c>
      <c r="G202" s="66" t="s">
        <v>1161</v>
      </c>
      <c r="H202" s="65" t="s">
        <v>1163</v>
      </c>
    </row>
    <row r="203" spans="1:8" x14ac:dyDescent="0.3">
      <c r="A203" s="65" t="s">
        <v>1164</v>
      </c>
      <c r="B203" s="65" t="s">
        <v>1165</v>
      </c>
      <c r="C203" s="66" t="s">
        <v>1166</v>
      </c>
      <c r="D203" s="67" t="s">
        <v>212</v>
      </c>
      <c r="E203" s="66" t="s">
        <v>213</v>
      </c>
      <c r="F203" s="67" t="s">
        <v>1167</v>
      </c>
      <c r="G203" s="66" t="s">
        <v>1166</v>
      </c>
      <c r="H203" s="65" t="s">
        <v>1168</v>
      </c>
    </row>
    <row r="204" spans="1:8" x14ac:dyDescent="0.3">
      <c r="A204" s="65" t="s">
        <v>1169</v>
      </c>
      <c r="B204" s="65" t="s">
        <v>1170</v>
      </c>
      <c r="C204" s="66" t="s">
        <v>1171</v>
      </c>
      <c r="D204" s="67" t="s">
        <v>320</v>
      </c>
      <c r="E204" s="66" t="s">
        <v>321</v>
      </c>
      <c r="F204" s="67" t="s">
        <v>1172</v>
      </c>
      <c r="G204" s="66" t="s">
        <v>1171</v>
      </c>
      <c r="H204" s="65" t="s">
        <v>1173</v>
      </c>
    </row>
    <row r="205" spans="1:8" x14ac:dyDescent="0.3">
      <c r="A205" s="65" t="s">
        <v>1174</v>
      </c>
      <c r="B205" s="65" t="s">
        <v>1175</v>
      </c>
      <c r="C205" s="66" t="s">
        <v>1176</v>
      </c>
      <c r="D205" s="67" t="s">
        <v>165</v>
      </c>
      <c r="E205" s="66" t="s">
        <v>166</v>
      </c>
      <c r="F205" s="67" t="s">
        <v>1177</v>
      </c>
      <c r="G205" s="66" t="s">
        <v>1176</v>
      </c>
      <c r="H205" s="65" t="s">
        <v>1178</v>
      </c>
    </row>
    <row r="206" spans="1:8" x14ac:dyDescent="0.3">
      <c r="A206" s="65" t="s">
        <v>1179</v>
      </c>
      <c r="B206" s="65" t="s">
        <v>1180</v>
      </c>
      <c r="C206" s="66" t="s">
        <v>1181</v>
      </c>
      <c r="D206" s="67" t="s">
        <v>165</v>
      </c>
      <c r="E206" s="66" t="s">
        <v>166</v>
      </c>
      <c r="F206" s="67" t="s">
        <v>1182</v>
      </c>
      <c r="G206" s="66" t="s">
        <v>1181</v>
      </c>
      <c r="H206" s="65" t="s">
        <v>1183</v>
      </c>
    </row>
    <row r="207" spans="1:8" x14ac:dyDescent="0.3">
      <c r="A207" s="65" t="s">
        <v>65</v>
      </c>
      <c r="B207" s="65" t="s">
        <v>1184</v>
      </c>
      <c r="C207" s="66" t="s">
        <v>102</v>
      </c>
      <c r="D207" s="67" t="s">
        <v>165</v>
      </c>
      <c r="E207" s="66" t="s">
        <v>166</v>
      </c>
      <c r="F207" s="67" t="s">
        <v>1185</v>
      </c>
      <c r="G207" s="66" t="s">
        <v>102</v>
      </c>
      <c r="H207" s="65" t="s">
        <v>1186</v>
      </c>
    </row>
    <row r="208" spans="1:8" x14ac:dyDescent="0.3">
      <c r="A208" s="65" t="s">
        <v>1187</v>
      </c>
      <c r="B208" s="65" t="s">
        <v>1188</v>
      </c>
      <c r="C208" s="66" t="s">
        <v>1189</v>
      </c>
      <c r="D208" s="67" t="s">
        <v>165</v>
      </c>
      <c r="E208" s="66" t="s">
        <v>166</v>
      </c>
      <c r="F208" s="67" t="s">
        <v>1190</v>
      </c>
      <c r="G208" s="66" t="s">
        <v>1189</v>
      </c>
      <c r="H208" s="65" t="s">
        <v>1191</v>
      </c>
    </row>
    <row r="209" spans="1:8" x14ac:dyDescent="0.3">
      <c r="A209" s="65" t="s">
        <v>1192</v>
      </c>
      <c r="B209" s="65" t="s">
        <v>1193</v>
      </c>
      <c r="C209" s="66" t="s">
        <v>932</v>
      </c>
      <c r="D209" s="67" t="s">
        <v>165</v>
      </c>
      <c r="E209" s="66" t="s">
        <v>166</v>
      </c>
      <c r="F209" s="67" t="s">
        <v>1194</v>
      </c>
      <c r="G209" s="66" t="s">
        <v>932</v>
      </c>
      <c r="H209" s="65" t="s">
        <v>1195</v>
      </c>
    </row>
    <row r="210" spans="1:8" x14ac:dyDescent="0.3">
      <c r="A210" s="65" t="s">
        <v>1196</v>
      </c>
      <c r="B210" s="65" t="s">
        <v>1197</v>
      </c>
      <c r="C210" s="66" t="s">
        <v>1198</v>
      </c>
      <c r="D210" s="67" t="s">
        <v>165</v>
      </c>
      <c r="E210" s="66" t="s">
        <v>166</v>
      </c>
      <c r="F210" s="67" t="s">
        <v>1199</v>
      </c>
      <c r="G210" s="66" t="s">
        <v>1198</v>
      </c>
      <c r="H210" s="65" t="s">
        <v>1200</v>
      </c>
    </row>
    <row r="211" spans="1:8" x14ac:dyDescent="0.3">
      <c r="A211" s="65" t="s">
        <v>1201</v>
      </c>
      <c r="B211" s="65" t="s">
        <v>1202</v>
      </c>
      <c r="C211" s="66" t="s">
        <v>1203</v>
      </c>
      <c r="D211" s="67" t="s">
        <v>241</v>
      </c>
      <c r="E211" s="66" t="s">
        <v>242</v>
      </c>
      <c r="F211" s="67" t="s">
        <v>1204</v>
      </c>
      <c r="G211" s="66" t="s">
        <v>1203</v>
      </c>
      <c r="H211" s="65" t="s">
        <v>1205</v>
      </c>
    </row>
    <row r="212" spans="1:8" x14ac:dyDescent="0.3">
      <c r="A212" s="65" t="s">
        <v>1206</v>
      </c>
      <c r="B212" s="65" t="s">
        <v>1207</v>
      </c>
      <c r="C212" s="66" t="s">
        <v>1208</v>
      </c>
      <c r="D212" s="67" t="s">
        <v>165</v>
      </c>
      <c r="E212" s="66" t="s">
        <v>166</v>
      </c>
      <c r="F212" s="67" t="s">
        <v>1209</v>
      </c>
      <c r="G212" s="66" t="s">
        <v>1208</v>
      </c>
      <c r="H212" s="65" t="s">
        <v>1210</v>
      </c>
    </row>
    <row r="213" spans="1:8" x14ac:dyDescent="0.3">
      <c r="A213" s="65" t="s">
        <v>1211</v>
      </c>
      <c r="B213" s="65" t="s">
        <v>1212</v>
      </c>
      <c r="C213" s="66" t="s">
        <v>1213</v>
      </c>
      <c r="D213" s="67" t="s">
        <v>165</v>
      </c>
      <c r="E213" s="66" t="s">
        <v>166</v>
      </c>
      <c r="F213" s="67" t="s">
        <v>1214</v>
      </c>
      <c r="G213" s="66" t="s">
        <v>1213</v>
      </c>
      <c r="H213" s="65" t="s">
        <v>1215</v>
      </c>
    </row>
    <row r="214" spans="1:8" x14ac:dyDescent="0.3">
      <c r="A214" s="65" t="s">
        <v>1216</v>
      </c>
      <c r="B214" s="65" t="s">
        <v>1217</v>
      </c>
      <c r="C214" s="66" t="s">
        <v>1218</v>
      </c>
      <c r="D214" s="67" t="s">
        <v>520</v>
      </c>
      <c r="E214" s="66" t="s">
        <v>521</v>
      </c>
      <c r="F214" s="67" t="s">
        <v>1219</v>
      </c>
      <c r="G214" s="66" t="s">
        <v>1218</v>
      </c>
      <c r="H214" s="65" t="s">
        <v>1220</v>
      </c>
    </row>
    <row r="215" spans="1:8" x14ac:dyDescent="0.3">
      <c r="A215" s="65" t="s">
        <v>1221</v>
      </c>
      <c r="B215" s="65" t="s">
        <v>1222</v>
      </c>
      <c r="C215" s="66" t="s">
        <v>1223</v>
      </c>
      <c r="D215" s="67" t="s">
        <v>165</v>
      </c>
      <c r="E215" s="66" t="s">
        <v>166</v>
      </c>
      <c r="F215" s="67" t="s">
        <v>1224</v>
      </c>
      <c r="G215" s="66" t="s">
        <v>1223</v>
      </c>
      <c r="H215" s="65" t="s">
        <v>1225</v>
      </c>
    </row>
    <row r="216" spans="1:8" x14ac:dyDescent="0.3">
      <c r="A216" s="65" t="s">
        <v>1226</v>
      </c>
      <c r="B216" s="65" t="s">
        <v>1227</v>
      </c>
      <c r="C216" s="66" t="s">
        <v>1228</v>
      </c>
      <c r="D216" s="67" t="s">
        <v>165</v>
      </c>
      <c r="E216" s="66" t="s">
        <v>166</v>
      </c>
      <c r="F216" s="67" t="s">
        <v>1229</v>
      </c>
      <c r="G216" s="66" t="s">
        <v>1228</v>
      </c>
      <c r="H216" s="65" t="s">
        <v>1230</v>
      </c>
    </row>
    <row r="217" spans="1:8" x14ac:dyDescent="0.3">
      <c r="A217" s="65" t="s">
        <v>1231</v>
      </c>
      <c r="B217" s="65" t="s">
        <v>1232</v>
      </c>
      <c r="C217" s="66" t="s">
        <v>1233</v>
      </c>
      <c r="D217" s="67" t="s">
        <v>320</v>
      </c>
      <c r="E217" s="66" t="s">
        <v>321</v>
      </c>
      <c r="F217" s="67" t="s">
        <v>1234</v>
      </c>
      <c r="G217" s="66" t="s">
        <v>1233</v>
      </c>
      <c r="H217" s="65" t="s">
        <v>1235</v>
      </c>
    </row>
    <row r="218" spans="1:8" x14ac:dyDescent="0.3">
      <c r="A218" s="65" t="s">
        <v>1236</v>
      </c>
      <c r="B218" s="65" t="s">
        <v>1237</v>
      </c>
      <c r="C218" s="66" t="s">
        <v>1238</v>
      </c>
      <c r="D218" s="67" t="s">
        <v>320</v>
      </c>
      <c r="E218" s="66" t="s">
        <v>321</v>
      </c>
      <c r="F218" s="67" t="s">
        <v>1239</v>
      </c>
      <c r="G218" s="66" t="s">
        <v>1238</v>
      </c>
      <c r="H218" s="65" t="s">
        <v>1240</v>
      </c>
    </row>
    <row r="219" spans="1:8" x14ac:dyDescent="0.3">
      <c r="A219" s="65" t="s">
        <v>1241</v>
      </c>
      <c r="B219" s="65" t="s">
        <v>1242</v>
      </c>
      <c r="C219" s="66" t="s">
        <v>1243</v>
      </c>
      <c r="D219" s="67" t="s">
        <v>241</v>
      </c>
      <c r="E219" s="66" t="s">
        <v>242</v>
      </c>
      <c r="F219" s="67" t="s">
        <v>1244</v>
      </c>
      <c r="G219" s="66" t="s">
        <v>1243</v>
      </c>
      <c r="H219" s="65" t="s">
        <v>1245</v>
      </c>
    </row>
    <row r="220" spans="1:8" x14ac:dyDescent="0.3">
      <c r="A220" s="65" t="s">
        <v>86</v>
      </c>
      <c r="B220" s="65" t="s">
        <v>1246</v>
      </c>
      <c r="C220" s="66" t="s">
        <v>120</v>
      </c>
      <c r="D220" s="67" t="s">
        <v>165</v>
      </c>
      <c r="E220" s="66" t="s">
        <v>166</v>
      </c>
      <c r="F220" s="67" t="s">
        <v>1247</v>
      </c>
      <c r="G220" s="66" t="s">
        <v>120</v>
      </c>
      <c r="H220" s="65" t="s">
        <v>1248</v>
      </c>
    </row>
    <row r="221" spans="1:8" x14ac:dyDescent="0.3">
      <c r="A221" s="65" t="s">
        <v>93</v>
      </c>
      <c r="B221" s="65" t="s">
        <v>1249</v>
      </c>
      <c r="C221" s="66" t="s">
        <v>121</v>
      </c>
      <c r="D221" s="67" t="s">
        <v>165</v>
      </c>
      <c r="E221" s="66" t="s">
        <v>166</v>
      </c>
      <c r="F221" s="67" t="s">
        <v>1250</v>
      </c>
      <c r="G221" s="66" t="s">
        <v>121</v>
      </c>
      <c r="H221" s="65" t="s">
        <v>1251</v>
      </c>
    </row>
    <row r="222" spans="1:8" x14ac:dyDescent="0.3">
      <c r="A222" s="65" t="s">
        <v>122</v>
      </c>
      <c r="B222" s="65" t="s">
        <v>1252</v>
      </c>
      <c r="C222" s="66" t="s">
        <v>123</v>
      </c>
      <c r="D222" s="67" t="s">
        <v>165</v>
      </c>
      <c r="E222" s="66" t="s">
        <v>166</v>
      </c>
      <c r="F222" s="67" t="s">
        <v>1253</v>
      </c>
      <c r="G222" s="66" t="s">
        <v>123</v>
      </c>
      <c r="H222" s="65" t="s">
        <v>1254</v>
      </c>
    </row>
    <row r="223" spans="1:8" x14ac:dyDescent="0.3">
      <c r="A223" s="65" t="s">
        <v>125</v>
      </c>
      <c r="B223" s="65" t="s">
        <v>1255</v>
      </c>
      <c r="C223" s="66" t="s">
        <v>126</v>
      </c>
      <c r="D223" s="67" t="s">
        <v>165</v>
      </c>
      <c r="E223" s="66" t="s">
        <v>166</v>
      </c>
      <c r="F223" s="67" t="s">
        <v>1256</v>
      </c>
      <c r="G223" s="66" t="s">
        <v>126</v>
      </c>
      <c r="H223" s="65" t="s">
        <v>1257</v>
      </c>
    </row>
    <row r="224" spans="1:8" x14ac:dyDescent="0.3">
      <c r="A224" s="65" t="s">
        <v>127</v>
      </c>
      <c r="B224" s="65" t="s">
        <v>1258</v>
      </c>
      <c r="C224" s="66" t="s">
        <v>128</v>
      </c>
      <c r="D224" s="67" t="s">
        <v>165</v>
      </c>
      <c r="E224" s="66" t="s">
        <v>166</v>
      </c>
      <c r="F224" s="67" t="s">
        <v>1259</v>
      </c>
      <c r="G224" s="66" t="s">
        <v>128</v>
      </c>
      <c r="H224" s="65" t="s">
        <v>1260</v>
      </c>
    </row>
    <row r="225" spans="1:8" x14ac:dyDescent="0.3">
      <c r="A225" s="65" t="s">
        <v>1261</v>
      </c>
      <c r="B225" s="65" t="s">
        <v>1262</v>
      </c>
      <c r="C225" s="66" t="s">
        <v>1263</v>
      </c>
      <c r="D225" s="67" t="s">
        <v>165</v>
      </c>
      <c r="E225" s="66" t="s">
        <v>166</v>
      </c>
      <c r="F225" s="67" t="s">
        <v>1264</v>
      </c>
      <c r="G225" s="66" t="s">
        <v>1263</v>
      </c>
      <c r="H225" s="65" t="s">
        <v>1265</v>
      </c>
    </row>
    <row r="226" spans="1:8" x14ac:dyDescent="0.3">
      <c r="A226" s="65" t="s">
        <v>1266</v>
      </c>
      <c r="B226" s="65" t="s">
        <v>1267</v>
      </c>
      <c r="C226" s="66" t="s">
        <v>1268</v>
      </c>
      <c r="D226" s="67" t="s">
        <v>938</v>
      </c>
      <c r="F226" s="67" t="s">
        <v>938</v>
      </c>
      <c r="H226" s="65" t="s">
        <v>842</v>
      </c>
    </row>
    <row r="227" spans="1:8" x14ac:dyDescent="0.3">
      <c r="A227" s="65" t="s">
        <v>1269</v>
      </c>
      <c r="B227" s="65" t="s">
        <v>1270</v>
      </c>
      <c r="C227" s="66" t="s">
        <v>1271</v>
      </c>
      <c r="D227" s="67" t="s">
        <v>165</v>
      </c>
      <c r="E227" s="66" t="s">
        <v>166</v>
      </c>
      <c r="F227" s="67" t="s">
        <v>1272</v>
      </c>
      <c r="G227" s="66" t="s">
        <v>1271</v>
      </c>
      <c r="H227" s="65" t="s">
        <v>1273</v>
      </c>
    </row>
    <row r="228" spans="1:8" x14ac:dyDescent="0.3">
      <c r="A228" s="65" t="s">
        <v>1274</v>
      </c>
      <c r="B228" s="65" t="s">
        <v>1275</v>
      </c>
      <c r="C228" s="66" t="s">
        <v>1276</v>
      </c>
      <c r="D228" s="67" t="s">
        <v>165</v>
      </c>
      <c r="E228" s="66" t="s">
        <v>166</v>
      </c>
      <c r="F228" s="67" t="s">
        <v>1277</v>
      </c>
      <c r="G228" s="66" t="s">
        <v>1276</v>
      </c>
      <c r="H228" s="65" t="s">
        <v>1278</v>
      </c>
    </row>
    <row r="229" spans="1:8" x14ac:dyDescent="0.3">
      <c r="A229" s="65" t="s">
        <v>1279</v>
      </c>
      <c r="B229" s="65" t="s">
        <v>1280</v>
      </c>
      <c r="C229" s="66" t="s">
        <v>1281</v>
      </c>
      <c r="D229" s="67" t="s">
        <v>165</v>
      </c>
      <c r="E229" s="66" t="s">
        <v>166</v>
      </c>
      <c r="F229" s="67" t="s">
        <v>1282</v>
      </c>
      <c r="G229" s="66" t="s">
        <v>1281</v>
      </c>
      <c r="H229" s="65" t="s">
        <v>1283</v>
      </c>
    </row>
    <row r="230" spans="1:8" x14ac:dyDescent="0.3">
      <c r="A230" s="65" t="s">
        <v>1284</v>
      </c>
      <c r="B230" s="65" t="s">
        <v>1285</v>
      </c>
      <c r="C230" s="66" t="s">
        <v>1286</v>
      </c>
      <c r="D230" s="67" t="s">
        <v>165</v>
      </c>
      <c r="E230" s="66" t="s">
        <v>166</v>
      </c>
      <c r="F230" s="67" t="s">
        <v>1287</v>
      </c>
      <c r="G230" s="66" t="s">
        <v>1286</v>
      </c>
      <c r="H230" s="65" t="s">
        <v>1288</v>
      </c>
    </row>
    <row r="231" spans="1:8" x14ac:dyDescent="0.3">
      <c r="A231" s="65" t="s">
        <v>1289</v>
      </c>
      <c r="B231" s="65" t="s">
        <v>1290</v>
      </c>
      <c r="C231" s="66" t="s">
        <v>1291</v>
      </c>
      <c r="D231" s="67" t="s">
        <v>165</v>
      </c>
      <c r="E231" s="66" t="s">
        <v>166</v>
      </c>
      <c r="F231" s="67" t="s">
        <v>1292</v>
      </c>
      <c r="G231" s="66" t="s">
        <v>1291</v>
      </c>
      <c r="H231" s="65" t="s">
        <v>1293</v>
      </c>
    </row>
    <row r="232" spans="1:8" x14ac:dyDescent="0.3">
      <c r="A232" s="65" t="s">
        <v>1294</v>
      </c>
      <c r="B232" s="65" t="s">
        <v>1295</v>
      </c>
      <c r="C232" s="66" t="s">
        <v>1296</v>
      </c>
      <c r="D232" s="67" t="s">
        <v>165</v>
      </c>
      <c r="E232" s="66" t="s">
        <v>166</v>
      </c>
      <c r="F232" s="67" t="s">
        <v>1297</v>
      </c>
      <c r="G232" s="66" t="s">
        <v>1296</v>
      </c>
      <c r="H232" s="65" t="s">
        <v>1298</v>
      </c>
    </row>
    <row r="233" spans="1:8" x14ac:dyDescent="0.3">
      <c r="A233" s="65" t="s">
        <v>1299</v>
      </c>
      <c r="B233" s="65" t="s">
        <v>1300</v>
      </c>
      <c r="C233" s="66" t="s">
        <v>1301</v>
      </c>
      <c r="D233" s="67" t="s">
        <v>165</v>
      </c>
      <c r="E233" s="66" t="s">
        <v>166</v>
      </c>
      <c r="F233" s="67" t="s">
        <v>1302</v>
      </c>
      <c r="G233" s="66" t="s">
        <v>1301</v>
      </c>
      <c r="H233" s="65" t="s">
        <v>1303</v>
      </c>
    </row>
    <row r="234" spans="1:8" x14ac:dyDescent="0.3">
      <c r="A234" s="65" t="s">
        <v>1304</v>
      </c>
      <c r="B234" s="65" t="s">
        <v>1305</v>
      </c>
      <c r="C234" s="66" t="s">
        <v>1306</v>
      </c>
      <c r="D234" s="67" t="s">
        <v>165</v>
      </c>
      <c r="E234" s="66" t="s">
        <v>166</v>
      </c>
      <c r="F234" s="67" t="s">
        <v>1307</v>
      </c>
      <c r="G234" s="66" t="s">
        <v>1306</v>
      </c>
      <c r="H234" s="65" t="s">
        <v>1308</v>
      </c>
    </row>
    <row r="235" spans="1:8" x14ac:dyDescent="0.3">
      <c r="A235" s="65" t="s">
        <v>1309</v>
      </c>
      <c r="B235" s="65" t="s">
        <v>1310</v>
      </c>
      <c r="C235" s="66" t="s">
        <v>1311</v>
      </c>
      <c r="D235" s="67" t="s">
        <v>165</v>
      </c>
      <c r="E235" s="66" t="s">
        <v>166</v>
      </c>
      <c r="F235" s="67" t="s">
        <v>1312</v>
      </c>
      <c r="G235" s="66" t="s">
        <v>1311</v>
      </c>
      <c r="H235" s="65" t="s">
        <v>1313</v>
      </c>
    </row>
    <row r="236" spans="1:8" x14ac:dyDescent="0.3">
      <c r="A236" s="65" t="s">
        <v>1314</v>
      </c>
      <c r="B236" s="65" t="s">
        <v>1315</v>
      </c>
      <c r="C236" s="66" t="s">
        <v>1316</v>
      </c>
      <c r="D236" s="67" t="s">
        <v>165</v>
      </c>
      <c r="E236" s="66" t="s">
        <v>166</v>
      </c>
      <c r="F236" s="67" t="s">
        <v>1317</v>
      </c>
      <c r="G236" s="66" t="s">
        <v>1316</v>
      </c>
      <c r="H236" s="65" t="s">
        <v>1318</v>
      </c>
    </row>
    <row r="237" spans="1:8" x14ac:dyDescent="0.3">
      <c r="A237" s="65" t="s">
        <v>1319</v>
      </c>
      <c r="B237" s="65" t="s">
        <v>1320</v>
      </c>
      <c r="C237" s="66" t="s">
        <v>1321</v>
      </c>
      <c r="D237" s="67" t="s">
        <v>165</v>
      </c>
      <c r="E237" s="66" t="s">
        <v>166</v>
      </c>
      <c r="F237" s="67" t="s">
        <v>1322</v>
      </c>
      <c r="G237" s="66" t="s">
        <v>1321</v>
      </c>
      <c r="H237" s="65" t="s">
        <v>1323</v>
      </c>
    </row>
    <row r="238" spans="1:8" x14ac:dyDescent="0.3">
      <c r="A238" s="65" t="s">
        <v>1324</v>
      </c>
      <c r="B238" s="65" t="s">
        <v>1325</v>
      </c>
      <c r="C238" s="66" t="s">
        <v>1326</v>
      </c>
      <c r="D238" s="67" t="s">
        <v>320</v>
      </c>
      <c r="E238" s="66" t="s">
        <v>321</v>
      </c>
      <c r="F238" s="67" t="s">
        <v>1327</v>
      </c>
      <c r="G238" s="66" t="s">
        <v>1326</v>
      </c>
      <c r="H238" s="65" t="s">
        <v>1328</v>
      </c>
    </row>
    <row r="239" spans="1:8" x14ac:dyDescent="0.3">
      <c r="A239" s="65" t="s">
        <v>1329</v>
      </c>
      <c r="B239" s="65" t="s">
        <v>1330</v>
      </c>
      <c r="C239" s="66" t="s">
        <v>1331</v>
      </c>
      <c r="D239" s="67" t="s">
        <v>165</v>
      </c>
      <c r="E239" s="66" t="s">
        <v>166</v>
      </c>
      <c r="F239" s="67" t="s">
        <v>1332</v>
      </c>
      <c r="G239" s="66" t="s">
        <v>1331</v>
      </c>
      <c r="H239" s="65" t="s">
        <v>1333</v>
      </c>
    </row>
    <row r="240" spans="1:8" x14ac:dyDescent="0.3">
      <c r="A240" s="65" t="s">
        <v>1334</v>
      </c>
      <c r="B240" s="65" t="s">
        <v>1335</v>
      </c>
      <c r="C240" s="66" t="s">
        <v>1336</v>
      </c>
      <c r="D240" s="67" t="s">
        <v>165</v>
      </c>
      <c r="E240" s="66" t="s">
        <v>166</v>
      </c>
      <c r="F240" s="67" t="s">
        <v>1337</v>
      </c>
      <c r="G240" s="66" t="s">
        <v>1336</v>
      </c>
      <c r="H240" s="65" t="s">
        <v>1338</v>
      </c>
    </row>
    <row r="241" spans="1:8" x14ac:dyDescent="0.3">
      <c r="A241" s="65" t="s">
        <v>1339</v>
      </c>
      <c r="B241" s="65" t="s">
        <v>1340</v>
      </c>
      <c r="C241" s="66" t="s">
        <v>1341</v>
      </c>
      <c r="D241" s="67" t="s">
        <v>165</v>
      </c>
      <c r="E241" s="66" t="s">
        <v>166</v>
      </c>
      <c r="F241" s="67" t="s">
        <v>1342</v>
      </c>
      <c r="G241" s="66" t="s">
        <v>1341</v>
      </c>
      <c r="H241" s="65" t="s">
        <v>1343</v>
      </c>
    </row>
    <row r="242" spans="1:8" x14ac:dyDescent="0.3">
      <c r="A242" s="65" t="s">
        <v>1344</v>
      </c>
      <c r="B242" s="65" t="s">
        <v>1345</v>
      </c>
      <c r="C242" s="66" t="s">
        <v>1346</v>
      </c>
      <c r="D242" s="67" t="s">
        <v>165</v>
      </c>
      <c r="E242" s="66" t="s">
        <v>166</v>
      </c>
      <c r="F242" s="67" t="s">
        <v>1347</v>
      </c>
      <c r="G242" s="66" t="s">
        <v>1346</v>
      </c>
      <c r="H242" s="65" t="s">
        <v>1348</v>
      </c>
    </row>
    <row r="243" spans="1:8" x14ac:dyDescent="0.3">
      <c r="A243" s="65" t="s">
        <v>1349</v>
      </c>
      <c r="B243" s="65" t="s">
        <v>1350</v>
      </c>
      <c r="C243" s="66" t="s">
        <v>1351</v>
      </c>
      <c r="D243" s="67" t="s">
        <v>320</v>
      </c>
      <c r="E243" s="66" t="s">
        <v>321</v>
      </c>
      <c r="F243" s="67" t="s">
        <v>1352</v>
      </c>
      <c r="G243" s="66" t="s">
        <v>1351</v>
      </c>
      <c r="H243" s="65" t="s">
        <v>1353</v>
      </c>
    </row>
    <row r="244" spans="1:8" x14ac:dyDescent="0.3">
      <c r="A244" s="65" t="s">
        <v>1354</v>
      </c>
      <c r="B244" s="65" t="s">
        <v>1355</v>
      </c>
      <c r="C244" s="66" t="s">
        <v>1356</v>
      </c>
      <c r="D244" s="67" t="s">
        <v>165</v>
      </c>
      <c r="E244" s="66" t="s">
        <v>166</v>
      </c>
      <c r="F244" s="67" t="s">
        <v>1357</v>
      </c>
      <c r="G244" s="66" t="s">
        <v>1356</v>
      </c>
      <c r="H244" s="65" t="s">
        <v>1358</v>
      </c>
    </row>
    <row r="245" spans="1:8" x14ac:dyDescent="0.3">
      <c r="A245" s="65" t="s">
        <v>1359</v>
      </c>
      <c r="B245" s="65" t="s">
        <v>1360</v>
      </c>
      <c r="C245" s="66" t="s">
        <v>1361</v>
      </c>
      <c r="D245" s="67" t="s">
        <v>165</v>
      </c>
      <c r="E245" s="66" t="s">
        <v>166</v>
      </c>
      <c r="F245" s="67" t="s">
        <v>1362</v>
      </c>
      <c r="G245" s="66" t="s">
        <v>1361</v>
      </c>
      <c r="H245" s="65" t="s">
        <v>1363</v>
      </c>
    </row>
    <row r="246" spans="1:8" x14ac:dyDescent="0.3">
      <c r="A246" s="65" t="s">
        <v>1364</v>
      </c>
      <c r="B246" s="65" t="s">
        <v>1365</v>
      </c>
      <c r="C246" s="66" t="s">
        <v>1366</v>
      </c>
      <c r="D246" s="67" t="s">
        <v>165</v>
      </c>
      <c r="E246" s="66" t="s">
        <v>166</v>
      </c>
      <c r="F246" s="67" t="s">
        <v>1367</v>
      </c>
      <c r="G246" s="66" t="s">
        <v>1366</v>
      </c>
      <c r="H246" s="65" t="s">
        <v>1368</v>
      </c>
    </row>
    <row r="247" spans="1:8" x14ac:dyDescent="0.3">
      <c r="A247" s="65" t="s">
        <v>1369</v>
      </c>
      <c r="B247" s="65" t="s">
        <v>1370</v>
      </c>
      <c r="C247" s="66" t="s">
        <v>1371</v>
      </c>
      <c r="D247" s="67" t="s">
        <v>165</v>
      </c>
      <c r="E247" s="66" t="s">
        <v>166</v>
      </c>
      <c r="F247" s="67" t="s">
        <v>1372</v>
      </c>
      <c r="G247" s="66" t="s">
        <v>1371</v>
      </c>
      <c r="H247" s="65" t="s">
        <v>1373</v>
      </c>
    </row>
    <row r="248" spans="1:8" x14ac:dyDescent="0.3">
      <c r="A248" s="65" t="s">
        <v>1374</v>
      </c>
      <c r="B248" s="65" t="s">
        <v>1375</v>
      </c>
      <c r="C248" s="66" t="s">
        <v>1376</v>
      </c>
      <c r="D248" s="67" t="s">
        <v>165</v>
      </c>
      <c r="E248" s="66" t="s">
        <v>166</v>
      </c>
      <c r="F248" s="67" t="s">
        <v>1377</v>
      </c>
      <c r="G248" s="66" t="s">
        <v>1376</v>
      </c>
      <c r="H248" s="65" t="s">
        <v>1378</v>
      </c>
    </row>
    <row r="249" spans="1:8" x14ac:dyDescent="0.3">
      <c r="A249" s="65" t="s">
        <v>1379</v>
      </c>
      <c r="B249" s="65" t="s">
        <v>1380</v>
      </c>
      <c r="C249" s="66" t="s">
        <v>1381</v>
      </c>
      <c r="D249" s="67" t="s">
        <v>165</v>
      </c>
      <c r="E249" s="66" t="s">
        <v>166</v>
      </c>
      <c r="F249" s="67" t="s">
        <v>1382</v>
      </c>
      <c r="G249" s="66" t="s">
        <v>1381</v>
      </c>
      <c r="H249" s="65" t="s">
        <v>1383</v>
      </c>
    </row>
    <row r="250" spans="1:8" x14ac:dyDescent="0.3">
      <c r="A250" s="65" t="s">
        <v>1384</v>
      </c>
      <c r="B250" s="65" t="s">
        <v>1385</v>
      </c>
      <c r="C250" s="66" t="s">
        <v>1386</v>
      </c>
      <c r="D250" s="67" t="s">
        <v>165</v>
      </c>
      <c r="E250" s="66" t="s">
        <v>166</v>
      </c>
      <c r="F250" s="67" t="s">
        <v>1387</v>
      </c>
      <c r="G250" s="66" t="s">
        <v>1386</v>
      </c>
      <c r="H250" s="65" t="s">
        <v>1388</v>
      </c>
    </row>
    <row r="251" spans="1:8" x14ac:dyDescent="0.3">
      <c r="A251" s="65" t="s">
        <v>1389</v>
      </c>
      <c r="B251" s="65" t="s">
        <v>1390</v>
      </c>
      <c r="C251" s="66" t="s">
        <v>1391</v>
      </c>
      <c r="D251" s="67" t="s">
        <v>165</v>
      </c>
      <c r="E251" s="66" t="s">
        <v>166</v>
      </c>
      <c r="F251" s="67" t="s">
        <v>1392</v>
      </c>
      <c r="G251" s="66" t="s">
        <v>1391</v>
      </c>
      <c r="H251" s="65" t="s">
        <v>1393</v>
      </c>
    </row>
    <row r="252" spans="1:8" x14ac:dyDescent="0.3">
      <c r="A252" s="65" t="s">
        <v>1394</v>
      </c>
      <c r="B252" s="65" t="s">
        <v>1395</v>
      </c>
      <c r="C252" s="66" t="s">
        <v>1396</v>
      </c>
      <c r="D252" s="67" t="s">
        <v>165</v>
      </c>
      <c r="E252" s="66" t="s">
        <v>166</v>
      </c>
      <c r="F252" s="67" t="s">
        <v>1397</v>
      </c>
      <c r="G252" s="66" t="s">
        <v>1396</v>
      </c>
      <c r="H252" s="65" t="s">
        <v>1398</v>
      </c>
    </row>
    <row r="253" spans="1:8" x14ac:dyDescent="0.3">
      <c r="A253" s="65" t="s">
        <v>1399</v>
      </c>
      <c r="B253" s="65" t="s">
        <v>1400</v>
      </c>
      <c r="C253" s="66" t="s">
        <v>1401</v>
      </c>
      <c r="D253" s="67" t="s">
        <v>165</v>
      </c>
      <c r="E253" s="66" t="s">
        <v>166</v>
      </c>
      <c r="F253" s="67" t="s">
        <v>1402</v>
      </c>
      <c r="G253" s="66" t="s">
        <v>1401</v>
      </c>
      <c r="H253" s="65" t="s">
        <v>1403</v>
      </c>
    </row>
    <row r="254" spans="1:8" x14ac:dyDescent="0.3">
      <c r="A254" s="65" t="s">
        <v>1404</v>
      </c>
      <c r="B254" s="65" t="s">
        <v>1405</v>
      </c>
      <c r="C254" s="66" t="s">
        <v>1406</v>
      </c>
      <c r="D254" s="67" t="s">
        <v>165</v>
      </c>
      <c r="E254" s="66" t="s">
        <v>166</v>
      </c>
      <c r="F254" s="67" t="s">
        <v>1407</v>
      </c>
      <c r="G254" s="66" t="s">
        <v>1406</v>
      </c>
      <c r="H254" s="65" t="s">
        <v>1408</v>
      </c>
    </row>
    <row r="255" spans="1:8" x14ac:dyDescent="0.3">
      <c r="A255" s="65" t="s">
        <v>1409</v>
      </c>
      <c r="B255" s="65" t="s">
        <v>1410</v>
      </c>
      <c r="C255" s="66" t="s">
        <v>1411</v>
      </c>
      <c r="D255" s="67" t="s">
        <v>165</v>
      </c>
      <c r="E255" s="66" t="s">
        <v>166</v>
      </c>
      <c r="F255" s="67" t="s">
        <v>1412</v>
      </c>
      <c r="G255" s="66" t="s">
        <v>1411</v>
      </c>
      <c r="H255" s="65" t="s">
        <v>1413</v>
      </c>
    </row>
    <row r="256" spans="1:8" x14ac:dyDescent="0.3">
      <c r="A256" s="65" t="s">
        <v>1414</v>
      </c>
      <c r="B256" s="65" t="s">
        <v>1415</v>
      </c>
      <c r="C256" s="66" t="s">
        <v>1416</v>
      </c>
      <c r="D256" s="67" t="s">
        <v>165</v>
      </c>
      <c r="E256" s="66" t="s">
        <v>166</v>
      </c>
      <c r="F256" s="67" t="s">
        <v>1417</v>
      </c>
      <c r="G256" s="66" t="s">
        <v>1416</v>
      </c>
      <c r="H256" s="65" t="s">
        <v>1418</v>
      </c>
    </row>
    <row r="257" spans="1:8" x14ac:dyDescent="0.3">
      <c r="A257" s="65" t="s">
        <v>1419</v>
      </c>
      <c r="B257" s="65" t="s">
        <v>1420</v>
      </c>
      <c r="C257" s="66" t="s">
        <v>1421</v>
      </c>
      <c r="D257" s="67" t="s">
        <v>165</v>
      </c>
      <c r="E257" s="66" t="s">
        <v>166</v>
      </c>
      <c r="F257" s="67" t="s">
        <v>1422</v>
      </c>
      <c r="G257" s="66" t="s">
        <v>1421</v>
      </c>
      <c r="H257" s="65" t="s">
        <v>1423</v>
      </c>
    </row>
    <row r="258" spans="1:8" x14ac:dyDescent="0.3">
      <c r="A258" s="65" t="s">
        <v>1424</v>
      </c>
      <c r="B258" s="65" t="s">
        <v>1425</v>
      </c>
      <c r="C258" s="66" t="s">
        <v>1426</v>
      </c>
      <c r="D258" s="67" t="s">
        <v>165</v>
      </c>
      <c r="E258" s="66" t="s">
        <v>166</v>
      </c>
      <c r="F258" s="67" t="s">
        <v>1427</v>
      </c>
      <c r="G258" s="66" t="s">
        <v>1426</v>
      </c>
      <c r="H258" s="65" t="s">
        <v>1428</v>
      </c>
    </row>
    <row r="259" spans="1:8" x14ac:dyDescent="0.3">
      <c r="A259" s="65" t="s">
        <v>1429</v>
      </c>
      <c r="B259" s="65" t="s">
        <v>1430</v>
      </c>
      <c r="C259" s="66" t="s">
        <v>1431</v>
      </c>
      <c r="D259" s="67" t="s">
        <v>1432</v>
      </c>
      <c r="E259" s="66" t="s">
        <v>1433</v>
      </c>
      <c r="F259" s="67" t="s">
        <v>1434</v>
      </c>
      <c r="G259" s="66" t="s">
        <v>1431</v>
      </c>
      <c r="H259" s="65" t="s">
        <v>1435</v>
      </c>
    </row>
    <row r="260" spans="1:8" x14ac:dyDescent="0.3">
      <c r="A260" s="65" t="s">
        <v>1436</v>
      </c>
      <c r="B260" s="65" t="s">
        <v>1437</v>
      </c>
      <c r="C260" s="66" t="s">
        <v>1438</v>
      </c>
      <c r="D260" s="67" t="s">
        <v>165</v>
      </c>
      <c r="E260" s="66" t="s">
        <v>166</v>
      </c>
      <c r="F260" s="67" t="s">
        <v>1439</v>
      </c>
      <c r="G260" s="66" t="s">
        <v>1438</v>
      </c>
      <c r="H260" s="65" t="s">
        <v>1440</v>
      </c>
    </row>
    <row r="261" spans="1:8" x14ac:dyDescent="0.3">
      <c r="A261" s="65" t="s">
        <v>1441</v>
      </c>
      <c r="B261" s="65" t="s">
        <v>1442</v>
      </c>
      <c r="C261" s="66" t="s">
        <v>1443</v>
      </c>
      <c r="D261" s="67" t="s">
        <v>212</v>
      </c>
      <c r="E261" s="66" t="s">
        <v>213</v>
      </c>
      <c r="F261" s="67" t="s">
        <v>1444</v>
      </c>
      <c r="G261" s="66" t="s">
        <v>1443</v>
      </c>
      <c r="H261" s="65" t="s">
        <v>1445</v>
      </c>
    </row>
    <row r="262" spans="1:8" x14ac:dyDescent="0.3">
      <c r="A262" s="65" t="s">
        <v>1446</v>
      </c>
      <c r="B262" s="65" t="s">
        <v>1447</v>
      </c>
      <c r="C262" s="66" t="s">
        <v>1448</v>
      </c>
      <c r="D262" s="67" t="s">
        <v>165</v>
      </c>
      <c r="E262" s="66" t="s">
        <v>166</v>
      </c>
      <c r="F262" s="67" t="s">
        <v>1449</v>
      </c>
      <c r="G262" s="66" t="s">
        <v>1448</v>
      </c>
      <c r="H262" s="65" t="s">
        <v>1450</v>
      </c>
    </row>
    <row r="263" spans="1:8" x14ac:dyDescent="0.3">
      <c r="A263" s="65" t="s">
        <v>1451</v>
      </c>
      <c r="B263" s="65" t="s">
        <v>1452</v>
      </c>
      <c r="C263" s="66" t="s">
        <v>1453</v>
      </c>
      <c r="D263" s="67" t="s">
        <v>165</v>
      </c>
      <c r="E263" s="66" t="s">
        <v>166</v>
      </c>
      <c r="F263" s="67" t="s">
        <v>1454</v>
      </c>
      <c r="G263" s="66" t="s">
        <v>1453</v>
      </c>
      <c r="H263" s="65" t="s">
        <v>1455</v>
      </c>
    </row>
    <row r="264" spans="1:8" x14ac:dyDescent="0.3">
      <c r="A264" s="65" t="s">
        <v>1456</v>
      </c>
      <c r="B264" s="65" t="s">
        <v>1457</v>
      </c>
      <c r="C264" s="66" t="s">
        <v>1458</v>
      </c>
      <c r="D264" s="67" t="s">
        <v>165</v>
      </c>
      <c r="E264" s="66" t="s">
        <v>166</v>
      </c>
      <c r="F264" s="67" t="s">
        <v>1459</v>
      </c>
      <c r="G264" s="66" t="s">
        <v>1458</v>
      </c>
      <c r="H264" s="65" t="s">
        <v>1460</v>
      </c>
    </row>
    <row r="265" spans="1:8" x14ac:dyDescent="0.3">
      <c r="A265" s="65" t="s">
        <v>1461</v>
      </c>
      <c r="B265" s="65" t="s">
        <v>1462</v>
      </c>
      <c r="C265" s="66" t="s">
        <v>1463</v>
      </c>
      <c r="D265" s="67" t="s">
        <v>165</v>
      </c>
      <c r="E265" s="66" t="s">
        <v>166</v>
      </c>
      <c r="F265" s="67" t="s">
        <v>1464</v>
      </c>
      <c r="G265" s="66" t="s">
        <v>1463</v>
      </c>
      <c r="H265" s="65" t="s">
        <v>1465</v>
      </c>
    </row>
    <row r="266" spans="1:8" x14ac:dyDescent="0.3">
      <c r="A266" s="65" t="s">
        <v>1466</v>
      </c>
      <c r="B266" s="65" t="s">
        <v>1467</v>
      </c>
      <c r="C266" s="66" t="s">
        <v>1468</v>
      </c>
      <c r="D266" s="67" t="s">
        <v>165</v>
      </c>
      <c r="E266" s="66" t="s">
        <v>166</v>
      </c>
      <c r="F266" s="67" t="s">
        <v>1469</v>
      </c>
      <c r="G266" s="66" t="s">
        <v>1468</v>
      </c>
      <c r="H266" s="65" t="s">
        <v>1470</v>
      </c>
    </row>
    <row r="267" spans="1:8" x14ac:dyDescent="0.3">
      <c r="A267" s="65" t="s">
        <v>1471</v>
      </c>
      <c r="B267" s="65" t="s">
        <v>1472</v>
      </c>
      <c r="C267" s="66" t="s">
        <v>1473</v>
      </c>
      <c r="D267" s="67" t="s">
        <v>165</v>
      </c>
      <c r="E267" s="66" t="s">
        <v>166</v>
      </c>
      <c r="F267" s="67" t="s">
        <v>1474</v>
      </c>
      <c r="G267" s="66" t="s">
        <v>1473</v>
      </c>
      <c r="H267" s="65" t="s">
        <v>1475</v>
      </c>
    </row>
    <row r="268" spans="1:8" x14ac:dyDescent="0.3">
      <c r="A268" s="65" t="s">
        <v>1476</v>
      </c>
      <c r="B268" s="65" t="s">
        <v>1477</v>
      </c>
      <c r="C268" s="66" t="s">
        <v>1478</v>
      </c>
      <c r="D268" s="67" t="s">
        <v>241</v>
      </c>
      <c r="E268" s="66" t="s">
        <v>242</v>
      </c>
      <c r="F268" s="67" t="s">
        <v>1479</v>
      </c>
      <c r="G268" s="66" t="s">
        <v>1478</v>
      </c>
      <c r="H268" s="65" t="s">
        <v>1480</v>
      </c>
    </row>
    <row r="269" spans="1:8" x14ac:dyDescent="0.3">
      <c r="A269" s="65" t="s">
        <v>1481</v>
      </c>
      <c r="B269" s="65" t="s">
        <v>1482</v>
      </c>
      <c r="C269" s="66" t="s">
        <v>1483</v>
      </c>
      <c r="D269" s="67" t="s">
        <v>165</v>
      </c>
      <c r="E269" s="66" t="s">
        <v>166</v>
      </c>
      <c r="F269" s="67" t="s">
        <v>1484</v>
      </c>
      <c r="G269" s="66" t="s">
        <v>1483</v>
      </c>
      <c r="H269" s="65" t="s">
        <v>1485</v>
      </c>
    </row>
    <row r="270" spans="1:8" x14ac:dyDescent="0.3">
      <c r="A270" s="65" t="s">
        <v>1486</v>
      </c>
      <c r="B270" s="65" t="s">
        <v>1487</v>
      </c>
      <c r="C270" s="66" t="s">
        <v>1488</v>
      </c>
      <c r="D270" s="67" t="s">
        <v>219</v>
      </c>
      <c r="E270" s="66" t="s">
        <v>220</v>
      </c>
      <c r="F270" s="67" t="s">
        <v>1489</v>
      </c>
      <c r="G270" s="66" t="s">
        <v>1488</v>
      </c>
      <c r="H270" s="65" t="s">
        <v>1490</v>
      </c>
    </row>
    <row r="271" spans="1:8" x14ac:dyDescent="0.3">
      <c r="A271" s="65" t="s">
        <v>1491</v>
      </c>
      <c r="B271" s="65" t="s">
        <v>1492</v>
      </c>
      <c r="C271" s="66" t="s">
        <v>1493</v>
      </c>
      <c r="D271" s="67" t="s">
        <v>165</v>
      </c>
      <c r="E271" s="66" t="s">
        <v>166</v>
      </c>
      <c r="F271" s="67" t="s">
        <v>1494</v>
      </c>
      <c r="G271" s="66" t="s">
        <v>1493</v>
      </c>
      <c r="H271" s="65" t="s">
        <v>1495</v>
      </c>
    </row>
    <row r="272" spans="1:8" x14ac:dyDescent="0.3">
      <c r="A272" s="65" t="s">
        <v>1496</v>
      </c>
      <c r="B272" s="65" t="s">
        <v>1497</v>
      </c>
      <c r="C272" s="66" t="s">
        <v>1498</v>
      </c>
      <c r="D272" s="67" t="s">
        <v>165</v>
      </c>
      <c r="E272" s="66" t="s">
        <v>166</v>
      </c>
      <c r="F272" s="67" t="s">
        <v>1499</v>
      </c>
      <c r="G272" s="66" t="s">
        <v>1498</v>
      </c>
      <c r="H272" s="65" t="s">
        <v>1500</v>
      </c>
    </row>
    <row r="273" spans="1:8" x14ac:dyDescent="0.3">
      <c r="A273" s="65" t="s">
        <v>1501</v>
      </c>
      <c r="B273" s="65" t="s">
        <v>1502</v>
      </c>
      <c r="C273" s="66" t="s">
        <v>1503</v>
      </c>
      <c r="D273" s="67" t="s">
        <v>165</v>
      </c>
      <c r="E273" s="66" t="s">
        <v>166</v>
      </c>
      <c r="F273" s="67" t="s">
        <v>1504</v>
      </c>
      <c r="G273" s="66" t="s">
        <v>1503</v>
      </c>
      <c r="H273" s="65" t="s">
        <v>1505</v>
      </c>
    </row>
    <row r="274" spans="1:8" x14ac:dyDescent="0.3">
      <c r="A274" s="65" t="s">
        <v>1506</v>
      </c>
      <c r="B274" s="65" t="s">
        <v>1507</v>
      </c>
      <c r="C274" s="66" t="s">
        <v>1508</v>
      </c>
      <c r="D274" s="67" t="s">
        <v>165</v>
      </c>
      <c r="E274" s="66" t="s">
        <v>166</v>
      </c>
      <c r="F274" s="67" t="s">
        <v>1509</v>
      </c>
      <c r="G274" s="66" t="s">
        <v>1508</v>
      </c>
      <c r="H274" s="65" t="s">
        <v>1510</v>
      </c>
    </row>
    <row r="275" spans="1:8" x14ac:dyDescent="0.3">
      <c r="A275" s="65" t="s">
        <v>1511</v>
      </c>
      <c r="B275" s="65" t="s">
        <v>1512</v>
      </c>
      <c r="C275" s="66" t="s">
        <v>1513</v>
      </c>
      <c r="D275" s="67" t="s">
        <v>165</v>
      </c>
      <c r="E275" s="66" t="s">
        <v>166</v>
      </c>
      <c r="F275" s="67" t="s">
        <v>1514</v>
      </c>
      <c r="G275" s="66" t="s">
        <v>1513</v>
      </c>
      <c r="H275" s="65" t="s">
        <v>1515</v>
      </c>
    </row>
    <row r="276" spans="1:8" x14ac:dyDescent="0.3">
      <c r="A276" s="65" t="s">
        <v>1516</v>
      </c>
      <c r="B276" s="65" t="s">
        <v>1517</v>
      </c>
      <c r="C276" s="66" t="s">
        <v>1518</v>
      </c>
      <c r="D276" s="67" t="s">
        <v>212</v>
      </c>
      <c r="E276" s="66" t="s">
        <v>213</v>
      </c>
      <c r="F276" s="67" t="s">
        <v>1519</v>
      </c>
      <c r="G276" s="66" t="s">
        <v>1518</v>
      </c>
      <c r="H276" s="65" t="s">
        <v>1520</v>
      </c>
    </row>
    <row r="277" spans="1:8" x14ac:dyDescent="0.3">
      <c r="A277" s="65" t="s">
        <v>1521</v>
      </c>
      <c r="B277" s="65" t="s">
        <v>1522</v>
      </c>
      <c r="C277" s="66" t="s">
        <v>1523</v>
      </c>
      <c r="D277" s="67" t="s">
        <v>165</v>
      </c>
      <c r="E277" s="66" t="s">
        <v>166</v>
      </c>
      <c r="F277" s="67" t="s">
        <v>1524</v>
      </c>
      <c r="G277" s="66" t="s">
        <v>1523</v>
      </c>
      <c r="H277" s="65" t="s">
        <v>1525</v>
      </c>
    </row>
    <row r="278" spans="1:8" x14ac:dyDescent="0.3">
      <c r="A278" s="65" t="s">
        <v>1526</v>
      </c>
      <c r="B278" s="65" t="s">
        <v>1527</v>
      </c>
      <c r="C278" s="66" t="s">
        <v>1528</v>
      </c>
      <c r="D278" s="67" t="s">
        <v>860</v>
      </c>
      <c r="E278" s="66" t="s">
        <v>861</v>
      </c>
      <c r="F278" s="67" t="s">
        <v>1529</v>
      </c>
      <c r="G278" s="66" t="s">
        <v>1528</v>
      </c>
      <c r="H278" s="65" t="s">
        <v>1530</v>
      </c>
    </row>
    <row r="279" spans="1:8" x14ac:dyDescent="0.3">
      <c r="A279" s="65" t="s">
        <v>1531</v>
      </c>
      <c r="B279" s="65" t="s">
        <v>1532</v>
      </c>
      <c r="C279" s="66" t="s">
        <v>1533</v>
      </c>
      <c r="D279" s="67" t="s">
        <v>860</v>
      </c>
      <c r="E279" s="66" t="s">
        <v>861</v>
      </c>
      <c r="F279" s="67" t="s">
        <v>1534</v>
      </c>
      <c r="G279" s="66" t="s">
        <v>1533</v>
      </c>
      <c r="H279" s="65" t="s">
        <v>1535</v>
      </c>
    </row>
    <row r="280" spans="1:8" x14ac:dyDescent="0.3">
      <c r="A280" s="65" t="s">
        <v>1536</v>
      </c>
      <c r="B280" s="65" t="s">
        <v>1537</v>
      </c>
      <c r="C280" s="66" t="s">
        <v>1538</v>
      </c>
      <c r="D280" s="67" t="s">
        <v>165</v>
      </c>
      <c r="E280" s="66" t="s">
        <v>166</v>
      </c>
      <c r="F280" s="67" t="s">
        <v>1539</v>
      </c>
      <c r="G280" s="66" t="s">
        <v>1538</v>
      </c>
      <c r="H280" s="65" t="s">
        <v>1540</v>
      </c>
    </row>
    <row r="281" spans="1:8" x14ac:dyDescent="0.3">
      <c r="A281" s="65" t="s">
        <v>1541</v>
      </c>
      <c r="B281" s="65" t="s">
        <v>1542</v>
      </c>
      <c r="C281" s="66" t="s">
        <v>1543</v>
      </c>
      <c r="D281" s="67" t="s">
        <v>860</v>
      </c>
      <c r="E281" s="66" t="s">
        <v>861</v>
      </c>
      <c r="F281" s="67" t="s">
        <v>1544</v>
      </c>
      <c r="G281" s="66" t="s">
        <v>1543</v>
      </c>
      <c r="H281" s="65" t="s">
        <v>1545</v>
      </c>
    </row>
    <row r="282" spans="1:8" x14ac:dyDescent="0.3">
      <c r="A282" s="65" t="s">
        <v>1546</v>
      </c>
      <c r="B282" s="65" t="s">
        <v>1547</v>
      </c>
      <c r="C282" s="66" t="s">
        <v>1548</v>
      </c>
      <c r="D282" s="67" t="s">
        <v>860</v>
      </c>
      <c r="E282" s="66" t="s">
        <v>861</v>
      </c>
      <c r="F282" s="67" t="s">
        <v>1549</v>
      </c>
      <c r="G282" s="66" t="s">
        <v>1548</v>
      </c>
      <c r="H282" s="65" t="s">
        <v>1550</v>
      </c>
    </row>
    <row r="283" spans="1:8" x14ac:dyDescent="0.3">
      <c r="A283" s="65" t="s">
        <v>1551</v>
      </c>
      <c r="B283" s="65" t="s">
        <v>1552</v>
      </c>
      <c r="C283" s="66" t="s">
        <v>1553</v>
      </c>
      <c r="D283" s="67" t="s">
        <v>165</v>
      </c>
      <c r="E283" s="66" t="s">
        <v>166</v>
      </c>
      <c r="F283" s="67" t="s">
        <v>1554</v>
      </c>
      <c r="G283" s="66" t="s">
        <v>1553</v>
      </c>
      <c r="H283" s="65" t="s">
        <v>1555</v>
      </c>
    </row>
    <row r="284" spans="1:8" x14ac:dyDescent="0.3">
      <c r="A284" s="65" t="s">
        <v>1556</v>
      </c>
      <c r="B284" s="65" t="s">
        <v>1557</v>
      </c>
      <c r="C284" s="66" t="s">
        <v>1558</v>
      </c>
      <c r="D284" s="67" t="s">
        <v>165</v>
      </c>
      <c r="E284" s="66" t="s">
        <v>166</v>
      </c>
      <c r="F284" s="67" t="s">
        <v>1559</v>
      </c>
      <c r="G284" s="66" t="s">
        <v>1558</v>
      </c>
      <c r="H284" s="65" t="s">
        <v>1560</v>
      </c>
    </row>
    <row r="285" spans="1:8" x14ac:dyDescent="0.3">
      <c r="A285" s="65" t="s">
        <v>1561</v>
      </c>
      <c r="B285" s="65" t="s">
        <v>1562</v>
      </c>
      <c r="C285" s="66" t="s">
        <v>1563</v>
      </c>
      <c r="D285" s="67" t="s">
        <v>165</v>
      </c>
      <c r="E285" s="66" t="s">
        <v>166</v>
      </c>
      <c r="F285" s="67" t="s">
        <v>1564</v>
      </c>
      <c r="G285" s="66" t="s">
        <v>1563</v>
      </c>
      <c r="H285" s="65" t="s">
        <v>1565</v>
      </c>
    </row>
    <row r="286" spans="1:8" x14ac:dyDescent="0.3">
      <c r="A286" s="65" t="s">
        <v>1566</v>
      </c>
      <c r="B286" s="65" t="s">
        <v>1567</v>
      </c>
      <c r="C286" s="66" t="s">
        <v>1568</v>
      </c>
      <c r="D286" s="67" t="s">
        <v>165</v>
      </c>
      <c r="E286" s="66" t="s">
        <v>166</v>
      </c>
      <c r="F286" s="67" t="s">
        <v>1569</v>
      </c>
      <c r="G286" s="66" t="s">
        <v>1568</v>
      </c>
      <c r="H286" s="65" t="s">
        <v>1570</v>
      </c>
    </row>
    <row r="287" spans="1:8" x14ac:dyDescent="0.3">
      <c r="A287" s="65" t="s">
        <v>1571</v>
      </c>
      <c r="B287" s="65" t="s">
        <v>1572</v>
      </c>
      <c r="C287" s="66" t="s">
        <v>1573</v>
      </c>
      <c r="D287" s="67" t="s">
        <v>165</v>
      </c>
      <c r="E287" s="66" t="s">
        <v>166</v>
      </c>
      <c r="F287" s="67" t="s">
        <v>1574</v>
      </c>
      <c r="G287" s="66" t="s">
        <v>1573</v>
      </c>
      <c r="H287" s="65" t="s">
        <v>1575</v>
      </c>
    </row>
    <row r="288" spans="1:8" x14ac:dyDescent="0.3">
      <c r="A288" s="65" t="s">
        <v>1576</v>
      </c>
      <c r="B288" s="65" t="s">
        <v>1577</v>
      </c>
      <c r="C288" s="66" t="s">
        <v>1578</v>
      </c>
      <c r="D288" s="67" t="s">
        <v>165</v>
      </c>
      <c r="E288" s="66" t="s">
        <v>166</v>
      </c>
      <c r="F288" s="67" t="s">
        <v>1579</v>
      </c>
      <c r="G288" s="66" t="s">
        <v>1578</v>
      </c>
      <c r="H288" s="65" t="s">
        <v>1580</v>
      </c>
    </row>
    <row r="289" spans="1:8" x14ac:dyDescent="0.3">
      <c r="A289" s="65" t="s">
        <v>1581</v>
      </c>
      <c r="B289" s="65" t="s">
        <v>1582</v>
      </c>
      <c r="C289" s="66" t="s">
        <v>1583</v>
      </c>
      <c r="D289" s="67" t="s">
        <v>165</v>
      </c>
      <c r="E289" s="66" t="s">
        <v>166</v>
      </c>
      <c r="F289" s="67" t="s">
        <v>1584</v>
      </c>
      <c r="G289" s="66" t="s">
        <v>1583</v>
      </c>
      <c r="H289" s="65" t="s">
        <v>1585</v>
      </c>
    </row>
    <row r="290" spans="1:8" x14ac:dyDescent="0.3">
      <c r="A290" s="65" t="s">
        <v>1586</v>
      </c>
      <c r="B290" s="65" t="s">
        <v>1587</v>
      </c>
      <c r="C290" s="66" t="s">
        <v>1588</v>
      </c>
      <c r="D290" s="67" t="s">
        <v>320</v>
      </c>
      <c r="E290" s="66" t="s">
        <v>321</v>
      </c>
      <c r="F290" s="67" t="s">
        <v>1589</v>
      </c>
      <c r="G290" s="66" t="s">
        <v>1588</v>
      </c>
      <c r="H290" s="65" t="s">
        <v>1590</v>
      </c>
    </row>
    <row r="291" spans="1:8" x14ac:dyDescent="0.3">
      <c r="A291" s="65" t="s">
        <v>1591</v>
      </c>
      <c r="B291" s="65" t="s">
        <v>1592</v>
      </c>
      <c r="C291" s="66" t="s">
        <v>1593</v>
      </c>
      <c r="D291" s="67" t="s">
        <v>212</v>
      </c>
      <c r="E291" s="66" t="s">
        <v>213</v>
      </c>
      <c r="F291" s="67" t="s">
        <v>1594</v>
      </c>
      <c r="G291" s="66" t="s">
        <v>1593</v>
      </c>
      <c r="H291" s="65" t="s">
        <v>1595</v>
      </c>
    </row>
    <row r="292" spans="1:8" x14ac:dyDescent="0.3">
      <c r="A292" s="65" t="s">
        <v>1596</v>
      </c>
      <c r="B292" s="65" t="s">
        <v>1597</v>
      </c>
      <c r="C292" s="66" t="s">
        <v>1598</v>
      </c>
      <c r="D292" s="67" t="s">
        <v>165</v>
      </c>
      <c r="E292" s="66" t="s">
        <v>166</v>
      </c>
      <c r="F292" s="67" t="s">
        <v>1599</v>
      </c>
      <c r="G292" s="66" t="s">
        <v>1598</v>
      </c>
      <c r="H292" s="65" t="s">
        <v>1600</v>
      </c>
    </row>
    <row r="293" spans="1:8" x14ac:dyDescent="0.3">
      <c r="A293" s="65" t="s">
        <v>1601</v>
      </c>
      <c r="B293" s="65" t="s">
        <v>1602</v>
      </c>
      <c r="C293" s="66" t="s">
        <v>1603</v>
      </c>
      <c r="D293" s="67" t="s">
        <v>165</v>
      </c>
      <c r="E293" s="66" t="s">
        <v>166</v>
      </c>
      <c r="F293" s="67" t="s">
        <v>1604</v>
      </c>
      <c r="G293" s="66" t="s">
        <v>1603</v>
      </c>
      <c r="H293" s="65" t="s">
        <v>1605</v>
      </c>
    </row>
    <row r="294" spans="1:8" x14ac:dyDescent="0.3">
      <c r="A294" s="65" t="s">
        <v>1606</v>
      </c>
      <c r="B294" s="65" t="s">
        <v>1607</v>
      </c>
      <c r="C294" s="66" t="s">
        <v>1608</v>
      </c>
      <c r="D294" s="67" t="s">
        <v>165</v>
      </c>
      <c r="E294" s="66" t="s">
        <v>166</v>
      </c>
      <c r="F294" s="67" t="s">
        <v>1609</v>
      </c>
      <c r="G294" s="66" t="s">
        <v>1608</v>
      </c>
      <c r="H294" s="65" t="s">
        <v>1610</v>
      </c>
    </row>
    <row r="295" spans="1:8" x14ac:dyDescent="0.3">
      <c r="A295" s="65" t="s">
        <v>1611</v>
      </c>
      <c r="B295" s="65" t="s">
        <v>1612</v>
      </c>
      <c r="C295" s="66" t="s">
        <v>1613</v>
      </c>
      <c r="D295" s="67" t="s">
        <v>241</v>
      </c>
      <c r="E295" s="66" t="s">
        <v>242</v>
      </c>
      <c r="F295" s="67" t="s">
        <v>1614</v>
      </c>
      <c r="G295" s="66" t="s">
        <v>1613</v>
      </c>
      <c r="H295" s="65" t="s">
        <v>1615</v>
      </c>
    </row>
    <row r="296" spans="1:8" x14ac:dyDescent="0.3">
      <c r="A296" s="65" t="s">
        <v>1616</v>
      </c>
      <c r="B296" s="65" t="s">
        <v>1617</v>
      </c>
      <c r="C296" s="66" t="s">
        <v>1618</v>
      </c>
      <c r="D296" s="67" t="s">
        <v>165</v>
      </c>
      <c r="E296" s="66" t="s">
        <v>166</v>
      </c>
      <c r="F296" s="67" t="s">
        <v>1619</v>
      </c>
      <c r="G296" s="66" t="s">
        <v>1618</v>
      </c>
      <c r="H296" s="65" t="s">
        <v>1620</v>
      </c>
    </row>
    <row r="297" spans="1:8" x14ac:dyDescent="0.3">
      <c r="A297" s="65" t="s">
        <v>1621</v>
      </c>
      <c r="B297" s="65" t="s">
        <v>1622</v>
      </c>
      <c r="C297" s="66" t="s">
        <v>1623</v>
      </c>
      <c r="D297" s="67" t="s">
        <v>165</v>
      </c>
      <c r="E297" s="66" t="s">
        <v>166</v>
      </c>
      <c r="F297" s="67" t="s">
        <v>1624</v>
      </c>
      <c r="G297" s="66" t="s">
        <v>1623</v>
      </c>
      <c r="H297" s="65" t="s">
        <v>1625</v>
      </c>
    </row>
    <row r="298" spans="1:8" x14ac:dyDescent="0.3">
      <c r="A298" s="65" t="s">
        <v>1626</v>
      </c>
      <c r="B298" s="65" t="s">
        <v>1627</v>
      </c>
      <c r="C298" s="66" t="s">
        <v>1628</v>
      </c>
      <c r="D298" s="67" t="s">
        <v>165</v>
      </c>
      <c r="E298" s="66" t="s">
        <v>166</v>
      </c>
      <c r="F298" s="67" t="s">
        <v>1629</v>
      </c>
      <c r="G298" s="66" t="s">
        <v>1628</v>
      </c>
      <c r="H298" s="65" t="s">
        <v>1630</v>
      </c>
    </row>
    <row r="299" spans="1:8" x14ac:dyDescent="0.3">
      <c r="A299" s="65" t="s">
        <v>1631</v>
      </c>
      <c r="B299" s="65" t="s">
        <v>1632</v>
      </c>
      <c r="C299" s="66" t="s">
        <v>1633</v>
      </c>
      <c r="D299" s="67" t="s">
        <v>165</v>
      </c>
      <c r="E299" s="66" t="s">
        <v>166</v>
      </c>
      <c r="F299" s="67" t="s">
        <v>1634</v>
      </c>
      <c r="G299" s="66" t="s">
        <v>1633</v>
      </c>
      <c r="H299" s="65" t="s">
        <v>1635</v>
      </c>
    </row>
    <row r="300" spans="1:8" x14ac:dyDescent="0.3">
      <c r="A300" s="65" t="s">
        <v>1636</v>
      </c>
      <c r="B300" s="65" t="s">
        <v>1637</v>
      </c>
      <c r="C300" s="66" t="s">
        <v>1638</v>
      </c>
      <c r="D300" s="67" t="s">
        <v>165</v>
      </c>
      <c r="E300" s="66" t="s">
        <v>166</v>
      </c>
      <c r="F300" s="67" t="s">
        <v>1639</v>
      </c>
      <c r="G300" s="66" t="s">
        <v>1638</v>
      </c>
      <c r="H300" s="65" t="s">
        <v>1640</v>
      </c>
    </row>
    <row r="301" spans="1:8" x14ac:dyDescent="0.3">
      <c r="A301" s="65" t="s">
        <v>1641</v>
      </c>
      <c r="B301" s="65" t="s">
        <v>1642</v>
      </c>
      <c r="C301" s="66" t="s">
        <v>1643</v>
      </c>
      <c r="D301" s="67" t="s">
        <v>165</v>
      </c>
      <c r="E301" s="66" t="s">
        <v>166</v>
      </c>
      <c r="F301" s="67" t="s">
        <v>1644</v>
      </c>
      <c r="G301" s="66" t="s">
        <v>1643</v>
      </c>
      <c r="H301" s="65" t="s">
        <v>1645</v>
      </c>
    </row>
    <row r="302" spans="1:8" x14ac:dyDescent="0.3">
      <c r="A302" s="65" t="s">
        <v>1646</v>
      </c>
      <c r="B302" s="65" t="s">
        <v>1647</v>
      </c>
      <c r="C302" s="66" t="s">
        <v>1648</v>
      </c>
      <c r="D302" s="67" t="s">
        <v>1432</v>
      </c>
      <c r="E302" s="66" t="s">
        <v>1433</v>
      </c>
      <c r="F302" s="67" t="s">
        <v>1649</v>
      </c>
      <c r="G302" s="66" t="s">
        <v>1648</v>
      </c>
      <c r="H302" s="65" t="s">
        <v>1650</v>
      </c>
    </row>
    <row r="303" spans="1:8" x14ac:dyDescent="0.3">
      <c r="A303" s="65" t="s">
        <v>1651</v>
      </c>
      <c r="B303" s="65" t="s">
        <v>1652</v>
      </c>
      <c r="C303" s="66" t="s">
        <v>1653</v>
      </c>
      <c r="D303" s="67" t="s">
        <v>165</v>
      </c>
      <c r="E303" s="66" t="s">
        <v>166</v>
      </c>
      <c r="F303" s="67" t="s">
        <v>1654</v>
      </c>
      <c r="G303" s="66" t="s">
        <v>1653</v>
      </c>
      <c r="H303" s="65" t="s">
        <v>1655</v>
      </c>
    </row>
    <row r="304" spans="1:8" x14ac:dyDescent="0.3">
      <c r="A304" s="65" t="s">
        <v>1656</v>
      </c>
      <c r="B304" s="65" t="s">
        <v>1657</v>
      </c>
      <c r="C304" s="66" t="s">
        <v>1658</v>
      </c>
      <c r="D304" s="67" t="s">
        <v>241</v>
      </c>
      <c r="E304" s="66" t="s">
        <v>242</v>
      </c>
      <c r="F304" s="67" t="s">
        <v>1659</v>
      </c>
      <c r="G304" s="66" t="s">
        <v>1658</v>
      </c>
      <c r="H304" s="65" t="s">
        <v>1660</v>
      </c>
    </row>
    <row r="305" spans="1:8" x14ac:dyDescent="0.3">
      <c r="A305" s="65" t="s">
        <v>1661</v>
      </c>
      <c r="B305" s="65" t="s">
        <v>1662</v>
      </c>
      <c r="C305" s="66" t="s">
        <v>1663</v>
      </c>
      <c r="D305" s="67" t="s">
        <v>165</v>
      </c>
      <c r="E305" s="66" t="s">
        <v>166</v>
      </c>
      <c r="F305" s="67" t="s">
        <v>1664</v>
      </c>
      <c r="G305" s="66" t="s">
        <v>1663</v>
      </c>
      <c r="H305" s="65" t="s">
        <v>1665</v>
      </c>
    </row>
    <row r="306" spans="1:8" x14ac:dyDescent="0.3">
      <c r="A306" s="65" t="s">
        <v>1666</v>
      </c>
      <c r="B306" s="65" t="s">
        <v>1667</v>
      </c>
      <c r="C306" s="66" t="s">
        <v>1668</v>
      </c>
      <c r="D306" s="67" t="s">
        <v>165</v>
      </c>
      <c r="E306" s="66" t="s">
        <v>166</v>
      </c>
      <c r="F306" s="67" t="s">
        <v>1669</v>
      </c>
      <c r="G306" s="66" t="s">
        <v>1668</v>
      </c>
      <c r="H306" s="65" t="s">
        <v>1670</v>
      </c>
    </row>
    <row r="307" spans="1:8" x14ac:dyDescent="0.3">
      <c r="A307" s="65" t="s">
        <v>1671</v>
      </c>
      <c r="B307" s="65" t="s">
        <v>1672</v>
      </c>
      <c r="C307" s="66" t="s">
        <v>1673</v>
      </c>
      <c r="D307" s="67" t="s">
        <v>165</v>
      </c>
      <c r="E307" s="66" t="s">
        <v>166</v>
      </c>
      <c r="F307" s="67" t="s">
        <v>1674</v>
      </c>
      <c r="G307" s="66" t="s">
        <v>1673</v>
      </c>
      <c r="H307" s="65" t="s">
        <v>1675</v>
      </c>
    </row>
    <row r="308" spans="1:8" x14ac:dyDescent="0.3">
      <c r="A308" s="65" t="s">
        <v>1676</v>
      </c>
      <c r="B308" s="65" t="s">
        <v>1677</v>
      </c>
      <c r="C308" s="66" t="s">
        <v>1678</v>
      </c>
      <c r="D308" s="67" t="s">
        <v>165</v>
      </c>
      <c r="E308" s="66" t="s">
        <v>166</v>
      </c>
      <c r="F308" s="67" t="s">
        <v>1679</v>
      </c>
      <c r="G308" s="66" t="s">
        <v>1678</v>
      </c>
      <c r="H308" s="65" t="s">
        <v>1680</v>
      </c>
    </row>
    <row r="309" spans="1:8" x14ac:dyDescent="0.3">
      <c r="A309" s="65" t="s">
        <v>1681</v>
      </c>
      <c r="B309" s="65" t="s">
        <v>1682</v>
      </c>
      <c r="C309" s="66" t="s">
        <v>1683</v>
      </c>
      <c r="D309" s="67" t="s">
        <v>165</v>
      </c>
      <c r="E309" s="66" t="s">
        <v>166</v>
      </c>
      <c r="F309" s="67" t="s">
        <v>1684</v>
      </c>
      <c r="G309" s="66" t="s">
        <v>1683</v>
      </c>
      <c r="H309" s="65" t="s">
        <v>1685</v>
      </c>
    </row>
    <row r="310" spans="1:8" x14ac:dyDescent="0.3">
      <c r="A310" s="65" t="s">
        <v>1686</v>
      </c>
      <c r="B310" s="65" t="s">
        <v>1687</v>
      </c>
      <c r="C310" s="66" t="s">
        <v>1688</v>
      </c>
      <c r="D310" s="67" t="s">
        <v>165</v>
      </c>
      <c r="E310" s="66" t="s">
        <v>166</v>
      </c>
      <c r="F310" s="67" t="s">
        <v>1689</v>
      </c>
      <c r="G310" s="66" t="s">
        <v>1688</v>
      </c>
      <c r="H310" s="65" t="s">
        <v>1690</v>
      </c>
    </row>
    <row r="311" spans="1:8" x14ac:dyDescent="0.3">
      <c r="A311" s="65" t="s">
        <v>1691</v>
      </c>
      <c r="B311" s="65" t="s">
        <v>1692</v>
      </c>
      <c r="C311" s="66" t="s">
        <v>1693</v>
      </c>
      <c r="D311" s="67" t="s">
        <v>165</v>
      </c>
      <c r="E311" s="66" t="s">
        <v>166</v>
      </c>
      <c r="F311" s="67" t="s">
        <v>1694</v>
      </c>
      <c r="G311" s="66" t="s">
        <v>1693</v>
      </c>
      <c r="H311" s="65" t="s">
        <v>1695</v>
      </c>
    </row>
    <row r="312" spans="1:8" x14ac:dyDescent="0.3">
      <c r="A312" s="65" t="s">
        <v>1696</v>
      </c>
      <c r="B312" s="65" t="s">
        <v>1697</v>
      </c>
      <c r="C312" s="66" t="s">
        <v>1698</v>
      </c>
      <c r="D312" s="67" t="s">
        <v>165</v>
      </c>
      <c r="E312" s="66" t="s">
        <v>166</v>
      </c>
      <c r="F312" s="67" t="s">
        <v>1699</v>
      </c>
      <c r="G312" s="66" t="s">
        <v>1698</v>
      </c>
      <c r="H312" s="65" t="s">
        <v>1700</v>
      </c>
    </row>
    <row r="313" spans="1:8" x14ac:dyDescent="0.3">
      <c r="A313" s="65" t="s">
        <v>1701</v>
      </c>
      <c r="B313" s="65" t="s">
        <v>1702</v>
      </c>
      <c r="C313" s="66" t="s">
        <v>1703</v>
      </c>
      <c r="D313" s="67" t="s">
        <v>165</v>
      </c>
      <c r="E313" s="66" t="s">
        <v>166</v>
      </c>
      <c r="F313" s="67" t="s">
        <v>1704</v>
      </c>
      <c r="G313" s="66" t="s">
        <v>1703</v>
      </c>
      <c r="H313" s="65" t="s">
        <v>1705</v>
      </c>
    </row>
    <row r="314" spans="1:8" x14ac:dyDescent="0.3">
      <c r="A314" s="65" t="s">
        <v>1706</v>
      </c>
      <c r="B314" s="65" t="s">
        <v>1707</v>
      </c>
      <c r="C314" s="66" t="s">
        <v>1708</v>
      </c>
      <c r="D314" s="67" t="s">
        <v>165</v>
      </c>
      <c r="E314" s="66" t="s">
        <v>166</v>
      </c>
      <c r="F314" s="67" t="s">
        <v>1709</v>
      </c>
      <c r="G314" s="66" t="s">
        <v>1708</v>
      </c>
      <c r="H314" s="65" t="s">
        <v>1710</v>
      </c>
    </row>
    <row r="315" spans="1:8" x14ac:dyDescent="0.3">
      <c r="A315" s="65" t="s">
        <v>1711</v>
      </c>
      <c r="B315" s="65" t="s">
        <v>1712</v>
      </c>
      <c r="C315" s="66" t="s">
        <v>1713</v>
      </c>
      <c r="D315" s="67" t="s">
        <v>165</v>
      </c>
      <c r="E315" s="66" t="s">
        <v>166</v>
      </c>
      <c r="F315" s="67" t="s">
        <v>1714</v>
      </c>
      <c r="G315" s="66" t="s">
        <v>1713</v>
      </c>
      <c r="H315" s="65" t="s">
        <v>1715</v>
      </c>
    </row>
    <row r="316" spans="1:8" x14ac:dyDescent="0.3">
      <c r="A316" s="65" t="s">
        <v>1716</v>
      </c>
      <c r="B316" s="65" t="s">
        <v>1717</v>
      </c>
      <c r="C316" s="66" t="s">
        <v>1718</v>
      </c>
      <c r="D316" s="67" t="s">
        <v>165</v>
      </c>
      <c r="E316" s="66" t="s">
        <v>166</v>
      </c>
      <c r="F316" s="67" t="s">
        <v>1719</v>
      </c>
      <c r="G316" s="66" t="s">
        <v>1718</v>
      </c>
      <c r="H316" s="65" t="s">
        <v>1720</v>
      </c>
    </row>
    <row r="317" spans="1:8" x14ac:dyDescent="0.3">
      <c r="A317" s="65" t="s">
        <v>1721</v>
      </c>
      <c r="B317" s="65" t="s">
        <v>1722</v>
      </c>
      <c r="C317" s="66" t="s">
        <v>1723</v>
      </c>
      <c r="D317" s="67" t="s">
        <v>165</v>
      </c>
      <c r="E317" s="66" t="s">
        <v>166</v>
      </c>
      <c r="F317" s="67" t="s">
        <v>1724</v>
      </c>
      <c r="G317" s="66" t="s">
        <v>1723</v>
      </c>
      <c r="H317" s="65" t="s">
        <v>1725</v>
      </c>
    </row>
    <row r="318" spans="1:8" x14ac:dyDescent="0.3">
      <c r="A318" s="65" t="s">
        <v>28</v>
      </c>
      <c r="B318" s="65" t="s">
        <v>1726</v>
      </c>
      <c r="C318" s="66" t="s">
        <v>132</v>
      </c>
      <c r="D318" s="67" t="s">
        <v>165</v>
      </c>
      <c r="E318" s="66" t="s">
        <v>166</v>
      </c>
      <c r="F318" s="67" t="s">
        <v>1727</v>
      </c>
      <c r="G318" s="66" t="s">
        <v>132</v>
      </c>
      <c r="H318" s="65" t="s">
        <v>1728</v>
      </c>
    </row>
    <row r="319" spans="1:8" x14ac:dyDescent="0.3">
      <c r="A319" s="65" t="s">
        <v>1729</v>
      </c>
      <c r="B319" s="65" t="s">
        <v>1730</v>
      </c>
      <c r="C319" s="66" t="s">
        <v>1731</v>
      </c>
      <c r="D319" s="67" t="s">
        <v>165</v>
      </c>
      <c r="E319" s="66" t="s">
        <v>166</v>
      </c>
      <c r="F319" s="67" t="s">
        <v>1732</v>
      </c>
      <c r="G319" s="66" t="s">
        <v>1731</v>
      </c>
      <c r="H319" s="65" t="s">
        <v>1733</v>
      </c>
    </row>
    <row r="320" spans="1:8" x14ac:dyDescent="0.3">
      <c r="A320" s="65" t="s">
        <v>1734</v>
      </c>
      <c r="B320" s="65" t="s">
        <v>1735</v>
      </c>
      <c r="C320" s="66" t="s">
        <v>1736</v>
      </c>
      <c r="D320" s="67" t="s">
        <v>165</v>
      </c>
      <c r="E320" s="66" t="s">
        <v>166</v>
      </c>
      <c r="F320" s="67" t="s">
        <v>1737</v>
      </c>
      <c r="G320" s="66" t="s">
        <v>1736</v>
      </c>
      <c r="H320" s="65" t="s">
        <v>1738</v>
      </c>
    </row>
    <row r="321" spans="1:8" x14ac:dyDescent="0.3">
      <c r="A321" s="65" t="s">
        <v>1739</v>
      </c>
      <c r="B321" s="65" t="s">
        <v>1740</v>
      </c>
      <c r="C321" s="66" t="s">
        <v>1741</v>
      </c>
      <c r="D321" s="67" t="s">
        <v>165</v>
      </c>
      <c r="E321" s="66" t="s">
        <v>166</v>
      </c>
      <c r="F321" s="67" t="s">
        <v>1742</v>
      </c>
      <c r="G321" s="66" t="s">
        <v>1741</v>
      </c>
      <c r="H321" s="65" t="s">
        <v>1743</v>
      </c>
    </row>
    <row r="322" spans="1:8" x14ac:dyDescent="0.3">
      <c r="A322" s="65" t="s">
        <v>1744</v>
      </c>
      <c r="B322" s="65" t="s">
        <v>1745</v>
      </c>
      <c r="C322" s="66" t="s">
        <v>1746</v>
      </c>
      <c r="D322" s="67" t="s">
        <v>165</v>
      </c>
      <c r="E322" s="66" t="s">
        <v>166</v>
      </c>
      <c r="F322" s="67" t="s">
        <v>1747</v>
      </c>
      <c r="G322" s="66" t="s">
        <v>1746</v>
      </c>
      <c r="H322" s="65" t="s">
        <v>1748</v>
      </c>
    </row>
    <row r="323" spans="1:8" x14ac:dyDescent="0.3">
      <c r="A323" s="65" t="s">
        <v>1749</v>
      </c>
      <c r="B323" s="65" t="s">
        <v>1750</v>
      </c>
      <c r="C323" s="66" t="s">
        <v>1751</v>
      </c>
      <c r="D323" s="67" t="s">
        <v>165</v>
      </c>
      <c r="E323" s="66" t="s">
        <v>166</v>
      </c>
      <c r="F323" s="67" t="s">
        <v>1752</v>
      </c>
      <c r="G323" s="66" t="s">
        <v>1751</v>
      </c>
      <c r="H323" s="65" t="s">
        <v>1753</v>
      </c>
    </row>
    <row r="324" spans="1:8" x14ac:dyDescent="0.3">
      <c r="A324" s="65" t="s">
        <v>1754</v>
      </c>
      <c r="B324" s="65" t="s">
        <v>1755</v>
      </c>
      <c r="C324" s="66" t="s">
        <v>1756</v>
      </c>
      <c r="D324" s="67" t="s">
        <v>165</v>
      </c>
      <c r="E324" s="66" t="s">
        <v>166</v>
      </c>
      <c r="F324" s="67" t="s">
        <v>1757</v>
      </c>
      <c r="G324" s="66" t="s">
        <v>1756</v>
      </c>
      <c r="H324" s="65" t="s">
        <v>1758</v>
      </c>
    </row>
    <row r="325" spans="1:8" x14ac:dyDescent="0.3">
      <c r="A325" s="65" t="s">
        <v>1759</v>
      </c>
      <c r="B325" s="65" t="s">
        <v>1760</v>
      </c>
      <c r="C325" s="66" t="s">
        <v>1761</v>
      </c>
      <c r="D325" s="67" t="s">
        <v>320</v>
      </c>
      <c r="E325" s="66" t="s">
        <v>321</v>
      </c>
      <c r="F325" s="67" t="s">
        <v>1762</v>
      </c>
      <c r="G325" s="66" t="s">
        <v>1761</v>
      </c>
      <c r="H325" s="65" t="s">
        <v>1763</v>
      </c>
    </row>
    <row r="326" spans="1:8" x14ac:dyDescent="0.3">
      <c r="A326" s="65" t="s">
        <v>1764</v>
      </c>
      <c r="B326" s="65" t="s">
        <v>1765</v>
      </c>
      <c r="C326" s="66" t="s">
        <v>1766</v>
      </c>
      <c r="D326" s="67" t="s">
        <v>165</v>
      </c>
      <c r="E326" s="66" t="s">
        <v>166</v>
      </c>
      <c r="F326" s="67" t="s">
        <v>1767</v>
      </c>
      <c r="G326" s="66" t="s">
        <v>1766</v>
      </c>
      <c r="H326" s="65" t="s">
        <v>1768</v>
      </c>
    </row>
    <row r="327" spans="1:8" x14ac:dyDescent="0.3">
      <c r="A327" s="65" t="s">
        <v>1769</v>
      </c>
      <c r="B327" s="65" t="s">
        <v>1770</v>
      </c>
      <c r="C327" s="66" t="s">
        <v>1771</v>
      </c>
      <c r="D327" s="67" t="s">
        <v>165</v>
      </c>
      <c r="E327" s="66" t="s">
        <v>166</v>
      </c>
      <c r="F327" s="67" t="s">
        <v>1772</v>
      </c>
      <c r="G327" s="66" t="s">
        <v>1771</v>
      </c>
      <c r="H327" s="65" t="s">
        <v>1773</v>
      </c>
    </row>
    <row r="328" spans="1:8" x14ac:dyDescent="0.3">
      <c r="A328" s="65" t="s">
        <v>1774</v>
      </c>
      <c r="B328" s="65" t="s">
        <v>1775</v>
      </c>
      <c r="C328" s="66" t="s">
        <v>1776</v>
      </c>
      <c r="D328" s="67" t="s">
        <v>165</v>
      </c>
      <c r="E328" s="66" t="s">
        <v>166</v>
      </c>
      <c r="F328" s="67" t="s">
        <v>1777</v>
      </c>
      <c r="G328" s="66" t="s">
        <v>1776</v>
      </c>
      <c r="H328" s="65" t="s">
        <v>1778</v>
      </c>
    </row>
    <row r="329" spans="1:8" x14ac:dyDescent="0.3">
      <c r="A329" s="65" t="s">
        <v>1779</v>
      </c>
      <c r="B329" s="65" t="s">
        <v>1780</v>
      </c>
      <c r="C329" s="66" t="s">
        <v>1781</v>
      </c>
      <c r="D329" s="67" t="s">
        <v>165</v>
      </c>
      <c r="E329" s="66" t="s">
        <v>166</v>
      </c>
      <c r="F329" s="67" t="s">
        <v>1782</v>
      </c>
      <c r="G329" s="66" t="s">
        <v>1781</v>
      </c>
      <c r="H329" s="65" t="s">
        <v>1783</v>
      </c>
    </row>
    <row r="330" spans="1:8" x14ac:dyDescent="0.3">
      <c r="A330" s="65" t="s">
        <v>1784</v>
      </c>
      <c r="B330" s="65" t="s">
        <v>1785</v>
      </c>
      <c r="C330" s="66" t="s">
        <v>1786</v>
      </c>
      <c r="D330" s="67" t="s">
        <v>165</v>
      </c>
      <c r="E330" s="66" t="s">
        <v>166</v>
      </c>
      <c r="F330" s="67" t="s">
        <v>1787</v>
      </c>
      <c r="G330" s="66" t="s">
        <v>1786</v>
      </c>
      <c r="H330" s="65" t="s">
        <v>1788</v>
      </c>
    </row>
    <row r="331" spans="1:8" x14ac:dyDescent="0.3">
      <c r="A331" s="65" t="s">
        <v>1789</v>
      </c>
      <c r="B331" s="65" t="s">
        <v>1790</v>
      </c>
      <c r="C331" s="66" t="s">
        <v>1791</v>
      </c>
      <c r="D331" s="67" t="s">
        <v>165</v>
      </c>
      <c r="E331" s="66" t="s">
        <v>166</v>
      </c>
      <c r="F331" s="67" t="s">
        <v>1792</v>
      </c>
      <c r="G331" s="66" t="s">
        <v>1791</v>
      </c>
      <c r="H331" s="65" t="s">
        <v>1793</v>
      </c>
    </row>
    <row r="332" spans="1:8" x14ac:dyDescent="0.3">
      <c r="A332" s="65" t="s">
        <v>1794</v>
      </c>
      <c r="B332" s="65" t="s">
        <v>1795</v>
      </c>
      <c r="C332" s="66" t="s">
        <v>1796</v>
      </c>
      <c r="D332" s="67" t="s">
        <v>938</v>
      </c>
      <c r="F332" s="67" t="s">
        <v>938</v>
      </c>
      <c r="H332" s="65" t="s">
        <v>1797</v>
      </c>
    </row>
    <row r="333" spans="1:8" x14ac:dyDescent="0.3">
      <c r="A333" s="65" t="s">
        <v>1798</v>
      </c>
      <c r="B333" s="65" t="s">
        <v>1799</v>
      </c>
      <c r="C333" s="66" t="s">
        <v>1800</v>
      </c>
      <c r="D333" s="67" t="s">
        <v>860</v>
      </c>
      <c r="E333" s="66" t="s">
        <v>861</v>
      </c>
      <c r="F333" s="67" t="s">
        <v>1801</v>
      </c>
      <c r="G333" s="66" t="s">
        <v>1800</v>
      </c>
      <c r="H333" s="65" t="s">
        <v>1802</v>
      </c>
    </row>
    <row r="334" spans="1:8" x14ac:dyDescent="0.3">
      <c r="A334" s="65" t="s">
        <v>1803</v>
      </c>
      <c r="B334" s="65" t="s">
        <v>1804</v>
      </c>
      <c r="C334" s="66" t="s">
        <v>1805</v>
      </c>
      <c r="D334" s="67" t="s">
        <v>320</v>
      </c>
      <c r="E334" s="66" t="s">
        <v>321</v>
      </c>
      <c r="F334" s="67" t="s">
        <v>1806</v>
      </c>
      <c r="G334" s="66" t="s">
        <v>1805</v>
      </c>
      <c r="H334" s="65" t="s">
        <v>1807</v>
      </c>
    </row>
    <row r="335" spans="1:8" x14ac:dyDescent="0.3">
      <c r="A335" s="65" t="s">
        <v>1808</v>
      </c>
      <c r="B335" s="65" t="s">
        <v>1809</v>
      </c>
      <c r="C335" s="66" t="s">
        <v>1810</v>
      </c>
      <c r="D335" s="67" t="s">
        <v>938</v>
      </c>
      <c r="F335" s="67" t="s">
        <v>938</v>
      </c>
      <c r="H335" s="65" t="s">
        <v>1811</v>
      </c>
    </row>
    <row r="336" spans="1:8" x14ac:dyDescent="0.3">
      <c r="A336" s="65" t="s">
        <v>1812</v>
      </c>
      <c r="B336" s="65" t="s">
        <v>1813</v>
      </c>
      <c r="C336" s="66" t="s">
        <v>1814</v>
      </c>
      <c r="D336" s="67" t="s">
        <v>212</v>
      </c>
      <c r="E336" s="66" t="s">
        <v>213</v>
      </c>
      <c r="F336" s="67" t="s">
        <v>1815</v>
      </c>
      <c r="G336" s="66" t="s">
        <v>1814</v>
      </c>
      <c r="H336" s="65" t="s">
        <v>1816</v>
      </c>
    </row>
    <row r="337" spans="1:8" x14ac:dyDescent="0.3">
      <c r="A337" s="65" t="s">
        <v>1817</v>
      </c>
      <c r="B337" s="65" t="s">
        <v>1818</v>
      </c>
      <c r="C337" s="66" t="s">
        <v>1819</v>
      </c>
      <c r="D337" s="67" t="s">
        <v>165</v>
      </c>
      <c r="E337" s="66" t="s">
        <v>166</v>
      </c>
      <c r="F337" s="67" t="s">
        <v>1820</v>
      </c>
      <c r="G337" s="66" t="s">
        <v>1819</v>
      </c>
      <c r="H337" s="65" t="s">
        <v>1821</v>
      </c>
    </row>
    <row r="338" spans="1:8" x14ac:dyDescent="0.3">
      <c r="A338" s="65" t="s">
        <v>1822</v>
      </c>
      <c r="B338" s="65" t="s">
        <v>1823</v>
      </c>
      <c r="C338" s="66" t="s">
        <v>1824</v>
      </c>
      <c r="D338" s="67" t="s">
        <v>219</v>
      </c>
      <c r="E338" s="66" t="s">
        <v>220</v>
      </c>
      <c r="F338" s="67" t="s">
        <v>1825</v>
      </c>
      <c r="G338" s="66" t="s">
        <v>1824</v>
      </c>
      <c r="H338" s="65" t="s">
        <v>1826</v>
      </c>
    </row>
    <row r="339" spans="1:8" x14ac:dyDescent="0.3">
      <c r="A339" s="65" t="s">
        <v>1827</v>
      </c>
      <c r="B339" s="65" t="s">
        <v>1828</v>
      </c>
      <c r="C339" s="66" t="s">
        <v>1829</v>
      </c>
      <c r="D339" s="67" t="s">
        <v>241</v>
      </c>
      <c r="E339" s="66" t="s">
        <v>242</v>
      </c>
      <c r="F339" s="67" t="s">
        <v>1830</v>
      </c>
      <c r="G339" s="66" t="s">
        <v>1829</v>
      </c>
      <c r="H339" s="65" t="s">
        <v>1831</v>
      </c>
    </row>
    <row r="340" spans="1:8" x14ac:dyDescent="0.3">
      <c r="A340" s="65" t="s">
        <v>1832</v>
      </c>
      <c r="B340" s="65" t="s">
        <v>1833</v>
      </c>
      <c r="C340" s="66" t="s">
        <v>1834</v>
      </c>
      <c r="D340" s="67" t="s">
        <v>520</v>
      </c>
      <c r="E340" s="66" t="s">
        <v>521</v>
      </c>
      <c r="F340" s="67" t="s">
        <v>1835</v>
      </c>
      <c r="G340" s="66" t="s">
        <v>1834</v>
      </c>
      <c r="H340" s="65" t="s">
        <v>1836</v>
      </c>
    </row>
    <row r="341" spans="1:8" x14ac:dyDescent="0.3">
      <c r="A341" s="65" t="s">
        <v>1837</v>
      </c>
      <c r="B341" s="65" t="s">
        <v>1838</v>
      </c>
      <c r="C341" s="66" t="s">
        <v>1839</v>
      </c>
      <c r="D341" s="67" t="s">
        <v>520</v>
      </c>
      <c r="E341" s="66" t="s">
        <v>521</v>
      </c>
      <c r="F341" s="67" t="s">
        <v>1840</v>
      </c>
      <c r="G341" s="66" t="s">
        <v>1839</v>
      </c>
      <c r="H341" s="65" t="s">
        <v>1841</v>
      </c>
    </row>
    <row r="342" spans="1:8" x14ac:dyDescent="0.3">
      <c r="A342" s="65" t="s">
        <v>1842</v>
      </c>
      <c r="B342" s="65" t="s">
        <v>1843</v>
      </c>
      <c r="C342" s="66" t="s">
        <v>1844</v>
      </c>
      <c r="D342" s="67" t="s">
        <v>320</v>
      </c>
      <c r="E342" s="66" t="s">
        <v>321</v>
      </c>
      <c r="F342" s="67" t="s">
        <v>1845</v>
      </c>
      <c r="G342" s="66" t="s">
        <v>1844</v>
      </c>
      <c r="H342" s="65" t="s">
        <v>1846</v>
      </c>
    </row>
    <row r="343" spans="1:8" x14ac:dyDescent="0.3">
      <c r="A343" s="65" t="s">
        <v>1847</v>
      </c>
      <c r="B343" s="65" t="s">
        <v>1848</v>
      </c>
      <c r="C343" s="66" t="s">
        <v>1849</v>
      </c>
      <c r="D343" s="67" t="s">
        <v>212</v>
      </c>
      <c r="E343" s="66" t="s">
        <v>213</v>
      </c>
      <c r="F343" s="67" t="s">
        <v>1850</v>
      </c>
      <c r="G343" s="66" t="s">
        <v>1849</v>
      </c>
      <c r="H343" s="65" t="s">
        <v>1851</v>
      </c>
    </row>
    <row r="344" spans="1:8" x14ac:dyDescent="0.3">
      <c r="A344" s="65" t="s">
        <v>1852</v>
      </c>
      <c r="B344" s="65" t="s">
        <v>1853</v>
      </c>
      <c r="C344" s="66" t="s">
        <v>1854</v>
      </c>
      <c r="D344" s="67" t="s">
        <v>165</v>
      </c>
      <c r="E344" s="66" t="s">
        <v>166</v>
      </c>
      <c r="F344" s="67" t="s">
        <v>1855</v>
      </c>
      <c r="G344" s="66" t="s">
        <v>1854</v>
      </c>
      <c r="H344" s="65" t="s">
        <v>1856</v>
      </c>
    </row>
    <row r="345" spans="1:8" x14ac:dyDescent="0.3">
      <c r="A345" s="65" t="s">
        <v>1857</v>
      </c>
      <c r="B345" s="65" t="s">
        <v>1858</v>
      </c>
      <c r="C345" s="66" t="s">
        <v>1859</v>
      </c>
      <c r="D345" s="67" t="s">
        <v>241</v>
      </c>
      <c r="E345" s="66" t="s">
        <v>242</v>
      </c>
      <c r="F345" s="67" t="s">
        <v>1860</v>
      </c>
      <c r="G345" s="66" t="s">
        <v>1859</v>
      </c>
      <c r="H345" s="65" t="s">
        <v>1861</v>
      </c>
    </row>
    <row r="346" spans="1:8" x14ac:dyDescent="0.3">
      <c r="A346" s="65" t="s">
        <v>1862</v>
      </c>
      <c r="B346" s="65" t="s">
        <v>1863</v>
      </c>
      <c r="C346" s="66" t="s">
        <v>1864</v>
      </c>
      <c r="D346" s="67" t="s">
        <v>165</v>
      </c>
      <c r="E346" s="66" t="s">
        <v>166</v>
      </c>
      <c r="F346" s="67" t="s">
        <v>1865</v>
      </c>
      <c r="G346" s="66" t="s">
        <v>1864</v>
      </c>
      <c r="H346" s="65" t="s">
        <v>1866</v>
      </c>
    </row>
    <row r="347" spans="1:8" x14ac:dyDescent="0.3">
      <c r="A347" s="65" t="s">
        <v>1867</v>
      </c>
      <c r="B347" s="65" t="s">
        <v>1868</v>
      </c>
      <c r="C347" s="66" t="s">
        <v>1869</v>
      </c>
      <c r="D347" s="67" t="s">
        <v>165</v>
      </c>
      <c r="E347" s="66" t="s">
        <v>166</v>
      </c>
      <c r="F347" s="67" t="s">
        <v>1870</v>
      </c>
      <c r="G347" s="66" t="s">
        <v>1869</v>
      </c>
      <c r="H347" s="65" t="s">
        <v>1871</v>
      </c>
    </row>
    <row r="348" spans="1:8" x14ac:dyDescent="0.3">
      <c r="A348" s="65" t="s">
        <v>1872</v>
      </c>
      <c r="B348" s="65" t="s">
        <v>1873</v>
      </c>
      <c r="C348" s="66" t="s">
        <v>1874</v>
      </c>
      <c r="D348" s="67" t="s">
        <v>320</v>
      </c>
      <c r="E348" s="66" t="s">
        <v>321</v>
      </c>
      <c r="F348" s="67" t="s">
        <v>1875</v>
      </c>
      <c r="G348" s="66" t="s">
        <v>1874</v>
      </c>
      <c r="H348" s="65" t="s">
        <v>1876</v>
      </c>
    </row>
    <row r="349" spans="1:8" x14ac:dyDescent="0.3">
      <c r="A349" s="65" t="s">
        <v>1877</v>
      </c>
      <c r="B349" s="65" t="s">
        <v>1878</v>
      </c>
      <c r="C349" s="66" t="s">
        <v>1879</v>
      </c>
      <c r="D349" s="67" t="s">
        <v>520</v>
      </c>
      <c r="E349" s="66" t="s">
        <v>521</v>
      </c>
      <c r="F349" s="67" t="s">
        <v>1880</v>
      </c>
      <c r="G349" s="66" t="s">
        <v>1879</v>
      </c>
      <c r="H349" s="65" t="s">
        <v>1881</v>
      </c>
    </row>
    <row r="350" spans="1:8" x14ac:dyDescent="0.3">
      <c r="A350" s="65" t="s">
        <v>1882</v>
      </c>
      <c r="B350" s="65" t="s">
        <v>1883</v>
      </c>
      <c r="C350" s="66" t="s">
        <v>1884</v>
      </c>
      <c r="D350" s="67" t="s">
        <v>165</v>
      </c>
      <c r="E350" s="66" t="s">
        <v>166</v>
      </c>
      <c r="F350" s="67" t="s">
        <v>1885</v>
      </c>
      <c r="G350" s="66" t="s">
        <v>1884</v>
      </c>
      <c r="H350" s="65" t="s">
        <v>1886</v>
      </c>
    </row>
    <row r="351" spans="1:8" x14ac:dyDescent="0.3">
      <c r="A351" s="65" t="s">
        <v>1887</v>
      </c>
      <c r="B351" s="65" t="s">
        <v>1888</v>
      </c>
      <c r="C351" s="66" t="s">
        <v>1889</v>
      </c>
      <c r="D351" s="67" t="s">
        <v>320</v>
      </c>
      <c r="E351" s="66" t="s">
        <v>321</v>
      </c>
      <c r="F351" s="67" t="s">
        <v>1890</v>
      </c>
      <c r="G351" s="66" t="s">
        <v>1889</v>
      </c>
      <c r="H351" s="65" t="s">
        <v>1891</v>
      </c>
    </row>
    <row r="352" spans="1:8" x14ac:dyDescent="0.3">
      <c r="A352" s="65" t="s">
        <v>1892</v>
      </c>
      <c r="B352" s="65" t="s">
        <v>1893</v>
      </c>
      <c r="C352" s="66" t="s">
        <v>1894</v>
      </c>
      <c r="D352" s="67" t="s">
        <v>165</v>
      </c>
      <c r="E352" s="66" t="s">
        <v>166</v>
      </c>
      <c r="F352" s="67" t="s">
        <v>1895</v>
      </c>
      <c r="G352" s="66" t="s">
        <v>1894</v>
      </c>
      <c r="H352" s="65" t="s">
        <v>1896</v>
      </c>
    </row>
    <row r="353" spans="1:8" x14ac:dyDescent="0.3">
      <c r="A353" s="65" t="s">
        <v>1897</v>
      </c>
      <c r="B353" s="65" t="s">
        <v>1898</v>
      </c>
      <c r="C353" s="66" t="s">
        <v>1899</v>
      </c>
      <c r="D353" s="67" t="s">
        <v>1432</v>
      </c>
      <c r="E353" s="66" t="s">
        <v>1433</v>
      </c>
      <c r="F353" s="67" t="s">
        <v>1900</v>
      </c>
      <c r="G353" s="66" t="s">
        <v>1899</v>
      </c>
      <c r="H353" s="65" t="s">
        <v>1901</v>
      </c>
    </row>
    <row r="354" spans="1:8" x14ac:dyDescent="0.3">
      <c r="A354" s="65" t="s">
        <v>1902</v>
      </c>
      <c r="B354" s="65" t="s">
        <v>1903</v>
      </c>
      <c r="C354" s="66" t="s">
        <v>1904</v>
      </c>
      <c r="D354" s="67" t="s">
        <v>320</v>
      </c>
      <c r="E354" s="66" t="s">
        <v>321</v>
      </c>
      <c r="F354" s="67" t="s">
        <v>1905</v>
      </c>
      <c r="G354" s="66" t="s">
        <v>1904</v>
      </c>
      <c r="H354" s="65" t="s">
        <v>1906</v>
      </c>
    </row>
    <row r="355" spans="1:8" x14ac:dyDescent="0.3">
      <c r="A355" s="65" t="s">
        <v>1907</v>
      </c>
      <c r="B355" s="65" t="s">
        <v>1908</v>
      </c>
      <c r="C355" s="66" t="s">
        <v>1909</v>
      </c>
      <c r="D355" s="67" t="s">
        <v>241</v>
      </c>
      <c r="E355" s="66" t="s">
        <v>242</v>
      </c>
      <c r="F355" s="67" t="s">
        <v>1910</v>
      </c>
      <c r="G355" s="66" t="s">
        <v>1909</v>
      </c>
      <c r="H355" s="65" t="s">
        <v>1911</v>
      </c>
    </row>
    <row r="356" spans="1:8" x14ac:dyDescent="0.3">
      <c r="A356" s="65" t="s">
        <v>1912</v>
      </c>
      <c r="B356" s="65" t="s">
        <v>1913</v>
      </c>
      <c r="C356" s="66" t="s">
        <v>1914</v>
      </c>
      <c r="D356" s="67" t="s">
        <v>165</v>
      </c>
      <c r="E356" s="66" t="s">
        <v>166</v>
      </c>
      <c r="F356" s="67" t="s">
        <v>1915</v>
      </c>
      <c r="G356" s="66" t="s">
        <v>1914</v>
      </c>
      <c r="H356" s="65" t="s">
        <v>1916</v>
      </c>
    </row>
    <row r="357" spans="1:8" x14ac:dyDescent="0.3">
      <c r="A357" s="65" t="s">
        <v>1917</v>
      </c>
      <c r="B357" s="65" t="s">
        <v>1918</v>
      </c>
      <c r="C357" s="66" t="s">
        <v>1919</v>
      </c>
      <c r="D357" s="67" t="s">
        <v>165</v>
      </c>
      <c r="E357" s="66" t="s">
        <v>166</v>
      </c>
      <c r="F357" s="67" t="s">
        <v>1920</v>
      </c>
      <c r="G357" s="66" t="s">
        <v>1919</v>
      </c>
      <c r="H357" s="65" t="s">
        <v>1921</v>
      </c>
    </row>
    <row r="358" spans="1:8" x14ac:dyDescent="0.3">
      <c r="A358" s="65" t="s">
        <v>1922</v>
      </c>
      <c r="B358" s="65" t="s">
        <v>1923</v>
      </c>
      <c r="C358" s="66" t="s">
        <v>1924</v>
      </c>
      <c r="D358" s="67" t="s">
        <v>219</v>
      </c>
      <c r="E358" s="66" t="s">
        <v>220</v>
      </c>
      <c r="F358" s="67" t="s">
        <v>1925</v>
      </c>
      <c r="G358" s="66" t="s">
        <v>1924</v>
      </c>
    </row>
    <row r="359" spans="1:8" x14ac:dyDescent="0.3">
      <c r="A359" s="65" t="s">
        <v>1926</v>
      </c>
      <c r="B359" s="65" t="s">
        <v>1927</v>
      </c>
      <c r="C359" s="66" t="s">
        <v>1928</v>
      </c>
      <c r="D359" s="67" t="s">
        <v>916</v>
      </c>
      <c r="E359" s="66" t="s">
        <v>917</v>
      </c>
      <c r="F359" s="67" t="s">
        <v>1929</v>
      </c>
      <c r="G359" s="66" t="s">
        <v>1928</v>
      </c>
      <c r="H359" s="65" t="s">
        <v>1930</v>
      </c>
    </row>
    <row r="360" spans="1:8" x14ac:dyDescent="0.3">
      <c r="A360" s="65" t="s">
        <v>1931</v>
      </c>
      <c r="B360" s="65" t="s">
        <v>1932</v>
      </c>
      <c r="C360" s="66" t="s">
        <v>1933</v>
      </c>
      <c r="D360" s="67" t="s">
        <v>165</v>
      </c>
      <c r="E360" s="66" t="s">
        <v>166</v>
      </c>
      <c r="F360" s="67" t="s">
        <v>1934</v>
      </c>
      <c r="G360" s="66" t="s">
        <v>1933</v>
      </c>
      <c r="H360" s="65" t="s">
        <v>1935</v>
      </c>
    </row>
    <row r="361" spans="1:8" x14ac:dyDescent="0.3">
      <c r="A361" s="65" t="s">
        <v>1936</v>
      </c>
      <c r="B361" s="65" t="s">
        <v>1937</v>
      </c>
      <c r="C361" s="66" t="s">
        <v>1938</v>
      </c>
      <c r="D361" s="67" t="s">
        <v>165</v>
      </c>
      <c r="E361" s="66" t="s">
        <v>166</v>
      </c>
      <c r="F361" s="67" t="s">
        <v>1939</v>
      </c>
      <c r="G361" s="66" t="s">
        <v>1938</v>
      </c>
      <c r="H361" s="65" t="s">
        <v>1940</v>
      </c>
    </row>
    <row r="362" spans="1:8" x14ac:dyDescent="0.3">
      <c r="A362" s="65" t="s">
        <v>1941</v>
      </c>
      <c r="B362" s="65" t="s">
        <v>1942</v>
      </c>
      <c r="C362" s="66" t="s">
        <v>1943</v>
      </c>
      <c r="D362" s="67" t="s">
        <v>165</v>
      </c>
      <c r="E362" s="66" t="s">
        <v>166</v>
      </c>
      <c r="F362" s="67" t="s">
        <v>1944</v>
      </c>
      <c r="G362" s="66" t="s">
        <v>1943</v>
      </c>
      <c r="H362" s="65" t="s">
        <v>1945</v>
      </c>
    </row>
    <row r="363" spans="1:8" x14ac:dyDescent="0.3">
      <c r="A363" s="65" t="s">
        <v>1946</v>
      </c>
      <c r="B363" s="65" t="s">
        <v>1947</v>
      </c>
      <c r="C363" s="66" t="s">
        <v>1948</v>
      </c>
      <c r="D363" s="67" t="s">
        <v>165</v>
      </c>
      <c r="E363" s="66" t="s">
        <v>166</v>
      </c>
      <c r="F363" s="67" t="s">
        <v>1949</v>
      </c>
      <c r="G363" s="66" t="s">
        <v>1948</v>
      </c>
      <c r="H363" s="65" t="s">
        <v>1950</v>
      </c>
    </row>
    <row r="364" spans="1:8" x14ac:dyDescent="0.3">
      <c r="A364" s="65" t="s">
        <v>1951</v>
      </c>
      <c r="B364" s="65" t="s">
        <v>1952</v>
      </c>
      <c r="C364" s="66" t="s">
        <v>1953</v>
      </c>
      <c r="D364" s="67" t="s">
        <v>165</v>
      </c>
      <c r="E364" s="66" t="s">
        <v>166</v>
      </c>
      <c r="F364" s="67" t="s">
        <v>1954</v>
      </c>
      <c r="G364" s="66" t="s">
        <v>1953</v>
      </c>
      <c r="H364" s="65" t="s">
        <v>1955</v>
      </c>
    </row>
    <row r="365" spans="1:8" x14ac:dyDescent="0.3">
      <c r="A365" s="65" t="s">
        <v>1956</v>
      </c>
      <c r="B365" s="65" t="s">
        <v>1957</v>
      </c>
      <c r="C365" s="66" t="s">
        <v>1958</v>
      </c>
      <c r="D365" s="67" t="s">
        <v>165</v>
      </c>
      <c r="E365" s="66" t="s">
        <v>166</v>
      </c>
      <c r="F365" s="67" t="s">
        <v>1959</v>
      </c>
      <c r="G365" s="66" t="s">
        <v>1958</v>
      </c>
      <c r="H365" s="65" t="s">
        <v>1960</v>
      </c>
    </row>
    <row r="366" spans="1:8" x14ac:dyDescent="0.3">
      <c r="A366" s="65" t="s">
        <v>1961</v>
      </c>
      <c r="B366" s="65" t="s">
        <v>1962</v>
      </c>
      <c r="C366" s="66" t="s">
        <v>1963</v>
      </c>
      <c r="D366" s="67" t="s">
        <v>165</v>
      </c>
      <c r="E366" s="66" t="s">
        <v>166</v>
      </c>
      <c r="F366" s="67" t="s">
        <v>1964</v>
      </c>
      <c r="G366" s="66" t="s">
        <v>1963</v>
      </c>
      <c r="H366" s="65" t="s">
        <v>1965</v>
      </c>
    </row>
    <row r="367" spans="1:8" x14ac:dyDescent="0.3">
      <c r="A367" s="65" t="s">
        <v>1966</v>
      </c>
      <c r="B367" s="65" t="s">
        <v>1967</v>
      </c>
      <c r="C367" s="66" t="s">
        <v>1968</v>
      </c>
      <c r="D367" s="67" t="s">
        <v>165</v>
      </c>
      <c r="E367" s="66" t="s">
        <v>166</v>
      </c>
      <c r="F367" s="67" t="s">
        <v>1969</v>
      </c>
      <c r="G367" s="66" t="s">
        <v>1968</v>
      </c>
      <c r="H367" s="65" t="s">
        <v>1970</v>
      </c>
    </row>
    <row r="368" spans="1:8" x14ac:dyDescent="0.3">
      <c r="A368" s="65" t="s">
        <v>1971</v>
      </c>
      <c r="B368" s="65" t="s">
        <v>1972</v>
      </c>
      <c r="C368" s="66" t="s">
        <v>1973</v>
      </c>
      <c r="D368" s="67" t="s">
        <v>165</v>
      </c>
      <c r="E368" s="66" t="s">
        <v>166</v>
      </c>
      <c r="F368" s="67" t="s">
        <v>1974</v>
      </c>
      <c r="G368" s="66" t="s">
        <v>841</v>
      </c>
      <c r="H368" s="65" t="s">
        <v>1975</v>
      </c>
    </row>
    <row r="369" spans="1:8" x14ac:dyDescent="0.3">
      <c r="A369" s="65" t="s">
        <v>1976</v>
      </c>
      <c r="B369" s="65" t="s">
        <v>1977</v>
      </c>
      <c r="C369" s="66" t="s">
        <v>1978</v>
      </c>
      <c r="D369" s="67" t="s">
        <v>165</v>
      </c>
      <c r="E369" s="66" t="s">
        <v>166</v>
      </c>
      <c r="F369" s="67" t="s">
        <v>1979</v>
      </c>
      <c r="G369" s="66" t="s">
        <v>1978</v>
      </c>
      <c r="H369" s="65" t="s">
        <v>1980</v>
      </c>
    </row>
    <row r="370" spans="1:8" x14ac:dyDescent="0.3">
      <c r="A370" s="65" t="s">
        <v>1981</v>
      </c>
      <c r="B370" s="65" t="s">
        <v>1982</v>
      </c>
      <c r="C370" s="66" t="s">
        <v>1983</v>
      </c>
      <c r="D370" s="67" t="s">
        <v>165</v>
      </c>
      <c r="E370" s="66" t="s">
        <v>166</v>
      </c>
      <c r="F370" s="67" t="s">
        <v>1984</v>
      </c>
      <c r="G370" s="66" t="s">
        <v>1983</v>
      </c>
      <c r="H370" s="65" t="s">
        <v>1985</v>
      </c>
    </row>
    <row r="371" spans="1:8" x14ac:dyDescent="0.3">
      <c r="A371" s="65" t="s">
        <v>1986</v>
      </c>
      <c r="B371" s="65" t="s">
        <v>1987</v>
      </c>
      <c r="C371" s="66" t="s">
        <v>1988</v>
      </c>
      <c r="D371" s="67" t="s">
        <v>165</v>
      </c>
      <c r="E371" s="66" t="s">
        <v>166</v>
      </c>
      <c r="F371" s="67" t="s">
        <v>1989</v>
      </c>
      <c r="G371" s="66" t="s">
        <v>1988</v>
      </c>
      <c r="H371" s="65" t="s">
        <v>1990</v>
      </c>
    </row>
    <row r="372" spans="1:8" x14ac:dyDescent="0.3">
      <c r="A372" s="65" t="s">
        <v>1991</v>
      </c>
      <c r="B372" s="65" t="s">
        <v>1992</v>
      </c>
      <c r="C372" s="66" t="s">
        <v>1993</v>
      </c>
      <c r="D372" s="67" t="s">
        <v>165</v>
      </c>
      <c r="E372" s="66" t="s">
        <v>166</v>
      </c>
      <c r="F372" s="67" t="s">
        <v>1994</v>
      </c>
      <c r="G372" s="66" t="s">
        <v>1993</v>
      </c>
      <c r="H372" s="65" t="s">
        <v>1995</v>
      </c>
    </row>
    <row r="373" spans="1:8" x14ac:dyDescent="0.3">
      <c r="A373" s="65" t="s">
        <v>1996</v>
      </c>
      <c r="B373" s="65" t="s">
        <v>1997</v>
      </c>
      <c r="C373" s="66" t="s">
        <v>1998</v>
      </c>
      <c r="D373" s="67" t="s">
        <v>165</v>
      </c>
      <c r="E373" s="66" t="s">
        <v>166</v>
      </c>
      <c r="F373" s="67" t="s">
        <v>1999</v>
      </c>
      <c r="G373" s="66" t="s">
        <v>1998</v>
      </c>
      <c r="H373" s="65" t="s">
        <v>2000</v>
      </c>
    </row>
    <row r="374" spans="1:8" x14ac:dyDescent="0.3">
      <c r="A374" s="65" t="s">
        <v>2001</v>
      </c>
      <c r="B374" s="65" t="s">
        <v>2002</v>
      </c>
      <c r="C374" s="66" t="s">
        <v>2003</v>
      </c>
      <c r="D374" s="67" t="s">
        <v>212</v>
      </c>
      <c r="E374" s="66" t="s">
        <v>213</v>
      </c>
      <c r="F374" s="67" t="s">
        <v>2004</v>
      </c>
      <c r="G374" s="66" t="s">
        <v>2003</v>
      </c>
      <c r="H374" s="65" t="s">
        <v>2005</v>
      </c>
    </row>
    <row r="375" spans="1:8" x14ac:dyDescent="0.3">
      <c r="A375" s="65" t="s">
        <v>2006</v>
      </c>
      <c r="B375" s="65" t="s">
        <v>2007</v>
      </c>
      <c r="C375" s="66" t="s">
        <v>2008</v>
      </c>
      <c r="D375" s="67" t="s">
        <v>165</v>
      </c>
      <c r="E375" s="66" t="s">
        <v>166</v>
      </c>
      <c r="F375" s="67" t="s">
        <v>2009</v>
      </c>
      <c r="G375" s="66" t="s">
        <v>2008</v>
      </c>
      <c r="H375" s="65" t="s">
        <v>2010</v>
      </c>
    </row>
    <row r="376" spans="1:8" x14ac:dyDescent="0.3">
      <c r="A376" s="65" t="s">
        <v>2011</v>
      </c>
      <c r="B376" s="65" t="s">
        <v>2012</v>
      </c>
      <c r="C376" s="66" t="s">
        <v>2013</v>
      </c>
      <c r="D376" s="67" t="s">
        <v>165</v>
      </c>
      <c r="E376" s="66" t="s">
        <v>166</v>
      </c>
      <c r="F376" s="67" t="s">
        <v>2014</v>
      </c>
      <c r="G376" s="66" t="s">
        <v>2013</v>
      </c>
      <c r="H376" s="65" t="s">
        <v>2015</v>
      </c>
    </row>
    <row r="377" spans="1:8" x14ac:dyDescent="0.3">
      <c r="A377" s="65" t="s">
        <v>2016</v>
      </c>
      <c r="B377" s="65" t="s">
        <v>2017</v>
      </c>
      <c r="C377" s="66" t="s">
        <v>2018</v>
      </c>
      <c r="D377" s="67" t="s">
        <v>165</v>
      </c>
      <c r="E377" s="66" t="s">
        <v>166</v>
      </c>
      <c r="F377" s="67" t="s">
        <v>2019</v>
      </c>
      <c r="G377" s="66" t="s">
        <v>2018</v>
      </c>
      <c r="H377" s="65" t="s">
        <v>2020</v>
      </c>
    </row>
    <row r="378" spans="1:8" x14ac:dyDescent="0.3">
      <c r="A378" s="65" t="s">
        <v>2021</v>
      </c>
      <c r="B378" s="65" t="s">
        <v>2022</v>
      </c>
      <c r="C378" s="66" t="s">
        <v>1523</v>
      </c>
      <c r="D378" s="67" t="s">
        <v>165</v>
      </c>
      <c r="E378" s="66" t="s">
        <v>166</v>
      </c>
      <c r="F378" s="67" t="s">
        <v>2023</v>
      </c>
      <c r="G378" s="66" t="s">
        <v>1523</v>
      </c>
      <c r="H378" s="65" t="s">
        <v>2024</v>
      </c>
    </row>
    <row r="379" spans="1:8" x14ac:dyDescent="0.3">
      <c r="A379" s="65" t="s">
        <v>2025</v>
      </c>
      <c r="B379" s="65" t="s">
        <v>2026</v>
      </c>
      <c r="C379" s="66" t="s">
        <v>2027</v>
      </c>
      <c r="D379" s="67" t="s">
        <v>165</v>
      </c>
      <c r="E379" s="66" t="s">
        <v>166</v>
      </c>
      <c r="F379" s="67" t="s">
        <v>2028</v>
      </c>
      <c r="G379" s="66" t="s">
        <v>2027</v>
      </c>
      <c r="H379" s="65" t="s">
        <v>2029</v>
      </c>
    </row>
    <row r="380" spans="1:8" x14ac:dyDescent="0.3">
      <c r="A380" s="65" t="s">
        <v>2030</v>
      </c>
      <c r="B380" s="65" t="s">
        <v>2031</v>
      </c>
      <c r="C380" s="66" t="s">
        <v>2032</v>
      </c>
      <c r="D380" s="67" t="s">
        <v>165</v>
      </c>
      <c r="E380" s="66" t="s">
        <v>166</v>
      </c>
      <c r="F380" s="67" t="s">
        <v>2033</v>
      </c>
      <c r="G380" s="66" t="s">
        <v>2032</v>
      </c>
      <c r="H380" s="65" t="s">
        <v>2034</v>
      </c>
    </row>
    <row r="381" spans="1:8" x14ac:dyDescent="0.3">
      <c r="A381" s="65" t="s">
        <v>2035</v>
      </c>
      <c r="B381" s="65" t="s">
        <v>2036</v>
      </c>
      <c r="C381" s="66" t="s">
        <v>2037</v>
      </c>
      <c r="D381" s="67" t="s">
        <v>165</v>
      </c>
      <c r="E381" s="66" t="s">
        <v>166</v>
      </c>
      <c r="F381" s="67" t="s">
        <v>2038</v>
      </c>
      <c r="G381" s="66" t="s">
        <v>2037</v>
      </c>
      <c r="H381" s="65" t="s">
        <v>2039</v>
      </c>
    </row>
    <row r="382" spans="1:8" x14ac:dyDescent="0.3">
      <c r="A382" s="65" t="s">
        <v>2040</v>
      </c>
      <c r="B382" s="65" t="s">
        <v>2041</v>
      </c>
      <c r="C382" s="66" t="s">
        <v>2042</v>
      </c>
      <c r="D382" s="67" t="s">
        <v>165</v>
      </c>
      <c r="E382" s="66" t="s">
        <v>166</v>
      </c>
      <c r="F382" s="67" t="s">
        <v>2043</v>
      </c>
      <c r="G382" s="66" t="s">
        <v>2042</v>
      </c>
      <c r="H382" s="65" t="s">
        <v>2044</v>
      </c>
    </row>
    <row r="383" spans="1:8" x14ac:dyDescent="0.3">
      <c r="A383" s="65" t="s">
        <v>2045</v>
      </c>
      <c r="B383" s="65" t="s">
        <v>2046</v>
      </c>
      <c r="C383" s="66" t="s">
        <v>2047</v>
      </c>
      <c r="D383" s="67" t="s">
        <v>165</v>
      </c>
      <c r="E383" s="66" t="s">
        <v>166</v>
      </c>
      <c r="F383" s="67" t="s">
        <v>2048</v>
      </c>
      <c r="G383" s="66" t="s">
        <v>2047</v>
      </c>
      <c r="H383" s="65" t="s">
        <v>2049</v>
      </c>
    </row>
    <row r="384" spans="1:8" x14ac:dyDescent="0.3">
      <c r="A384" s="65" t="s">
        <v>2050</v>
      </c>
      <c r="B384" s="65" t="s">
        <v>2051</v>
      </c>
      <c r="C384" s="66" t="s">
        <v>2052</v>
      </c>
      <c r="D384" s="67" t="s">
        <v>165</v>
      </c>
      <c r="E384" s="66" t="s">
        <v>166</v>
      </c>
      <c r="F384" s="67" t="s">
        <v>2053</v>
      </c>
      <c r="G384" s="66" t="s">
        <v>2052</v>
      </c>
      <c r="H384" s="65" t="s">
        <v>2054</v>
      </c>
    </row>
    <row r="385" spans="1:8" x14ac:dyDescent="0.3">
      <c r="A385" s="65" t="s">
        <v>2055</v>
      </c>
      <c r="B385" s="65" t="s">
        <v>2056</v>
      </c>
      <c r="C385" s="66" t="s">
        <v>2057</v>
      </c>
      <c r="D385" s="67" t="s">
        <v>165</v>
      </c>
      <c r="E385" s="66" t="s">
        <v>166</v>
      </c>
      <c r="F385" s="67" t="s">
        <v>2058</v>
      </c>
      <c r="G385" s="66" t="s">
        <v>2057</v>
      </c>
      <c r="H385" s="65" t="s">
        <v>2059</v>
      </c>
    </row>
    <row r="386" spans="1:8" x14ac:dyDescent="0.3">
      <c r="A386" s="65" t="s">
        <v>2060</v>
      </c>
      <c r="B386" s="65" t="s">
        <v>2061</v>
      </c>
      <c r="C386" s="66" t="s">
        <v>2062</v>
      </c>
      <c r="D386" s="67" t="s">
        <v>165</v>
      </c>
      <c r="E386" s="66" t="s">
        <v>166</v>
      </c>
      <c r="F386" s="67" t="s">
        <v>2063</v>
      </c>
      <c r="G386" s="66" t="s">
        <v>2062</v>
      </c>
      <c r="H386" s="65" t="s">
        <v>2064</v>
      </c>
    </row>
    <row r="387" spans="1:8" x14ac:dyDescent="0.3">
      <c r="A387" s="65" t="s">
        <v>2065</v>
      </c>
      <c r="B387" s="65" t="s">
        <v>2066</v>
      </c>
      <c r="C387" s="66" t="s">
        <v>2067</v>
      </c>
      <c r="D387" s="67" t="s">
        <v>165</v>
      </c>
      <c r="E387" s="66" t="s">
        <v>166</v>
      </c>
      <c r="F387" s="67" t="s">
        <v>2068</v>
      </c>
      <c r="G387" s="66" t="s">
        <v>2067</v>
      </c>
      <c r="H387" s="65" t="s">
        <v>2069</v>
      </c>
    </row>
    <row r="388" spans="1:8" x14ac:dyDescent="0.3">
      <c r="A388" s="65" t="s">
        <v>2070</v>
      </c>
      <c r="B388" s="65" t="s">
        <v>2071</v>
      </c>
      <c r="C388" s="66" t="s">
        <v>2072</v>
      </c>
      <c r="D388" s="67" t="s">
        <v>165</v>
      </c>
      <c r="E388" s="66" t="s">
        <v>166</v>
      </c>
      <c r="F388" s="67" t="s">
        <v>2073</v>
      </c>
      <c r="G388" s="66" t="s">
        <v>2072</v>
      </c>
      <c r="H388" s="65" t="s">
        <v>2074</v>
      </c>
    </row>
    <row r="389" spans="1:8" x14ac:dyDescent="0.3">
      <c r="A389" s="65" t="s">
        <v>2075</v>
      </c>
      <c r="B389" s="65" t="s">
        <v>2076</v>
      </c>
      <c r="C389" s="66" t="s">
        <v>2077</v>
      </c>
      <c r="D389" s="67" t="s">
        <v>165</v>
      </c>
      <c r="E389" s="66" t="s">
        <v>166</v>
      </c>
      <c r="F389" s="67" t="s">
        <v>2078</v>
      </c>
      <c r="G389" s="66" t="s">
        <v>2077</v>
      </c>
      <c r="H389" s="65" t="s">
        <v>2079</v>
      </c>
    </row>
    <row r="390" spans="1:8" x14ac:dyDescent="0.3">
      <c r="A390" s="65" t="s">
        <v>2080</v>
      </c>
      <c r="B390" s="65" t="s">
        <v>2081</v>
      </c>
      <c r="C390" s="66" t="s">
        <v>2082</v>
      </c>
      <c r="D390" s="67" t="s">
        <v>165</v>
      </c>
      <c r="E390" s="66" t="s">
        <v>166</v>
      </c>
      <c r="F390" s="67" t="s">
        <v>2083</v>
      </c>
      <c r="G390" s="66" t="s">
        <v>2082</v>
      </c>
      <c r="H390" s="65" t="s">
        <v>2084</v>
      </c>
    </row>
    <row r="391" spans="1:8" x14ac:dyDescent="0.3">
      <c r="A391" s="65" t="s">
        <v>2085</v>
      </c>
      <c r="B391" s="65" t="s">
        <v>2086</v>
      </c>
      <c r="C391" s="66" t="s">
        <v>2087</v>
      </c>
      <c r="D391" s="67" t="s">
        <v>165</v>
      </c>
      <c r="E391" s="66" t="s">
        <v>166</v>
      </c>
      <c r="F391" s="67" t="s">
        <v>2088</v>
      </c>
      <c r="G391" s="66" t="s">
        <v>2087</v>
      </c>
      <c r="H391" s="65" t="s">
        <v>2089</v>
      </c>
    </row>
    <row r="392" spans="1:8" x14ac:dyDescent="0.3">
      <c r="A392" s="65" t="s">
        <v>2090</v>
      </c>
      <c r="B392" s="65" t="s">
        <v>2091</v>
      </c>
      <c r="C392" s="66" t="s">
        <v>2092</v>
      </c>
      <c r="D392" s="67" t="s">
        <v>165</v>
      </c>
      <c r="E392" s="66" t="s">
        <v>166</v>
      </c>
      <c r="F392" s="67" t="s">
        <v>2093</v>
      </c>
      <c r="G392" s="66" t="s">
        <v>2092</v>
      </c>
      <c r="H392" s="65" t="s">
        <v>2094</v>
      </c>
    </row>
    <row r="393" spans="1:8" x14ac:dyDescent="0.3">
      <c r="A393" s="65" t="s">
        <v>2095</v>
      </c>
      <c r="B393" s="65" t="s">
        <v>2096</v>
      </c>
      <c r="C393" s="66" t="s">
        <v>2097</v>
      </c>
      <c r="D393" s="67" t="s">
        <v>320</v>
      </c>
      <c r="E393" s="66" t="s">
        <v>321</v>
      </c>
      <c r="F393" s="67" t="s">
        <v>2098</v>
      </c>
      <c r="G393" s="66" t="s">
        <v>2097</v>
      </c>
      <c r="H393" s="65" t="s">
        <v>2099</v>
      </c>
    </row>
    <row r="394" spans="1:8" x14ac:dyDescent="0.3">
      <c r="A394" s="65" t="s">
        <v>2100</v>
      </c>
      <c r="B394" s="65" t="s">
        <v>2101</v>
      </c>
      <c r="C394" s="66" t="s">
        <v>2102</v>
      </c>
      <c r="D394" s="67" t="s">
        <v>165</v>
      </c>
      <c r="E394" s="66" t="s">
        <v>166</v>
      </c>
      <c r="F394" s="67" t="s">
        <v>2103</v>
      </c>
      <c r="G394" s="66" t="s">
        <v>2102</v>
      </c>
      <c r="H394" s="65" t="s">
        <v>2104</v>
      </c>
    </row>
    <row r="395" spans="1:8" x14ac:dyDescent="0.3">
      <c r="A395" s="65" t="s">
        <v>2105</v>
      </c>
      <c r="B395" s="65" t="s">
        <v>2106</v>
      </c>
      <c r="C395" s="66" t="s">
        <v>2107</v>
      </c>
      <c r="D395" s="67" t="s">
        <v>165</v>
      </c>
      <c r="E395" s="66" t="s">
        <v>166</v>
      </c>
      <c r="F395" s="67" t="s">
        <v>2108</v>
      </c>
      <c r="G395" s="66" t="s">
        <v>2107</v>
      </c>
      <c r="H395" s="65" t="s">
        <v>2109</v>
      </c>
    </row>
    <row r="396" spans="1:8" x14ac:dyDescent="0.3">
      <c r="A396" s="65" t="s">
        <v>29</v>
      </c>
      <c r="B396" s="65" t="s">
        <v>2110</v>
      </c>
      <c r="C396" s="66" t="s">
        <v>104</v>
      </c>
      <c r="D396" s="67" t="s">
        <v>165</v>
      </c>
      <c r="E396" s="66" t="s">
        <v>166</v>
      </c>
      <c r="F396" s="67" t="s">
        <v>2111</v>
      </c>
      <c r="G396" s="66" t="s">
        <v>104</v>
      </c>
      <c r="H396" s="65" t="s">
        <v>2112</v>
      </c>
    </row>
    <row r="397" spans="1:8" x14ac:dyDescent="0.3">
      <c r="A397" s="65" t="s">
        <v>2113</v>
      </c>
      <c r="B397" s="65" t="s">
        <v>2114</v>
      </c>
      <c r="C397" s="66" t="s">
        <v>2115</v>
      </c>
      <c r="D397" s="67" t="s">
        <v>165</v>
      </c>
      <c r="E397" s="66" t="s">
        <v>166</v>
      </c>
      <c r="F397" s="67" t="s">
        <v>2116</v>
      </c>
      <c r="G397" s="66" t="s">
        <v>2115</v>
      </c>
      <c r="H397" s="65" t="s">
        <v>2117</v>
      </c>
    </row>
    <row r="398" spans="1:8" x14ac:dyDescent="0.3">
      <c r="A398" s="65" t="s">
        <v>2118</v>
      </c>
      <c r="B398" s="65" t="s">
        <v>2119</v>
      </c>
      <c r="C398" s="66" t="s">
        <v>2120</v>
      </c>
      <c r="D398" s="67" t="s">
        <v>165</v>
      </c>
      <c r="E398" s="66" t="s">
        <v>166</v>
      </c>
      <c r="F398" s="67" t="s">
        <v>2121</v>
      </c>
      <c r="G398" s="66" t="s">
        <v>2120</v>
      </c>
      <c r="H398" s="65" t="s">
        <v>2122</v>
      </c>
    </row>
    <row r="399" spans="1:8" x14ac:dyDescent="0.3">
      <c r="A399" s="65" t="s">
        <v>2123</v>
      </c>
      <c r="B399" s="65" t="s">
        <v>2124</v>
      </c>
      <c r="C399" s="66" t="s">
        <v>2125</v>
      </c>
      <c r="D399" s="67" t="s">
        <v>165</v>
      </c>
      <c r="E399" s="66" t="s">
        <v>166</v>
      </c>
      <c r="F399" s="67" t="s">
        <v>2126</v>
      </c>
      <c r="G399" s="66" t="s">
        <v>2125</v>
      </c>
      <c r="H399" s="65" t="s">
        <v>842</v>
      </c>
    </row>
    <row r="400" spans="1:8" x14ac:dyDescent="0.3">
      <c r="A400" s="65" t="s">
        <v>2127</v>
      </c>
      <c r="B400" s="65" t="s">
        <v>2128</v>
      </c>
      <c r="C400" s="66" t="s">
        <v>2129</v>
      </c>
      <c r="D400" s="67" t="s">
        <v>165</v>
      </c>
      <c r="E400" s="66" t="s">
        <v>166</v>
      </c>
      <c r="F400" s="67" t="s">
        <v>2130</v>
      </c>
      <c r="G400" s="66" t="s">
        <v>2129</v>
      </c>
      <c r="H400" s="65" t="s">
        <v>842</v>
      </c>
    </row>
    <row r="401" spans="1:8" x14ac:dyDescent="0.3">
      <c r="A401" s="65" t="s">
        <v>2131</v>
      </c>
      <c r="B401" s="65" t="s">
        <v>2132</v>
      </c>
      <c r="C401" s="66" t="s">
        <v>2133</v>
      </c>
      <c r="D401" s="67" t="s">
        <v>165</v>
      </c>
      <c r="E401" s="66" t="s">
        <v>166</v>
      </c>
      <c r="F401" s="67" t="s">
        <v>2134</v>
      </c>
      <c r="G401" s="66" t="s">
        <v>2133</v>
      </c>
      <c r="H401" s="65" t="s">
        <v>2135</v>
      </c>
    </row>
    <row r="402" spans="1:8" x14ac:dyDescent="0.3">
      <c r="A402" s="65" t="s">
        <v>2136</v>
      </c>
      <c r="B402" s="65" t="s">
        <v>2137</v>
      </c>
      <c r="C402" s="66" t="s">
        <v>2138</v>
      </c>
      <c r="D402" s="67" t="s">
        <v>165</v>
      </c>
      <c r="E402" s="66" t="s">
        <v>166</v>
      </c>
      <c r="F402" s="67" t="s">
        <v>2139</v>
      </c>
      <c r="G402" s="66" t="s">
        <v>2138</v>
      </c>
      <c r="H402" s="65" t="s">
        <v>2140</v>
      </c>
    </row>
    <row r="403" spans="1:8" x14ac:dyDescent="0.3">
      <c r="A403" s="65" t="s">
        <v>2141</v>
      </c>
      <c r="B403" s="65" t="s">
        <v>2142</v>
      </c>
      <c r="C403" s="66" t="s">
        <v>2143</v>
      </c>
      <c r="D403" s="67" t="s">
        <v>165</v>
      </c>
      <c r="E403" s="66" t="s">
        <v>166</v>
      </c>
      <c r="F403" s="67" t="s">
        <v>2144</v>
      </c>
      <c r="G403" s="66" t="s">
        <v>2143</v>
      </c>
      <c r="H403" s="65" t="s">
        <v>2145</v>
      </c>
    </row>
    <row r="404" spans="1:8" x14ac:dyDescent="0.3">
      <c r="A404" s="65" t="s">
        <v>2146</v>
      </c>
      <c r="B404" s="65" t="s">
        <v>2147</v>
      </c>
      <c r="C404" s="66" t="s">
        <v>2148</v>
      </c>
      <c r="D404" s="67" t="s">
        <v>165</v>
      </c>
      <c r="E404" s="66" t="s">
        <v>166</v>
      </c>
      <c r="F404" s="67" t="s">
        <v>2149</v>
      </c>
      <c r="G404" s="66" t="s">
        <v>2148</v>
      </c>
      <c r="H404" s="65" t="s">
        <v>2150</v>
      </c>
    </row>
    <row r="405" spans="1:8" x14ac:dyDescent="0.3">
      <c r="A405" s="65" t="s">
        <v>2151</v>
      </c>
      <c r="B405" s="65" t="s">
        <v>2152</v>
      </c>
      <c r="C405" s="66" t="s">
        <v>2153</v>
      </c>
      <c r="D405" s="67" t="s">
        <v>165</v>
      </c>
      <c r="E405" s="66" t="s">
        <v>166</v>
      </c>
      <c r="F405" s="67" t="s">
        <v>2154</v>
      </c>
      <c r="G405" s="66" t="s">
        <v>2153</v>
      </c>
      <c r="H405" s="65" t="s">
        <v>2155</v>
      </c>
    </row>
    <row r="406" spans="1:8" x14ac:dyDescent="0.3">
      <c r="A406" s="65" t="s">
        <v>2156</v>
      </c>
      <c r="B406" s="65" t="s">
        <v>2157</v>
      </c>
      <c r="C406" s="66" t="s">
        <v>2158</v>
      </c>
      <c r="D406" s="67" t="s">
        <v>165</v>
      </c>
      <c r="E406" s="66" t="s">
        <v>166</v>
      </c>
      <c r="F406" s="67" t="s">
        <v>2159</v>
      </c>
      <c r="G406" s="66" t="s">
        <v>2158</v>
      </c>
      <c r="H406" s="65" t="s">
        <v>2160</v>
      </c>
    </row>
    <row r="407" spans="1:8" x14ac:dyDescent="0.3">
      <c r="A407" s="65" t="s">
        <v>2161</v>
      </c>
      <c r="B407" s="65" t="s">
        <v>2162</v>
      </c>
      <c r="C407" s="66" t="s">
        <v>2163</v>
      </c>
      <c r="D407" s="67" t="s">
        <v>916</v>
      </c>
      <c r="E407" s="66" t="s">
        <v>917</v>
      </c>
      <c r="F407" s="67" t="s">
        <v>2164</v>
      </c>
      <c r="G407" s="66" t="s">
        <v>2163</v>
      </c>
      <c r="H407" s="65" t="s">
        <v>2165</v>
      </c>
    </row>
    <row r="408" spans="1:8" x14ac:dyDescent="0.3">
      <c r="A408" s="65" t="s">
        <v>2166</v>
      </c>
      <c r="B408" s="65" t="s">
        <v>2167</v>
      </c>
      <c r="C408" s="66" t="s">
        <v>2168</v>
      </c>
      <c r="D408" s="67" t="s">
        <v>165</v>
      </c>
      <c r="E408" s="66" t="s">
        <v>166</v>
      </c>
      <c r="F408" s="67" t="s">
        <v>2169</v>
      </c>
      <c r="G408" s="66" t="s">
        <v>2168</v>
      </c>
      <c r="H408" s="65" t="s">
        <v>2170</v>
      </c>
    </row>
    <row r="409" spans="1:8" x14ac:dyDescent="0.3">
      <c r="A409" s="65" t="s">
        <v>2171</v>
      </c>
      <c r="B409" s="65" t="s">
        <v>2172</v>
      </c>
      <c r="C409" s="66" t="s">
        <v>2173</v>
      </c>
      <c r="D409" s="67" t="s">
        <v>165</v>
      </c>
      <c r="E409" s="66" t="s">
        <v>166</v>
      </c>
      <c r="F409" s="67" t="s">
        <v>2174</v>
      </c>
      <c r="G409" s="66" t="s">
        <v>2173</v>
      </c>
      <c r="H409" s="65" t="s">
        <v>2175</v>
      </c>
    </row>
    <row r="410" spans="1:8" x14ac:dyDescent="0.3">
      <c r="A410" s="65" t="s">
        <v>2176</v>
      </c>
      <c r="B410" s="65" t="s">
        <v>2177</v>
      </c>
      <c r="C410" s="66" t="s">
        <v>2178</v>
      </c>
      <c r="D410" s="67" t="s">
        <v>165</v>
      </c>
      <c r="E410" s="66" t="s">
        <v>166</v>
      </c>
      <c r="F410" s="67" t="s">
        <v>2179</v>
      </c>
      <c r="G410" s="66" t="s">
        <v>2178</v>
      </c>
      <c r="H410" s="65" t="s">
        <v>2180</v>
      </c>
    </row>
    <row r="411" spans="1:8" x14ac:dyDescent="0.3">
      <c r="A411" s="65" t="s">
        <v>2181</v>
      </c>
      <c r="B411" s="65" t="s">
        <v>2182</v>
      </c>
      <c r="C411" s="66" t="s">
        <v>2183</v>
      </c>
      <c r="D411" s="67" t="s">
        <v>165</v>
      </c>
      <c r="E411" s="66" t="s">
        <v>166</v>
      </c>
      <c r="F411" s="67" t="s">
        <v>2184</v>
      </c>
      <c r="G411" s="66" t="s">
        <v>2183</v>
      </c>
      <c r="H411" s="65" t="s">
        <v>2185</v>
      </c>
    </row>
    <row r="412" spans="1:8" x14ac:dyDescent="0.3">
      <c r="A412" s="65" t="s">
        <v>2186</v>
      </c>
      <c r="B412" s="65" t="s">
        <v>2187</v>
      </c>
      <c r="C412" s="66" t="s">
        <v>2188</v>
      </c>
      <c r="D412" s="67" t="s">
        <v>165</v>
      </c>
      <c r="E412" s="66" t="s">
        <v>166</v>
      </c>
      <c r="F412" s="67" t="s">
        <v>2189</v>
      </c>
      <c r="G412" s="66" t="s">
        <v>2188</v>
      </c>
      <c r="H412" s="65" t="s">
        <v>2190</v>
      </c>
    </row>
    <row r="413" spans="1:8" x14ac:dyDescent="0.3">
      <c r="A413" s="65" t="s">
        <v>2191</v>
      </c>
      <c r="B413" s="65" t="s">
        <v>2192</v>
      </c>
      <c r="C413" s="66" t="s">
        <v>2193</v>
      </c>
      <c r="D413" s="67" t="s">
        <v>165</v>
      </c>
      <c r="E413" s="66" t="s">
        <v>166</v>
      </c>
      <c r="F413" s="67" t="s">
        <v>2194</v>
      </c>
      <c r="G413" s="66" t="s">
        <v>2193</v>
      </c>
      <c r="H413" s="65" t="s">
        <v>2195</v>
      </c>
    </row>
    <row r="414" spans="1:8" x14ac:dyDescent="0.3">
      <c r="A414" s="65" t="s">
        <v>2196</v>
      </c>
      <c r="B414" s="65" t="s">
        <v>2197</v>
      </c>
      <c r="C414" s="66" t="s">
        <v>2198</v>
      </c>
      <c r="D414" s="67" t="s">
        <v>219</v>
      </c>
      <c r="E414" s="66" t="s">
        <v>220</v>
      </c>
      <c r="F414" s="67" t="s">
        <v>2199</v>
      </c>
      <c r="G414" s="66" t="s">
        <v>2198</v>
      </c>
      <c r="H414" s="65" t="s">
        <v>2200</v>
      </c>
    </row>
    <row r="415" spans="1:8" x14ac:dyDescent="0.3">
      <c r="A415" s="65" t="s">
        <v>2201</v>
      </c>
      <c r="B415" s="65" t="s">
        <v>2202</v>
      </c>
      <c r="C415" s="66" t="s">
        <v>2203</v>
      </c>
      <c r="D415" s="67" t="s">
        <v>1432</v>
      </c>
      <c r="E415" s="66" t="s">
        <v>1433</v>
      </c>
      <c r="F415" s="67" t="s">
        <v>2204</v>
      </c>
      <c r="G415" s="66" t="s">
        <v>2203</v>
      </c>
      <c r="H415" s="65" t="s">
        <v>2205</v>
      </c>
    </row>
    <row r="416" spans="1:8" x14ac:dyDescent="0.3">
      <c r="A416" s="65" t="s">
        <v>2206</v>
      </c>
      <c r="B416" s="65" t="s">
        <v>2207</v>
      </c>
      <c r="C416" s="66" t="s">
        <v>2208</v>
      </c>
      <c r="D416" s="67" t="s">
        <v>165</v>
      </c>
      <c r="E416" s="66" t="s">
        <v>166</v>
      </c>
      <c r="F416" s="67" t="s">
        <v>2209</v>
      </c>
      <c r="G416" s="66" t="s">
        <v>2208</v>
      </c>
      <c r="H416" s="65" t="s">
        <v>2210</v>
      </c>
    </row>
    <row r="417" spans="1:8" x14ac:dyDescent="0.3">
      <c r="A417" s="65" t="s">
        <v>2211</v>
      </c>
      <c r="B417" s="65" t="s">
        <v>2212</v>
      </c>
      <c r="C417" s="66" t="s">
        <v>2213</v>
      </c>
      <c r="D417" s="67" t="s">
        <v>165</v>
      </c>
      <c r="E417" s="66" t="s">
        <v>166</v>
      </c>
      <c r="F417" s="67" t="s">
        <v>2214</v>
      </c>
      <c r="G417" s="66" t="s">
        <v>2213</v>
      </c>
      <c r="H417" s="65" t="s">
        <v>2215</v>
      </c>
    </row>
    <row r="418" spans="1:8" x14ac:dyDescent="0.3">
      <c r="A418" s="65" t="s">
        <v>2216</v>
      </c>
      <c r="B418" s="65" t="s">
        <v>2217</v>
      </c>
      <c r="C418" s="66" t="s">
        <v>2218</v>
      </c>
      <c r="D418" s="67" t="s">
        <v>165</v>
      </c>
      <c r="E418" s="66" t="s">
        <v>166</v>
      </c>
      <c r="F418" s="67" t="s">
        <v>2219</v>
      </c>
      <c r="G418" s="66" t="s">
        <v>2218</v>
      </c>
      <c r="H418" s="65" t="s">
        <v>2220</v>
      </c>
    </row>
    <row r="419" spans="1:8" x14ac:dyDescent="0.3">
      <c r="A419" s="65" t="s">
        <v>30</v>
      </c>
      <c r="B419" s="65" t="s">
        <v>2221</v>
      </c>
      <c r="C419" s="66" t="s">
        <v>106</v>
      </c>
      <c r="D419" s="67" t="s">
        <v>165</v>
      </c>
      <c r="E419" s="66" t="s">
        <v>166</v>
      </c>
      <c r="F419" s="67" t="s">
        <v>2222</v>
      </c>
      <c r="G419" s="66" t="s">
        <v>106</v>
      </c>
      <c r="H419" s="65" t="s">
        <v>2223</v>
      </c>
    </row>
    <row r="420" spans="1:8" x14ac:dyDescent="0.3">
      <c r="A420" s="65" t="s">
        <v>2224</v>
      </c>
      <c r="B420" s="65" t="s">
        <v>2225</v>
      </c>
      <c r="C420" s="66" t="s">
        <v>2226</v>
      </c>
      <c r="D420" s="67" t="s">
        <v>165</v>
      </c>
      <c r="E420" s="66" t="s">
        <v>166</v>
      </c>
      <c r="F420" s="67" t="s">
        <v>2227</v>
      </c>
      <c r="G420" s="66" t="s">
        <v>2226</v>
      </c>
      <c r="H420" s="65" t="s">
        <v>2228</v>
      </c>
    </row>
    <row r="421" spans="1:8" x14ac:dyDescent="0.3">
      <c r="A421" s="65" t="s">
        <v>2229</v>
      </c>
      <c r="B421" s="65" t="s">
        <v>2230</v>
      </c>
      <c r="C421" s="66" t="s">
        <v>2231</v>
      </c>
      <c r="D421" s="67" t="s">
        <v>520</v>
      </c>
      <c r="E421" s="66" t="s">
        <v>521</v>
      </c>
      <c r="F421" s="67" t="s">
        <v>2232</v>
      </c>
      <c r="G421" s="66" t="s">
        <v>2231</v>
      </c>
      <c r="H421" s="65" t="s">
        <v>2233</v>
      </c>
    </row>
    <row r="422" spans="1:8" x14ac:dyDescent="0.3">
      <c r="A422" s="65" t="s">
        <v>2234</v>
      </c>
      <c r="B422" s="65" t="s">
        <v>2235</v>
      </c>
      <c r="C422" s="66" t="s">
        <v>2236</v>
      </c>
      <c r="D422" s="67" t="s">
        <v>860</v>
      </c>
      <c r="E422" s="66" t="s">
        <v>861</v>
      </c>
      <c r="F422" s="67" t="s">
        <v>2237</v>
      </c>
      <c r="G422" s="66" t="s">
        <v>2236</v>
      </c>
      <c r="H422" s="65" t="s">
        <v>2238</v>
      </c>
    </row>
    <row r="423" spans="1:8" x14ac:dyDescent="0.3">
      <c r="A423" s="65" t="s">
        <v>2239</v>
      </c>
      <c r="B423" s="65" t="s">
        <v>2240</v>
      </c>
      <c r="C423" s="66" t="s">
        <v>2241</v>
      </c>
      <c r="D423" s="67" t="s">
        <v>219</v>
      </c>
      <c r="E423" s="66" t="s">
        <v>220</v>
      </c>
      <c r="F423" s="67" t="s">
        <v>2242</v>
      </c>
      <c r="G423" s="66" t="s">
        <v>2241</v>
      </c>
      <c r="H423" s="65" t="s">
        <v>2243</v>
      </c>
    </row>
    <row r="424" spans="1:8" x14ac:dyDescent="0.3">
      <c r="A424" s="65" t="s">
        <v>2244</v>
      </c>
      <c r="B424" s="65" t="s">
        <v>2245</v>
      </c>
      <c r="C424" s="66" t="s">
        <v>2246</v>
      </c>
      <c r="D424" s="67" t="s">
        <v>520</v>
      </c>
      <c r="E424" s="66" t="s">
        <v>521</v>
      </c>
      <c r="F424" s="67" t="s">
        <v>2247</v>
      </c>
      <c r="G424" s="66" t="s">
        <v>2246</v>
      </c>
      <c r="H424" s="65" t="s">
        <v>2248</v>
      </c>
    </row>
    <row r="425" spans="1:8" x14ac:dyDescent="0.3">
      <c r="A425" s="65" t="s">
        <v>2249</v>
      </c>
      <c r="B425" s="65" t="s">
        <v>2250</v>
      </c>
      <c r="C425" s="66" t="s">
        <v>2251</v>
      </c>
      <c r="D425" s="67" t="s">
        <v>165</v>
      </c>
      <c r="E425" s="66" t="s">
        <v>166</v>
      </c>
      <c r="F425" s="67" t="s">
        <v>2252</v>
      </c>
      <c r="G425" s="66" t="s">
        <v>2251</v>
      </c>
      <c r="H425" s="65" t="s">
        <v>2253</v>
      </c>
    </row>
    <row r="426" spans="1:8" x14ac:dyDescent="0.3">
      <c r="A426" s="65" t="s">
        <v>2254</v>
      </c>
      <c r="B426" s="65" t="s">
        <v>2255</v>
      </c>
      <c r="C426" s="66" t="s">
        <v>2256</v>
      </c>
      <c r="D426" s="67" t="s">
        <v>241</v>
      </c>
      <c r="E426" s="66" t="s">
        <v>242</v>
      </c>
      <c r="F426" s="67" t="s">
        <v>2257</v>
      </c>
      <c r="G426" s="66" t="s">
        <v>2256</v>
      </c>
      <c r="H426" s="65" t="s">
        <v>2258</v>
      </c>
    </row>
    <row r="427" spans="1:8" x14ac:dyDescent="0.3">
      <c r="A427" s="65" t="s">
        <v>2259</v>
      </c>
      <c r="B427" s="65" t="s">
        <v>2260</v>
      </c>
      <c r="C427" s="66" t="s">
        <v>2261</v>
      </c>
      <c r="D427" s="67" t="s">
        <v>320</v>
      </c>
      <c r="E427" s="66" t="s">
        <v>321</v>
      </c>
      <c r="F427" s="67" t="s">
        <v>2262</v>
      </c>
      <c r="G427" s="66" t="s">
        <v>2261</v>
      </c>
      <c r="H427" s="65" t="s">
        <v>2263</v>
      </c>
    </row>
    <row r="428" spans="1:8" x14ac:dyDescent="0.3">
      <c r="A428" s="65" t="s">
        <v>2264</v>
      </c>
      <c r="B428" s="65" t="s">
        <v>2265</v>
      </c>
      <c r="C428" s="66" t="s">
        <v>2266</v>
      </c>
      <c r="D428" s="67" t="s">
        <v>165</v>
      </c>
      <c r="E428" s="66" t="s">
        <v>166</v>
      </c>
      <c r="F428" s="67" t="s">
        <v>2267</v>
      </c>
      <c r="G428" s="66" t="s">
        <v>2266</v>
      </c>
      <c r="H428" s="65" t="s">
        <v>2268</v>
      </c>
    </row>
    <row r="429" spans="1:8" x14ac:dyDescent="0.3">
      <c r="A429" s="65" t="s">
        <v>2269</v>
      </c>
      <c r="B429" s="65" t="s">
        <v>2270</v>
      </c>
      <c r="C429" s="66" t="s">
        <v>2271</v>
      </c>
      <c r="D429" s="67" t="s">
        <v>165</v>
      </c>
      <c r="E429" s="66" t="s">
        <v>166</v>
      </c>
      <c r="F429" s="67" t="s">
        <v>2272</v>
      </c>
      <c r="G429" s="66" t="s">
        <v>2271</v>
      </c>
      <c r="H429" s="65" t="s">
        <v>2273</v>
      </c>
    </row>
    <row r="430" spans="1:8" x14ac:dyDescent="0.3">
      <c r="A430" s="65" t="s">
        <v>2274</v>
      </c>
      <c r="B430" s="65" t="s">
        <v>2275</v>
      </c>
      <c r="C430" s="66" t="s">
        <v>2276</v>
      </c>
      <c r="D430" s="67" t="s">
        <v>320</v>
      </c>
      <c r="E430" s="66" t="s">
        <v>321</v>
      </c>
      <c r="F430" s="67" t="s">
        <v>2277</v>
      </c>
      <c r="G430" s="66" t="s">
        <v>2276</v>
      </c>
      <c r="H430" s="65" t="s">
        <v>2278</v>
      </c>
    </row>
    <row r="431" spans="1:8" x14ac:dyDescent="0.3">
      <c r="A431" s="65" t="s">
        <v>2279</v>
      </c>
      <c r="B431" s="65" t="s">
        <v>2280</v>
      </c>
      <c r="C431" s="66" t="s">
        <v>2281</v>
      </c>
      <c r="D431" s="67" t="s">
        <v>165</v>
      </c>
      <c r="E431" s="66" t="s">
        <v>166</v>
      </c>
      <c r="F431" s="67" t="s">
        <v>2282</v>
      </c>
      <c r="G431" s="66" t="s">
        <v>2281</v>
      </c>
      <c r="H431" s="65" t="s">
        <v>2283</v>
      </c>
    </row>
    <row r="432" spans="1:8" x14ac:dyDescent="0.3">
      <c r="A432" s="65" t="s">
        <v>2284</v>
      </c>
      <c r="B432" s="65" t="s">
        <v>2285</v>
      </c>
      <c r="C432" s="66" t="s">
        <v>2286</v>
      </c>
      <c r="D432" s="67" t="s">
        <v>212</v>
      </c>
      <c r="E432" s="66" t="s">
        <v>213</v>
      </c>
      <c r="F432" s="67" t="s">
        <v>2287</v>
      </c>
      <c r="G432" s="66" t="s">
        <v>2286</v>
      </c>
      <c r="H432" s="65" t="s">
        <v>2288</v>
      </c>
    </row>
    <row r="433" spans="1:8" x14ac:dyDescent="0.3">
      <c r="A433" s="65" t="s">
        <v>2289</v>
      </c>
      <c r="B433" s="65" t="s">
        <v>2290</v>
      </c>
      <c r="C433" s="66" t="s">
        <v>2291</v>
      </c>
      <c r="D433" s="67" t="s">
        <v>165</v>
      </c>
      <c r="E433" s="66" t="s">
        <v>166</v>
      </c>
      <c r="F433" s="67" t="s">
        <v>2292</v>
      </c>
      <c r="G433" s="66" t="s">
        <v>2291</v>
      </c>
      <c r="H433" s="65" t="s">
        <v>2293</v>
      </c>
    </row>
    <row r="434" spans="1:8" x14ac:dyDescent="0.3">
      <c r="A434" s="65" t="s">
        <v>2294</v>
      </c>
      <c r="B434" s="65" t="s">
        <v>2295</v>
      </c>
      <c r="C434" s="66" t="s">
        <v>2296</v>
      </c>
      <c r="D434" s="67" t="s">
        <v>165</v>
      </c>
      <c r="E434" s="66" t="s">
        <v>166</v>
      </c>
      <c r="F434" s="67" t="s">
        <v>2297</v>
      </c>
      <c r="G434" s="66" t="s">
        <v>2296</v>
      </c>
      <c r="H434" s="65" t="s">
        <v>2298</v>
      </c>
    </row>
    <row r="435" spans="1:8" x14ac:dyDescent="0.3">
      <c r="A435" s="65" t="s">
        <v>2299</v>
      </c>
      <c r="B435" s="65" t="s">
        <v>2300</v>
      </c>
      <c r="C435" s="66" t="s">
        <v>2301</v>
      </c>
      <c r="D435" s="67" t="s">
        <v>165</v>
      </c>
      <c r="E435" s="66" t="s">
        <v>166</v>
      </c>
      <c r="F435" s="67" t="s">
        <v>2302</v>
      </c>
      <c r="G435" s="66" t="s">
        <v>2301</v>
      </c>
      <c r="H435" s="65" t="s">
        <v>2303</v>
      </c>
    </row>
    <row r="436" spans="1:8" x14ac:dyDescent="0.3">
      <c r="A436" s="65" t="s">
        <v>2304</v>
      </c>
      <c r="B436" s="65" t="s">
        <v>2305</v>
      </c>
      <c r="C436" s="66" t="s">
        <v>2306</v>
      </c>
      <c r="D436" s="67" t="s">
        <v>241</v>
      </c>
      <c r="E436" s="66" t="s">
        <v>242</v>
      </c>
      <c r="F436" s="67" t="s">
        <v>2307</v>
      </c>
      <c r="G436" s="66" t="s">
        <v>2306</v>
      </c>
      <c r="H436" s="65" t="s">
        <v>2308</v>
      </c>
    </row>
    <row r="437" spans="1:8" x14ac:dyDescent="0.3">
      <c r="A437" s="65" t="s">
        <v>2309</v>
      </c>
      <c r="B437" s="65" t="s">
        <v>2310</v>
      </c>
      <c r="C437" s="66" t="s">
        <v>2311</v>
      </c>
      <c r="D437" s="67" t="s">
        <v>212</v>
      </c>
      <c r="E437" s="66" t="s">
        <v>213</v>
      </c>
      <c r="F437" s="67" t="s">
        <v>2312</v>
      </c>
      <c r="G437" s="66" t="s">
        <v>2311</v>
      </c>
      <c r="H437" s="65" t="s">
        <v>2313</v>
      </c>
    </row>
    <row r="438" spans="1:8" x14ac:dyDescent="0.3">
      <c r="A438" s="65" t="s">
        <v>31</v>
      </c>
      <c r="B438" s="65" t="s">
        <v>2314</v>
      </c>
      <c r="C438" s="66" t="s">
        <v>105</v>
      </c>
      <c r="D438" s="67" t="s">
        <v>165</v>
      </c>
      <c r="E438" s="66" t="s">
        <v>166</v>
      </c>
      <c r="F438" s="67" t="s">
        <v>2315</v>
      </c>
      <c r="G438" s="66" t="s">
        <v>105</v>
      </c>
      <c r="H438" s="65" t="s">
        <v>2316</v>
      </c>
    </row>
    <row r="439" spans="1:8" x14ac:dyDescent="0.3">
      <c r="A439" s="65" t="s">
        <v>2317</v>
      </c>
      <c r="B439" s="65" t="s">
        <v>2318</v>
      </c>
      <c r="C439" s="66" t="s">
        <v>2319</v>
      </c>
      <c r="D439" s="67" t="s">
        <v>320</v>
      </c>
      <c r="E439" s="66" t="s">
        <v>321</v>
      </c>
      <c r="F439" s="67" t="s">
        <v>2320</v>
      </c>
      <c r="G439" s="66" t="s">
        <v>2319</v>
      </c>
      <c r="H439" s="65" t="s">
        <v>2321</v>
      </c>
    </row>
    <row r="440" spans="1:8" x14ac:dyDescent="0.3">
      <c r="A440" s="65" t="s">
        <v>2322</v>
      </c>
      <c r="B440" s="65" t="s">
        <v>2323</v>
      </c>
      <c r="C440" s="66" t="s">
        <v>2324</v>
      </c>
      <c r="D440" s="67" t="s">
        <v>165</v>
      </c>
      <c r="E440" s="66" t="s">
        <v>166</v>
      </c>
      <c r="F440" s="67" t="s">
        <v>2325</v>
      </c>
      <c r="G440" s="66" t="s">
        <v>2324</v>
      </c>
      <c r="H440" s="65" t="s">
        <v>2326</v>
      </c>
    </row>
    <row r="441" spans="1:8" x14ac:dyDescent="0.3">
      <c r="A441" s="65" t="s">
        <v>2327</v>
      </c>
      <c r="B441" s="65" t="s">
        <v>2328</v>
      </c>
      <c r="C441" s="66" t="s">
        <v>2329</v>
      </c>
      <c r="D441" s="67" t="s">
        <v>165</v>
      </c>
      <c r="E441" s="66" t="s">
        <v>166</v>
      </c>
      <c r="F441" s="67" t="s">
        <v>2330</v>
      </c>
      <c r="G441" s="66" t="s">
        <v>2329</v>
      </c>
      <c r="H441" s="65" t="s">
        <v>2331</v>
      </c>
    </row>
    <row r="442" spans="1:8" x14ac:dyDescent="0.3">
      <c r="A442" s="65" t="s">
        <v>2332</v>
      </c>
      <c r="B442" s="65" t="s">
        <v>2333</v>
      </c>
      <c r="C442" s="66" t="s">
        <v>2334</v>
      </c>
      <c r="D442" s="67" t="s">
        <v>165</v>
      </c>
      <c r="E442" s="66" t="s">
        <v>166</v>
      </c>
      <c r="F442" s="67" t="s">
        <v>2335</v>
      </c>
      <c r="G442" s="66" t="s">
        <v>2334</v>
      </c>
      <c r="H442" s="65" t="s">
        <v>2336</v>
      </c>
    </row>
    <row r="443" spans="1:8" x14ac:dyDescent="0.3">
      <c r="A443" s="65" t="s">
        <v>2337</v>
      </c>
      <c r="B443" s="65" t="s">
        <v>2338</v>
      </c>
      <c r="C443" s="66" t="s">
        <v>2339</v>
      </c>
      <c r="D443" s="67" t="s">
        <v>165</v>
      </c>
      <c r="E443" s="66" t="s">
        <v>166</v>
      </c>
      <c r="F443" s="67" t="s">
        <v>2340</v>
      </c>
      <c r="G443" s="66" t="s">
        <v>2339</v>
      </c>
      <c r="H443" s="65" t="s">
        <v>2341</v>
      </c>
    </row>
    <row r="444" spans="1:8" x14ac:dyDescent="0.3">
      <c r="A444" s="65" t="s">
        <v>2342</v>
      </c>
      <c r="B444" s="65" t="s">
        <v>2343</v>
      </c>
      <c r="C444" s="66" t="s">
        <v>2344</v>
      </c>
      <c r="D444" s="67" t="s">
        <v>165</v>
      </c>
      <c r="E444" s="66" t="s">
        <v>166</v>
      </c>
      <c r="F444" s="67" t="s">
        <v>2345</v>
      </c>
      <c r="G444" s="66" t="s">
        <v>2344</v>
      </c>
      <c r="H444" s="65" t="s">
        <v>2346</v>
      </c>
    </row>
    <row r="445" spans="1:8" x14ac:dyDescent="0.3">
      <c r="A445" s="65" t="s">
        <v>2347</v>
      </c>
      <c r="B445" s="65" t="s">
        <v>2348</v>
      </c>
      <c r="C445" s="66" t="s">
        <v>2349</v>
      </c>
      <c r="D445" s="67" t="s">
        <v>520</v>
      </c>
      <c r="E445" s="66" t="s">
        <v>521</v>
      </c>
      <c r="F445" s="67" t="s">
        <v>2350</v>
      </c>
      <c r="G445" s="66" t="s">
        <v>2349</v>
      </c>
      <c r="H445" s="65" t="s">
        <v>2351</v>
      </c>
    </row>
    <row r="446" spans="1:8" x14ac:dyDescent="0.3">
      <c r="A446" s="65" t="s">
        <v>2352</v>
      </c>
      <c r="B446" s="65" t="s">
        <v>2353</v>
      </c>
      <c r="C446" s="66" t="s">
        <v>2354</v>
      </c>
      <c r="D446" s="67" t="s">
        <v>165</v>
      </c>
      <c r="E446" s="66" t="s">
        <v>166</v>
      </c>
      <c r="F446" s="67" t="s">
        <v>2355</v>
      </c>
      <c r="G446" s="66" t="s">
        <v>2354</v>
      </c>
      <c r="H446" s="65" t="s">
        <v>2356</v>
      </c>
    </row>
    <row r="447" spans="1:8" x14ac:dyDescent="0.3">
      <c r="A447" s="65" t="s">
        <v>2357</v>
      </c>
      <c r="B447" s="65" t="s">
        <v>2358</v>
      </c>
      <c r="C447" s="66" t="s">
        <v>2359</v>
      </c>
      <c r="D447" s="67" t="s">
        <v>165</v>
      </c>
      <c r="E447" s="66" t="s">
        <v>166</v>
      </c>
      <c r="F447" s="67" t="s">
        <v>2360</v>
      </c>
      <c r="G447" s="66" t="s">
        <v>2359</v>
      </c>
      <c r="H447" s="65" t="s">
        <v>2361</v>
      </c>
    </row>
    <row r="448" spans="1:8" x14ac:dyDescent="0.3">
      <c r="A448" s="65" t="s">
        <v>2362</v>
      </c>
      <c r="B448" s="65" t="s">
        <v>2363</v>
      </c>
      <c r="C448" s="66" t="s">
        <v>2364</v>
      </c>
      <c r="D448" s="67" t="s">
        <v>165</v>
      </c>
      <c r="E448" s="66" t="s">
        <v>166</v>
      </c>
      <c r="F448" s="67" t="s">
        <v>2365</v>
      </c>
      <c r="G448" s="66" t="s">
        <v>2364</v>
      </c>
      <c r="H448" s="65" t="s">
        <v>2366</v>
      </c>
    </row>
    <row r="449" spans="1:8" x14ac:dyDescent="0.3">
      <c r="A449" s="65" t="s">
        <v>2367</v>
      </c>
      <c r="B449" s="65" t="s">
        <v>2368</v>
      </c>
      <c r="C449" s="66" t="s">
        <v>2369</v>
      </c>
      <c r="D449" s="67" t="s">
        <v>165</v>
      </c>
      <c r="E449" s="66" t="s">
        <v>166</v>
      </c>
      <c r="F449" s="67" t="s">
        <v>2370</v>
      </c>
      <c r="G449" s="66" t="s">
        <v>2369</v>
      </c>
      <c r="H449" s="65" t="s">
        <v>2371</v>
      </c>
    </row>
    <row r="450" spans="1:8" x14ac:dyDescent="0.3">
      <c r="A450" s="65" t="s">
        <v>2372</v>
      </c>
      <c r="B450" s="65" t="s">
        <v>2373</v>
      </c>
      <c r="C450" s="66" t="s">
        <v>2374</v>
      </c>
      <c r="D450" s="67" t="s">
        <v>165</v>
      </c>
      <c r="E450" s="66" t="s">
        <v>166</v>
      </c>
      <c r="F450" s="67" t="s">
        <v>2375</v>
      </c>
      <c r="G450" s="66" t="s">
        <v>2374</v>
      </c>
      <c r="H450" s="65" t="s">
        <v>2376</v>
      </c>
    </row>
    <row r="451" spans="1:8" x14ac:dyDescent="0.3">
      <c r="A451" s="65" t="s">
        <v>2377</v>
      </c>
      <c r="B451" s="65" t="s">
        <v>2378</v>
      </c>
      <c r="C451" s="66" t="s">
        <v>2379</v>
      </c>
      <c r="D451" s="67" t="s">
        <v>165</v>
      </c>
      <c r="E451" s="66" t="s">
        <v>166</v>
      </c>
      <c r="F451" s="67" t="s">
        <v>2380</v>
      </c>
      <c r="G451" s="66" t="s">
        <v>2379</v>
      </c>
      <c r="H451" s="65" t="s">
        <v>2381</v>
      </c>
    </row>
    <row r="452" spans="1:8" x14ac:dyDescent="0.3">
      <c r="A452" s="65" t="s">
        <v>2382</v>
      </c>
      <c r="B452" s="65" t="s">
        <v>2383</v>
      </c>
      <c r="C452" s="66" t="s">
        <v>2384</v>
      </c>
      <c r="D452" s="67" t="s">
        <v>165</v>
      </c>
      <c r="E452" s="66" t="s">
        <v>166</v>
      </c>
      <c r="F452" s="67" t="s">
        <v>2385</v>
      </c>
      <c r="G452" s="66" t="s">
        <v>2384</v>
      </c>
      <c r="H452" s="65" t="s">
        <v>2386</v>
      </c>
    </row>
    <row r="453" spans="1:8" x14ac:dyDescent="0.3">
      <c r="A453" s="65" t="s">
        <v>2387</v>
      </c>
      <c r="B453" s="65" t="s">
        <v>2388</v>
      </c>
      <c r="C453" s="66" t="s">
        <v>2389</v>
      </c>
      <c r="D453" s="67" t="s">
        <v>520</v>
      </c>
      <c r="E453" s="66" t="s">
        <v>521</v>
      </c>
      <c r="F453" s="67" t="s">
        <v>2390</v>
      </c>
      <c r="G453" s="66" t="s">
        <v>2389</v>
      </c>
      <c r="H453" s="65" t="s">
        <v>2391</v>
      </c>
    </row>
    <row r="454" spans="1:8" x14ac:dyDescent="0.3">
      <c r="A454" s="65" t="s">
        <v>2392</v>
      </c>
      <c r="B454" s="65" t="s">
        <v>2393</v>
      </c>
      <c r="C454" s="66" t="s">
        <v>2394</v>
      </c>
      <c r="D454" s="67" t="s">
        <v>165</v>
      </c>
      <c r="E454" s="66" t="s">
        <v>166</v>
      </c>
      <c r="F454" s="67" t="s">
        <v>2395</v>
      </c>
      <c r="G454" s="66" t="s">
        <v>2394</v>
      </c>
      <c r="H454" s="65" t="s">
        <v>2396</v>
      </c>
    </row>
    <row r="455" spans="1:8" x14ac:dyDescent="0.3">
      <c r="A455" s="65" t="s">
        <v>2397</v>
      </c>
      <c r="B455" s="65" t="s">
        <v>2398</v>
      </c>
      <c r="C455" s="66" t="s">
        <v>2399</v>
      </c>
      <c r="D455" s="67" t="s">
        <v>165</v>
      </c>
      <c r="E455" s="66" t="s">
        <v>166</v>
      </c>
      <c r="F455" s="67" t="s">
        <v>2400</v>
      </c>
      <c r="G455" s="66" t="s">
        <v>2399</v>
      </c>
      <c r="H455" s="65" t="s">
        <v>2401</v>
      </c>
    </row>
    <row r="456" spans="1:8" x14ac:dyDescent="0.3">
      <c r="A456" s="65" t="s">
        <v>2402</v>
      </c>
      <c r="B456" s="65" t="s">
        <v>2403</v>
      </c>
      <c r="C456" s="66" t="s">
        <v>2404</v>
      </c>
      <c r="D456" s="67" t="s">
        <v>165</v>
      </c>
      <c r="E456" s="66" t="s">
        <v>166</v>
      </c>
      <c r="F456" s="67" t="s">
        <v>2405</v>
      </c>
      <c r="G456" s="66" t="s">
        <v>2404</v>
      </c>
      <c r="H456" s="65" t="s">
        <v>2406</v>
      </c>
    </row>
    <row r="457" spans="1:8" x14ac:dyDescent="0.3">
      <c r="A457" s="65" t="s">
        <v>2407</v>
      </c>
      <c r="B457" s="65" t="s">
        <v>2408</v>
      </c>
      <c r="C457" s="66" t="s">
        <v>2409</v>
      </c>
      <c r="D457" s="67" t="s">
        <v>165</v>
      </c>
      <c r="E457" s="66" t="s">
        <v>166</v>
      </c>
      <c r="F457" s="67" t="s">
        <v>2410</v>
      </c>
      <c r="G457" s="66" t="s">
        <v>2409</v>
      </c>
      <c r="H457" s="65" t="s">
        <v>2411</v>
      </c>
    </row>
    <row r="458" spans="1:8" x14ac:dyDescent="0.3">
      <c r="A458" s="65" t="s">
        <v>2412</v>
      </c>
      <c r="B458" s="65" t="s">
        <v>2413</v>
      </c>
      <c r="C458" s="66" t="s">
        <v>2414</v>
      </c>
      <c r="D458" s="67" t="s">
        <v>308</v>
      </c>
      <c r="E458" s="66" t="s">
        <v>309</v>
      </c>
      <c r="F458" s="67" t="s">
        <v>2415</v>
      </c>
      <c r="G458" s="66" t="s">
        <v>2414</v>
      </c>
      <c r="H458" s="65" t="s">
        <v>2416</v>
      </c>
    </row>
    <row r="459" spans="1:8" x14ac:dyDescent="0.3">
      <c r="A459" s="65" t="s">
        <v>2417</v>
      </c>
      <c r="B459" s="65" t="s">
        <v>2418</v>
      </c>
      <c r="C459" s="66" t="s">
        <v>2419</v>
      </c>
      <c r="D459" s="67" t="s">
        <v>165</v>
      </c>
      <c r="E459" s="66" t="s">
        <v>166</v>
      </c>
      <c r="F459" s="67" t="s">
        <v>2420</v>
      </c>
      <c r="G459" s="66" t="s">
        <v>2419</v>
      </c>
      <c r="H459" s="65" t="s">
        <v>2421</v>
      </c>
    </row>
    <row r="460" spans="1:8" x14ac:dyDescent="0.3">
      <c r="A460" s="65" t="s">
        <v>2422</v>
      </c>
      <c r="B460" s="65" t="s">
        <v>2423</v>
      </c>
      <c r="C460" s="66" t="s">
        <v>386</v>
      </c>
      <c r="D460" s="67" t="s">
        <v>165</v>
      </c>
      <c r="E460" s="66" t="s">
        <v>166</v>
      </c>
      <c r="F460" s="67" t="s">
        <v>2424</v>
      </c>
      <c r="G460" s="66" t="s">
        <v>386</v>
      </c>
      <c r="H460" s="65" t="s">
        <v>2425</v>
      </c>
    </row>
    <row r="461" spans="1:8" x14ac:dyDescent="0.3">
      <c r="A461" s="65" t="s">
        <v>2426</v>
      </c>
      <c r="B461" s="65" t="s">
        <v>2427</v>
      </c>
      <c r="C461" s="66" t="s">
        <v>2428</v>
      </c>
      <c r="D461" s="67" t="s">
        <v>165</v>
      </c>
      <c r="E461" s="66" t="s">
        <v>166</v>
      </c>
      <c r="F461" s="67" t="s">
        <v>2429</v>
      </c>
      <c r="G461" s="66" t="s">
        <v>2428</v>
      </c>
      <c r="H461" s="65" t="s">
        <v>2430</v>
      </c>
    </row>
    <row r="462" spans="1:8" x14ac:dyDescent="0.3">
      <c r="A462" s="65" t="s">
        <v>2431</v>
      </c>
      <c r="B462" s="65" t="s">
        <v>2432</v>
      </c>
      <c r="C462" s="66" t="s">
        <v>2433</v>
      </c>
      <c r="D462" s="67" t="s">
        <v>165</v>
      </c>
      <c r="E462" s="66" t="s">
        <v>166</v>
      </c>
      <c r="F462" s="67" t="s">
        <v>2434</v>
      </c>
      <c r="G462" s="66" t="s">
        <v>2433</v>
      </c>
      <c r="H462" s="65" t="s">
        <v>2435</v>
      </c>
    </row>
    <row r="463" spans="1:8" x14ac:dyDescent="0.3">
      <c r="A463" s="65" t="s">
        <v>2436</v>
      </c>
      <c r="B463" s="65" t="s">
        <v>2437</v>
      </c>
      <c r="C463" s="66" t="s">
        <v>2438</v>
      </c>
      <c r="D463" s="67" t="s">
        <v>165</v>
      </c>
      <c r="E463" s="66" t="s">
        <v>166</v>
      </c>
      <c r="F463" s="67" t="s">
        <v>2439</v>
      </c>
      <c r="G463" s="66" t="s">
        <v>2438</v>
      </c>
      <c r="H463" s="65" t="s">
        <v>2440</v>
      </c>
    </row>
    <row r="464" spans="1:8" x14ac:dyDescent="0.3">
      <c r="A464" s="65" t="s">
        <v>2441</v>
      </c>
      <c r="B464" s="65" t="s">
        <v>2442</v>
      </c>
      <c r="C464" s="66" t="s">
        <v>2443</v>
      </c>
      <c r="D464" s="67" t="s">
        <v>165</v>
      </c>
      <c r="E464" s="66" t="s">
        <v>166</v>
      </c>
      <c r="F464" s="67" t="s">
        <v>2444</v>
      </c>
      <c r="G464" s="66" t="s">
        <v>2443</v>
      </c>
      <c r="H464" s="65" t="s">
        <v>2445</v>
      </c>
    </row>
    <row r="465" spans="1:8" x14ac:dyDescent="0.3">
      <c r="A465" s="65" t="s">
        <v>2446</v>
      </c>
      <c r="B465" s="65" t="s">
        <v>2447</v>
      </c>
      <c r="C465" s="66" t="s">
        <v>1146</v>
      </c>
      <c r="D465" s="67" t="s">
        <v>165</v>
      </c>
      <c r="E465" s="66" t="s">
        <v>166</v>
      </c>
      <c r="F465" s="67" t="s">
        <v>2448</v>
      </c>
      <c r="G465" s="66" t="s">
        <v>1146</v>
      </c>
      <c r="H465" s="65" t="s">
        <v>2449</v>
      </c>
    </row>
    <row r="466" spans="1:8" x14ac:dyDescent="0.3">
      <c r="A466" s="65" t="s">
        <v>2450</v>
      </c>
      <c r="B466" s="65" t="s">
        <v>2451</v>
      </c>
      <c r="C466" s="66" t="s">
        <v>142</v>
      </c>
      <c r="D466" s="67" t="s">
        <v>165</v>
      </c>
      <c r="E466" s="66" t="s">
        <v>166</v>
      </c>
      <c r="F466" s="67" t="s">
        <v>2452</v>
      </c>
      <c r="G466" s="66" t="s">
        <v>142</v>
      </c>
      <c r="H466" s="65" t="s">
        <v>2453</v>
      </c>
    </row>
    <row r="467" spans="1:8" x14ac:dyDescent="0.3">
      <c r="A467" s="65" t="s">
        <v>2454</v>
      </c>
      <c r="B467" s="65" t="s">
        <v>2455</v>
      </c>
      <c r="C467" s="66" t="s">
        <v>2456</v>
      </c>
      <c r="D467" s="67" t="s">
        <v>165</v>
      </c>
      <c r="E467" s="66" t="s">
        <v>166</v>
      </c>
      <c r="F467" s="67" t="s">
        <v>2457</v>
      </c>
      <c r="G467" s="66" t="s">
        <v>2456</v>
      </c>
      <c r="H467" s="65" t="s">
        <v>2458</v>
      </c>
    </row>
    <row r="468" spans="1:8" x14ac:dyDescent="0.3">
      <c r="A468" s="65" t="s">
        <v>2459</v>
      </c>
      <c r="B468" s="65" t="s">
        <v>2460</v>
      </c>
      <c r="C468" s="66" t="s">
        <v>2461</v>
      </c>
      <c r="D468" s="67" t="s">
        <v>165</v>
      </c>
      <c r="E468" s="66" t="s">
        <v>166</v>
      </c>
      <c r="F468" s="67" t="s">
        <v>2462</v>
      </c>
      <c r="G468" s="66" t="s">
        <v>2461</v>
      </c>
      <c r="H468" s="65" t="s">
        <v>2463</v>
      </c>
    </row>
    <row r="469" spans="1:8" x14ac:dyDescent="0.3">
      <c r="A469" s="65" t="s">
        <v>2464</v>
      </c>
      <c r="B469" s="65" t="s">
        <v>2465</v>
      </c>
      <c r="C469" s="66" t="s">
        <v>2466</v>
      </c>
      <c r="D469" s="67" t="s">
        <v>165</v>
      </c>
      <c r="E469" s="66" t="s">
        <v>166</v>
      </c>
      <c r="F469" s="67" t="s">
        <v>2467</v>
      </c>
      <c r="G469" s="66" t="s">
        <v>2466</v>
      </c>
      <c r="H469" s="65" t="s">
        <v>2468</v>
      </c>
    </row>
    <row r="470" spans="1:8" x14ac:dyDescent="0.3">
      <c r="A470" s="65" t="s">
        <v>2469</v>
      </c>
      <c r="B470" s="65" t="s">
        <v>2470</v>
      </c>
      <c r="C470" s="66" t="s">
        <v>2471</v>
      </c>
      <c r="D470" s="67" t="s">
        <v>241</v>
      </c>
      <c r="E470" s="66" t="s">
        <v>242</v>
      </c>
      <c r="F470" s="67" t="s">
        <v>2472</v>
      </c>
      <c r="G470" s="66" t="s">
        <v>2471</v>
      </c>
      <c r="H470" s="65" t="s">
        <v>2473</v>
      </c>
    </row>
    <row r="471" spans="1:8" x14ac:dyDescent="0.3">
      <c r="A471" s="65" t="s">
        <v>2474</v>
      </c>
      <c r="B471" s="65" t="s">
        <v>2475</v>
      </c>
      <c r="C471" s="66" t="s">
        <v>2476</v>
      </c>
      <c r="D471" s="67" t="s">
        <v>165</v>
      </c>
      <c r="E471" s="66" t="s">
        <v>166</v>
      </c>
      <c r="F471" s="67" t="s">
        <v>2477</v>
      </c>
      <c r="G471" s="66" t="s">
        <v>2476</v>
      </c>
      <c r="H471" s="65" t="s">
        <v>2478</v>
      </c>
    </row>
    <row r="472" spans="1:8" x14ac:dyDescent="0.3">
      <c r="A472" s="65" t="s">
        <v>2479</v>
      </c>
      <c r="B472" s="65" t="s">
        <v>2480</v>
      </c>
      <c r="C472" s="66" t="s">
        <v>2481</v>
      </c>
      <c r="D472" s="67" t="s">
        <v>165</v>
      </c>
      <c r="E472" s="66" t="s">
        <v>166</v>
      </c>
      <c r="F472" s="67" t="s">
        <v>2482</v>
      </c>
      <c r="G472" s="66" t="s">
        <v>2481</v>
      </c>
      <c r="H472" s="65" t="s">
        <v>2483</v>
      </c>
    </row>
    <row r="473" spans="1:8" x14ac:dyDescent="0.3">
      <c r="A473" s="65" t="s">
        <v>2484</v>
      </c>
      <c r="B473" s="65" t="s">
        <v>2485</v>
      </c>
      <c r="C473" s="66" t="s">
        <v>2486</v>
      </c>
      <c r="D473" s="67" t="s">
        <v>165</v>
      </c>
      <c r="E473" s="66" t="s">
        <v>166</v>
      </c>
      <c r="F473" s="67" t="s">
        <v>2487</v>
      </c>
      <c r="G473" s="66" t="s">
        <v>2486</v>
      </c>
      <c r="H473" s="65" t="s">
        <v>2488</v>
      </c>
    </row>
    <row r="474" spans="1:8" x14ac:dyDescent="0.3">
      <c r="A474" s="65" t="s">
        <v>2489</v>
      </c>
      <c r="B474" s="65" t="s">
        <v>2490</v>
      </c>
      <c r="C474" s="66" t="s">
        <v>2491</v>
      </c>
      <c r="D474" s="67" t="s">
        <v>241</v>
      </c>
      <c r="E474" s="66" t="s">
        <v>242</v>
      </c>
      <c r="F474" s="67" t="s">
        <v>2492</v>
      </c>
      <c r="G474" s="66" t="s">
        <v>2491</v>
      </c>
      <c r="H474" s="65" t="s">
        <v>2493</v>
      </c>
    </row>
    <row r="475" spans="1:8" x14ac:dyDescent="0.3">
      <c r="A475" s="65" t="s">
        <v>2494</v>
      </c>
      <c r="B475" s="65" t="s">
        <v>2495</v>
      </c>
      <c r="C475" s="66" t="s">
        <v>2496</v>
      </c>
      <c r="D475" s="67" t="s">
        <v>165</v>
      </c>
      <c r="E475" s="66" t="s">
        <v>166</v>
      </c>
      <c r="F475" s="67" t="s">
        <v>2497</v>
      </c>
      <c r="G475" s="66" t="s">
        <v>2496</v>
      </c>
      <c r="H475" s="65" t="s">
        <v>2498</v>
      </c>
    </row>
    <row r="476" spans="1:8" x14ac:dyDescent="0.3">
      <c r="A476" s="65" t="s">
        <v>2499</v>
      </c>
      <c r="B476" s="65" t="s">
        <v>2500</v>
      </c>
      <c r="C476" s="66" t="s">
        <v>2501</v>
      </c>
      <c r="D476" s="67" t="s">
        <v>165</v>
      </c>
      <c r="E476" s="66" t="s">
        <v>166</v>
      </c>
      <c r="F476" s="67" t="s">
        <v>2502</v>
      </c>
      <c r="G476" s="66" t="s">
        <v>2501</v>
      </c>
      <c r="H476" s="65" t="s">
        <v>2503</v>
      </c>
    </row>
    <row r="477" spans="1:8" x14ac:dyDescent="0.3">
      <c r="A477" s="65" t="s">
        <v>2504</v>
      </c>
      <c r="B477" s="65" t="s">
        <v>2505</v>
      </c>
      <c r="C477" s="66" t="s">
        <v>2506</v>
      </c>
      <c r="D477" s="67" t="s">
        <v>165</v>
      </c>
      <c r="E477" s="66" t="s">
        <v>166</v>
      </c>
      <c r="F477" s="67" t="s">
        <v>841</v>
      </c>
      <c r="G477" s="66" t="s">
        <v>841</v>
      </c>
      <c r="H477" s="65" t="s">
        <v>2507</v>
      </c>
    </row>
    <row r="478" spans="1:8" x14ac:dyDescent="0.3">
      <c r="A478" s="65" t="s">
        <v>2508</v>
      </c>
      <c r="B478" s="65" t="s">
        <v>2509</v>
      </c>
      <c r="C478" s="66" t="s">
        <v>2510</v>
      </c>
      <c r="D478" s="67" t="s">
        <v>165</v>
      </c>
      <c r="E478" s="66" t="s">
        <v>166</v>
      </c>
      <c r="F478" s="67" t="s">
        <v>2511</v>
      </c>
      <c r="G478" s="66" t="s">
        <v>2510</v>
      </c>
      <c r="H478" s="65" t="s">
        <v>2512</v>
      </c>
    </row>
    <row r="479" spans="1:8" x14ac:dyDescent="0.3">
      <c r="A479" s="65" t="s">
        <v>2513</v>
      </c>
      <c r="B479" s="65" t="s">
        <v>2514</v>
      </c>
      <c r="C479" s="66" t="s">
        <v>2515</v>
      </c>
      <c r="D479" s="67" t="s">
        <v>165</v>
      </c>
      <c r="E479" s="66" t="s">
        <v>166</v>
      </c>
      <c r="F479" s="67" t="s">
        <v>2516</v>
      </c>
      <c r="G479" s="66" t="s">
        <v>2515</v>
      </c>
      <c r="H479" s="65" t="s">
        <v>2517</v>
      </c>
    </row>
    <row r="480" spans="1:8" x14ac:dyDescent="0.3">
      <c r="A480" s="65" t="s">
        <v>2518</v>
      </c>
      <c r="B480" s="65" t="s">
        <v>2519</v>
      </c>
      <c r="C480" s="66" t="s">
        <v>2520</v>
      </c>
      <c r="D480" s="67" t="s">
        <v>241</v>
      </c>
      <c r="E480" s="66" t="s">
        <v>242</v>
      </c>
      <c r="F480" s="67" t="s">
        <v>2521</v>
      </c>
      <c r="G480" s="66" t="s">
        <v>2520</v>
      </c>
      <c r="H480" s="65" t="s">
        <v>2522</v>
      </c>
    </row>
    <row r="481" spans="1:8" x14ac:dyDescent="0.3">
      <c r="A481" s="65" t="s">
        <v>2523</v>
      </c>
      <c r="B481" s="65" t="s">
        <v>2524</v>
      </c>
      <c r="C481" s="66" t="s">
        <v>2525</v>
      </c>
      <c r="D481" s="67" t="s">
        <v>165</v>
      </c>
      <c r="E481" s="66" t="s">
        <v>166</v>
      </c>
      <c r="F481" s="67" t="s">
        <v>2526</v>
      </c>
      <c r="G481" s="66" t="s">
        <v>2525</v>
      </c>
      <c r="H481" s="65" t="s">
        <v>2527</v>
      </c>
    </row>
    <row r="482" spans="1:8" x14ac:dyDescent="0.3">
      <c r="A482" s="65" t="s">
        <v>2528</v>
      </c>
      <c r="B482" s="65" t="s">
        <v>2529</v>
      </c>
      <c r="C482" s="66" t="s">
        <v>2530</v>
      </c>
      <c r="D482" s="67" t="s">
        <v>165</v>
      </c>
      <c r="E482" s="66" t="s">
        <v>166</v>
      </c>
      <c r="F482" s="67" t="s">
        <v>2531</v>
      </c>
      <c r="G482" s="66" t="s">
        <v>2530</v>
      </c>
      <c r="H482" s="65" t="s">
        <v>2532</v>
      </c>
    </row>
    <row r="483" spans="1:8" x14ac:dyDescent="0.3">
      <c r="A483" s="65" t="s">
        <v>2533</v>
      </c>
      <c r="B483" s="65" t="s">
        <v>2534</v>
      </c>
      <c r="C483" s="66" t="s">
        <v>2535</v>
      </c>
      <c r="D483" s="67" t="s">
        <v>165</v>
      </c>
      <c r="E483" s="66" t="s">
        <v>166</v>
      </c>
      <c r="F483" s="67" t="s">
        <v>2536</v>
      </c>
      <c r="G483" s="66" t="s">
        <v>2535</v>
      </c>
      <c r="H483" s="65" t="s">
        <v>2537</v>
      </c>
    </row>
    <row r="484" spans="1:8" x14ac:dyDescent="0.3">
      <c r="A484" s="65" t="s">
        <v>2538</v>
      </c>
      <c r="B484" s="65" t="s">
        <v>2539</v>
      </c>
      <c r="C484" s="66" t="s">
        <v>2540</v>
      </c>
      <c r="D484" s="67" t="s">
        <v>165</v>
      </c>
      <c r="E484" s="66" t="s">
        <v>166</v>
      </c>
      <c r="F484" s="67" t="s">
        <v>2541</v>
      </c>
      <c r="G484" s="66" t="s">
        <v>2540</v>
      </c>
      <c r="H484" s="65" t="s">
        <v>2542</v>
      </c>
    </row>
    <row r="485" spans="1:8" x14ac:dyDescent="0.3">
      <c r="A485" s="65" t="s">
        <v>2543</v>
      </c>
      <c r="B485" s="65" t="s">
        <v>2544</v>
      </c>
      <c r="C485" s="66" t="s">
        <v>2545</v>
      </c>
      <c r="D485" s="67" t="s">
        <v>165</v>
      </c>
      <c r="E485" s="66" t="s">
        <v>166</v>
      </c>
      <c r="F485" s="67" t="s">
        <v>2546</v>
      </c>
      <c r="G485" s="66" t="s">
        <v>2545</v>
      </c>
      <c r="H485" s="65" t="s">
        <v>2547</v>
      </c>
    </row>
    <row r="486" spans="1:8" x14ac:dyDescent="0.3">
      <c r="A486" s="65" t="s">
        <v>2548</v>
      </c>
      <c r="B486" s="65" t="s">
        <v>2549</v>
      </c>
      <c r="C486" s="66" t="s">
        <v>2550</v>
      </c>
      <c r="D486" s="67" t="s">
        <v>165</v>
      </c>
      <c r="E486" s="66" t="s">
        <v>166</v>
      </c>
      <c r="F486" s="67" t="s">
        <v>2551</v>
      </c>
      <c r="G486" s="66" t="s">
        <v>2550</v>
      </c>
      <c r="H486" s="65" t="s">
        <v>2552</v>
      </c>
    </row>
    <row r="487" spans="1:8" x14ac:dyDescent="0.3">
      <c r="A487" s="65" t="s">
        <v>2553</v>
      </c>
      <c r="B487" s="65" t="s">
        <v>2554</v>
      </c>
      <c r="C487" s="66" t="s">
        <v>2555</v>
      </c>
      <c r="D487" s="67" t="s">
        <v>165</v>
      </c>
      <c r="E487" s="66" t="s">
        <v>166</v>
      </c>
      <c r="F487" s="67" t="s">
        <v>2556</v>
      </c>
      <c r="G487" s="66" t="s">
        <v>2555</v>
      </c>
      <c r="H487" s="65" t="s">
        <v>2557</v>
      </c>
    </row>
    <row r="488" spans="1:8" x14ac:dyDescent="0.3">
      <c r="A488" s="65" t="s">
        <v>2558</v>
      </c>
      <c r="B488" s="65" t="s">
        <v>2559</v>
      </c>
      <c r="C488" s="66" t="s">
        <v>2560</v>
      </c>
      <c r="D488" s="67" t="s">
        <v>2561</v>
      </c>
      <c r="E488" s="66" t="s">
        <v>2562</v>
      </c>
      <c r="F488" s="67" t="s">
        <v>2563</v>
      </c>
      <c r="G488" s="66" t="s">
        <v>2560</v>
      </c>
      <c r="H488" s="65" t="s">
        <v>2564</v>
      </c>
    </row>
    <row r="489" spans="1:8" x14ac:dyDescent="0.3">
      <c r="A489" s="65" t="s">
        <v>2565</v>
      </c>
      <c r="B489" s="65" t="s">
        <v>2566</v>
      </c>
      <c r="C489" s="66" t="s">
        <v>2567</v>
      </c>
      <c r="D489" s="67" t="s">
        <v>165</v>
      </c>
      <c r="E489" s="66" t="s">
        <v>166</v>
      </c>
      <c r="F489" s="67" t="s">
        <v>2568</v>
      </c>
      <c r="G489" s="66" t="s">
        <v>2567</v>
      </c>
      <c r="H489" s="65" t="s">
        <v>2569</v>
      </c>
    </row>
    <row r="490" spans="1:8" x14ac:dyDescent="0.3">
      <c r="A490" s="65" t="s">
        <v>2570</v>
      </c>
      <c r="B490" s="65" t="s">
        <v>2571</v>
      </c>
      <c r="C490" s="66" t="s">
        <v>2572</v>
      </c>
      <c r="D490" s="67" t="s">
        <v>165</v>
      </c>
      <c r="E490" s="66" t="s">
        <v>166</v>
      </c>
      <c r="F490" s="67" t="s">
        <v>2573</v>
      </c>
      <c r="G490" s="66" t="s">
        <v>2572</v>
      </c>
      <c r="H490" s="65" t="s">
        <v>2574</v>
      </c>
    </row>
    <row r="491" spans="1:8" x14ac:dyDescent="0.3">
      <c r="A491" s="65" t="s">
        <v>2575</v>
      </c>
      <c r="B491" s="65" t="s">
        <v>2576</v>
      </c>
      <c r="C491" s="66" t="s">
        <v>2577</v>
      </c>
      <c r="D491" s="67" t="s">
        <v>165</v>
      </c>
      <c r="E491" s="66" t="s">
        <v>166</v>
      </c>
      <c r="F491" s="67" t="s">
        <v>2578</v>
      </c>
      <c r="G491" s="66" t="s">
        <v>2577</v>
      </c>
      <c r="H491" s="65" t="s">
        <v>2579</v>
      </c>
    </row>
    <row r="492" spans="1:8" x14ac:dyDescent="0.3">
      <c r="A492" s="65" t="s">
        <v>2580</v>
      </c>
      <c r="B492" s="65" t="s">
        <v>2581</v>
      </c>
      <c r="C492" s="66" t="s">
        <v>2582</v>
      </c>
      <c r="D492" s="67" t="s">
        <v>165</v>
      </c>
      <c r="E492" s="66" t="s">
        <v>166</v>
      </c>
      <c r="F492" s="67" t="s">
        <v>2583</v>
      </c>
      <c r="G492" s="66" t="s">
        <v>2582</v>
      </c>
      <c r="H492" s="65" t="s">
        <v>2584</v>
      </c>
    </row>
    <row r="493" spans="1:8" x14ac:dyDescent="0.3">
      <c r="A493" s="65" t="s">
        <v>2585</v>
      </c>
      <c r="B493" s="65" t="s">
        <v>2586</v>
      </c>
      <c r="C493" s="66" t="s">
        <v>2587</v>
      </c>
      <c r="D493" s="67" t="s">
        <v>165</v>
      </c>
      <c r="E493" s="66" t="s">
        <v>166</v>
      </c>
      <c r="F493" s="67" t="s">
        <v>2588</v>
      </c>
      <c r="G493" s="66" t="s">
        <v>2587</v>
      </c>
      <c r="H493" s="65" t="s">
        <v>2589</v>
      </c>
    </row>
    <row r="494" spans="1:8" x14ac:dyDescent="0.3">
      <c r="A494" s="65" t="s">
        <v>2590</v>
      </c>
      <c r="B494" s="65" t="s">
        <v>2591</v>
      </c>
      <c r="C494" s="66" t="s">
        <v>2592</v>
      </c>
      <c r="D494" s="67" t="s">
        <v>165</v>
      </c>
      <c r="E494" s="66" t="s">
        <v>166</v>
      </c>
      <c r="F494" s="67" t="s">
        <v>2593</v>
      </c>
      <c r="G494" s="66" t="s">
        <v>2592</v>
      </c>
      <c r="H494" s="65" t="s">
        <v>2594</v>
      </c>
    </row>
    <row r="495" spans="1:8" x14ac:dyDescent="0.3">
      <c r="A495" s="65" t="s">
        <v>2595</v>
      </c>
      <c r="B495" s="65" t="s">
        <v>2596</v>
      </c>
      <c r="C495" s="66" t="s">
        <v>2597</v>
      </c>
      <c r="D495" s="67" t="s">
        <v>165</v>
      </c>
      <c r="E495" s="66" t="s">
        <v>166</v>
      </c>
      <c r="F495" s="67" t="s">
        <v>2598</v>
      </c>
      <c r="G495" s="66" t="s">
        <v>2597</v>
      </c>
      <c r="H495" s="65" t="s">
        <v>2599</v>
      </c>
    </row>
    <row r="496" spans="1:8" x14ac:dyDescent="0.3">
      <c r="A496" s="65" t="s">
        <v>2600</v>
      </c>
      <c r="B496" s="65" t="s">
        <v>2601</v>
      </c>
      <c r="C496" s="66" t="s">
        <v>2602</v>
      </c>
      <c r="D496" s="67" t="s">
        <v>2561</v>
      </c>
      <c r="E496" s="66" t="s">
        <v>2562</v>
      </c>
      <c r="F496" s="67" t="s">
        <v>2603</v>
      </c>
      <c r="G496" s="66" t="s">
        <v>2602</v>
      </c>
      <c r="H496" s="65" t="s">
        <v>2604</v>
      </c>
    </row>
    <row r="497" spans="1:8" x14ac:dyDescent="0.3">
      <c r="A497" s="65" t="s">
        <v>2605</v>
      </c>
      <c r="B497" s="65" t="s">
        <v>2606</v>
      </c>
      <c r="C497" s="66" t="s">
        <v>2607</v>
      </c>
      <c r="D497" s="67" t="s">
        <v>320</v>
      </c>
      <c r="E497" s="66" t="s">
        <v>321</v>
      </c>
      <c r="F497" s="67" t="s">
        <v>2608</v>
      </c>
      <c r="G497" s="66" t="s">
        <v>2607</v>
      </c>
      <c r="H497" s="65" t="s">
        <v>2609</v>
      </c>
    </row>
    <row r="498" spans="1:8" x14ac:dyDescent="0.3">
      <c r="A498" s="65" t="s">
        <v>2610</v>
      </c>
      <c r="B498" s="65" t="s">
        <v>2611</v>
      </c>
      <c r="C498" s="66" t="s">
        <v>2612</v>
      </c>
      <c r="D498" s="67" t="s">
        <v>165</v>
      </c>
      <c r="E498" s="66" t="s">
        <v>166</v>
      </c>
      <c r="F498" s="67" t="s">
        <v>2613</v>
      </c>
      <c r="G498" s="66" t="s">
        <v>2612</v>
      </c>
      <c r="H498" s="65" t="s">
        <v>2614</v>
      </c>
    </row>
    <row r="499" spans="1:8" x14ac:dyDescent="0.3">
      <c r="A499" s="65" t="s">
        <v>2615</v>
      </c>
      <c r="B499" s="65" t="s">
        <v>2616</v>
      </c>
      <c r="C499" s="66" t="s">
        <v>2617</v>
      </c>
      <c r="D499" s="67" t="s">
        <v>165</v>
      </c>
      <c r="E499" s="66" t="s">
        <v>166</v>
      </c>
      <c r="F499" s="67" t="s">
        <v>2618</v>
      </c>
      <c r="G499" s="66" t="s">
        <v>2617</v>
      </c>
      <c r="H499" s="65" t="s">
        <v>2619</v>
      </c>
    </row>
    <row r="500" spans="1:8" x14ac:dyDescent="0.3">
      <c r="A500" s="65" t="s">
        <v>2620</v>
      </c>
      <c r="B500" s="65" t="s">
        <v>2621</v>
      </c>
      <c r="C500" s="66" t="s">
        <v>2622</v>
      </c>
      <c r="D500" s="67" t="s">
        <v>165</v>
      </c>
      <c r="E500" s="66" t="s">
        <v>166</v>
      </c>
      <c r="F500" s="67" t="s">
        <v>2623</v>
      </c>
      <c r="G500" s="66" t="s">
        <v>2622</v>
      </c>
      <c r="H500" s="65" t="s">
        <v>2624</v>
      </c>
    </row>
    <row r="501" spans="1:8" x14ac:dyDescent="0.3">
      <c r="A501" s="65" t="s">
        <v>2625</v>
      </c>
      <c r="B501" s="65" t="s">
        <v>2626</v>
      </c>
      <c r="C501" s="66" t="s">
        <v>148</v>
      </c>
      <c r="D501" s="67" t="s">
        <v>165</v>
      </c>
      <c r="E501" s="66" t="s">
        <v>166</v>
      </c>
      <c r="F501" s="67" t="s">
        <v>2627</v>
      </c>
      <c r="G501" s="66" t="s">
        <v>148</v>
      </c>
      <c r="H501" s="65" t="s">
        <v>2628</v>
      </c>
    </row>
    <row r="502" spans="1:8" x14ac:dyDescent="0.3">
      <c r="A502" s="65" t="s">
        <v>76</v>
      </c>
      <c r="B502" s="65" t="s">
        <v>2629</v>
      </c>
      <c r="C502" s="66" t="s">
        <v>107</v>
      </c>
      <c r="D502" s="67" t="s">
        <v>212</v>
      </c>
      <c r="E502" s="66" t="s">
        <v>213</v>
      </c>
      <c r="F502" s="67" t="s">
        <v>2630</v>
      </c>
      <c r="G502" s="66" t="s">
        <v>107</v>
      </c>
      <c r="H502" s="65" t="s">
        <v>2631</v>
      </c>
    </row>
    <row r="503" spans="1:8" x14ac:dyDescent="0.3">
      <c r="A503" s="65" t="s">
        <v>2632</v>
      </c>
      <c r="B503" s="65" t="s">
        <v>2633</v>
      </c>
      <c r="C503" s="66" t="s">
        <v>2634</v>
      </c>
      <c r="D503" s="67" t="s">
        <v>165</v>
      </c>
      <c r="E503" s="66" t="s">
        <v>166</v>
      </c>
      <c r="F503" s="67" t="s">
        <v>2635</v>
      </c>
      <c r="G503" s="66" t="s">
        <v>2634</v>
      </c>
      <c r="H503" s="65" t="s">
        <v>2636</v>
      </c>
    </row>
    <row r="504" spans="1:8" x14ac:dyDescent="0.3">
      <c r="A504" s="65" t="s">
        <v>2637</v>
      </c>
      <c r="B504" s="65" t="s">
        <v>2638</v>
      </c>
      <c r="C504" s="66" t="s">
        <v>2639</v>
      </c>
      <c r="D504" s="67" t="s">
        <v>165</v>
      </c>
      <c r="E504" s="66" t="s">
        <v>166</v>
      </c>
      <c r="F504" s="67" t="s">
        <v>2640</v>
      </c>
      <c r="G504" s="66" t="s">
        <v>2639</v>
      </c>
      <c r="H504" s="65" t="s">
        <v>2641</v>
      </c>
    </row>
    <row r="505" spans="1:8" x14ac:dyDescent="0.3">
      <c r="A505" s="65" t="s">
        <v>2642</v>
      </c>
      <c r="B505" s="65" t="s">
        <v>2643</v>
      </c>
      <c r="C505" s="66" t="s">
        <v>2644</v>
      </c>
      <c r="D505" s="67" t="s">
        <v>165</v>
      </c>
      <c r="E505" s="66" t="s">
        <v>166</v>
      </c>
      <c r="F505" s="67" t="s">
        <v>2645</v>
      </c>
      <c r="G505" s="66" t="s">
        <v>2644</v>
      </c>
      <c r="H505" s="65" t="s">
        <v>2646</v>
      </c>
    </row>
    <row r="506" spans="1:8" x14ac:dyDescent="0.3">
      <c r="A506" s="65" t="s">
        <v>2647</v>
      </c>
      <c r="B506" s="65" t="s">
        <v>2648</v>
      </c>
      <c r="C506" s="66" t="s">
        <v>2649</v>
      </c>
      <c r="D506" s="67" t="s">
        <v>165</v>
      </c>
      <c r="E506" s="66" t="s">
        <v>166</v>
      </c>
      <c r="F506" s="67" t="s">
        <v>2650</v>
      </c>
      <c r="G506" s="66" t="s">
        <v>2649</v>
      </c>
      <c r="H506" s="65" t="s">
        <v>2651</v>
      </c>
    </row>
    <row r="507" spans="1:8" x14ac:dyDescent="0.3">
      <c r="A507" s="65" t="s">
        <v>2652</v>
      </c>
      <c r="B507" s="65" t="s">
        <v>2653</v>
      </c>
      <c r="C507" s="66" t="s">
        <v>2654</v>
      </c>
      <c r="D507" s="67" t="s">
        <v>165</v>
      </c>
      <c r="E507" s="66" t="s">
        <v>166</v>
      </c>
      <c r="F507" s="67" t="s">
        <v>2655</v>
      </c>
      <c r="G507" s="66" t="s">
        <v>2654</v>
      </c>
      <c r="H507" s="65" t="s">
        <v>2656</v>
      </c>
    </row>
    <row r="508" spans="1:8" x14ac:dyDescent="0.3">
      <c r="A508" s="65" t="s">
        <v>2657</v>
      </c>
      <c r="B508" s="65" t="s">
        <v>2658</v>
      </c>
      <c r="C508" s="66" t="s">
        <v>2659</v>
      </c>
      <c r="D508" s="67" t="s">
        <v>219</v>
      </c>
      <c r="E508" s="66" t="s">
        <v>220</v>
      </c>
      <c r="F508" s="67" t="s">
        <v>2660</v>
      </c>
      <c r="G508" s="66" t="s">
        <v>2659</v>
      </c>
      <c r="H508" s="65" t="s">
        <v>2661</v>
      </c>
    </row>
    <row r="509" spans="1:8" x14ac:dyDescent="0.3">
      <c r="A509" s="65" t="s">
        <v>2662</v>
      </c>
      <c r="B509" s="65" t="s">
        <v>2663</v>
      </c>
      <c r="C509" s="66" t="s">
        <v>2664</v>
      </c>
      <c r="D509" s="67" t="s">
        <v>165</v>
      </c>
      <c r="E509" s="66" t="s">
        <v>166</v>
      </c>
      <c r="F509" s="67" t="s">
        <v>2665</v>
      </c>
      <c r="G509" s="66" t="s">
        <v>2664</v>
      </c>
      <c r="H509" s="65" t="s">
        <v>2666</v>
      </c>
    </row>
    <row r="510" spans="1:8" x14ac:dyDescent="0.3">
      <c r="A510" s="65" t="s">
        <v>2667</v>
      </c>
      <c r="B510" s="65" t="s">
        <v>2668</v>
      </c>
      <c r="C510" s="66" t="s">
        <v>2669</v>
      </c>
      <c r="D510" s="67" t="s">
        <v>860</v>
      </c>
      <c r="E510" s="66" t="s">
        <v>861</v>
      </c>
      <c r="F510" s="67" t="s">
        <v>2670</v>
      </c>
      <c r="G510" s="66" t="s">
        <v>2669</v>
      </c>
      <c r="H510" s="65" t="s">
        <v>2671</v>
      </c>
    </row>
    <row r="511" spans="1:8" x14ac:dyDescent="0.3">
      <c r="A511" s="65" t="s">
        <v>2672</v>
      </c>
      <c r="B511" s="65" t="s">
        <v>2673</v>
      </c>
      <c r="C511" s="66" t="s">
        <v>2674</v>
      </c>
      <c r="D511" s="67" t="s">
        <v>165</v>
      </c>
      <c r="E511" s="66" t="s">
        <v>166</v>
      </c>
      <c r="F511" s="67" t="s">
        <v>2675</v>
      </c>
      <c r="G511" s="66" t="s">
        <v>2674</v>
      </c>
      <c r="H511" s="65" t="s">
        <v>2676</v>
      </c>
    </row>
    <row r="512" spans="1:8" x14ac:dyDescent="0.3">
      <c r="A512" s="65" t="s">
        <v>2677</v>
      </c>
      <c r="B512" s="65" t="s">
        <v>2678</v>
      </c>
      <c r="C512" s="66" t="s">
        <v>2679</v>
      </c>
      <c r="D512" s="67" t="s">
        <v>165</v>
      </c>
      <c r="E512" s="66" t="s">
        <v>166</v>
      </c>
      <c r="F512" s="67" t="s">
        <v>2680</v>
      </c>
      <c r="G512" s="66" t="s">
        <v>2679</v>
      </c>
      <c r="H512" s="65" t="s">
        <v>2681</v>
      </c>
    </row>
    <row r="513" spans="1:8" x14ac:dyDescent="0.3">
      <c r="A513" s="65" t="s">
        <v>2682</v>
      </c>
      <c r="B513" s="65" t="s">
        <v>2683</v>
      </c>
      <c r="C513" s="66" t="s">
        <v>2684</v>
      </c>
      <c r="D513" s="67" t="s">
        <v>165</v>
      </c>
      <c r="E513" s="66" t="s">
        <v>166</v>
      </c>
      <c r="F513" s="67" t="s">
        <v>2685</v>
      </c>
      <c r="G513" s="66" t="s">
        <v>2684</v>
      </c>
      <c r="H513" s="65" t="s">
        <v>2686</v>
      </c>
    </row>
    <row r="514" spans="1:8" x14ac:dyDescent="0.3">
      <c r="A514" s="65" t="s">
        <v>2687</v>
      </c>
      <c r="B514" s="65" t="s">
        <v>2688</v>
      </c>
      <c r="C514" s="66" t="s">
        <v>2689</v>
      </c>
      <c r="D514" s="67" t="s">
        <v>165</v>
      </c>
      <c r="E514" s="66" t="s">
        <v>166</v>
      </c>
      <c r="F514" s="67" t="s">
        <v>2690</v>
      </c>
      <c r="G514" s="66" t="s">
        <v>2689</v>
      </c>
      <c r="H514" s="65" t="s">
        <v>2691</v>
      </c>
    </row>
    <row r="515" spans="1:8" x14ac:dyDescent="0.3">
      <c r="A515" s="65" t="s">
        <v>2692</v>
      </c>
      <c r="B515" s="65" t="s">
        <v>2693</v>
      </c>
      <c r="C515" s="66" t="s">
        <v>2324</v>
      </c>
      <c r="D515" s="67" t="s">
        <v>165</v>
      </c>
      <c r="E515" s="66" t="s">
        <v>166</v>
      </c>
      <c r="F515" s="67" t="s">
        <v>2694</v>
      </c>
      <c r="G515" s="66" t="s">
        <v>2324</v>
      </c>
      <c r="H515" s="65" t="s">
        <v>2695</v>
      </c>
    </row>
    <row r="516" spans="1:8" x14ac:dyDescent="0.3">
      <c r="A516" s="65" t="s">
        <v>2696</v>
      </c>
      <c r="B516" s="65" t="s">
        <v>2697</v>
      </c>
      <c r="C516" s="66" t="s">
        <v>2698</v>
      </c>
      <c r="D516" s="67" t="s">
        <v>165</v>
      </c>
      <c r="E516" s="66" t="s">
        <v>166</v>
      </c>
      <c r="F516" s="67" t="s">
        <v>2699</v>
      </c>
      <c r="G516" s="66" t="s">
        <v>2698</v>
      </c>
      <c r="H516" s="65" t="s">
        <v>2700</v>
      </c>
    </row>
    <row r="517" spans="1:8" x14ac:dyDescent="0.3">
      <c r="A517" s="65" t="s">
        <v>77</v>
      </c>
      <c r="B517" s="65" t="s">
        <v>2701</v>
      </c>
      <c r="C517" s="66" t="s">
        <v>133</v>
      </c>
      <c r="D517" s="67" t="s">
        <v>165</v>
      </c>
      <c r="E517" s="66" t="s">
        <v>166</v>
      </c>
      <c r="F517" s="67" t="s">
        <v>2702</v>
      </c>
      <c r="G517" s="66" t="s">
        <v>133</v>
      </c>
      <c r="H517" s="65" t="s">
        <v>2703</v>
      </c>
    </row>
    <row r="518" spans="1:8" x14ac:dyDescent="0.3">
      <c r="A518" s="65" t="s">
        <v>2704</v>
      </c>
      <c r="B518" s="65" t="s">
        <v>2705</v>
      </c>
      <c r="C518" s="66" t="s">
        <v>2706</v>
      </c>
      <c r="D518" s="67" t="s">
        <v>165</v>
      </c>
      <c r="E518" s="66" t="s">
        <v>166</v>
      </c>
      <c r="F518" s="67" t="s">
        <v>2707</v>
      </c>
      <c r="G518" s="66" t="s">
        <v>2706</v>
      </c>
      <c r="H518" s="65" t="s">
        <v>2708</v>
      </c>
    </row>
    <row r="519" spans="1:8" x14ac:dyDescent="0.3">
      <c r="A519" s="65" t="s">
        <v>2709</v>
      </c>
      <c r="B519" s="65" t="s">
        <v>2710</v>
      </c>
      <c r="C519" s="66" t="s">
        <v>2711</v>
      </c>
      <c r="D519" s="67" t="s">
        <v>320</v>
      </c>
      <c r="E519" s="66" t="s">
        <v>321</v>
      </c>
      <c r="F519" s="67" t="s">
        <v>2712</v>
      </c>
      <c r="G519" s="66" t="s">
        <v>2711</v>
      </c>
      <c r="H519" s="65" t="s">
        <v>2713</v>
      </c>
    </row>
    <row r="520" spans="1:8" x14ac:dyDescent="0.3">
      <c r="A520" s="65" t="s">
        <v>2714</v>
      </c>
      <c r="B520" s="65" t="s">
        <v>2715</v>
      </c>
      <c r="C520" s="66" t="s">
        <v>2716</v>
      </c>
      <c r="D520" s="67" t="s">
        <v>520</v>
      </c>
      <c r="E520" s="66" t="s">
        <v>521</v>
      </c>
      <c r="F520" s="67" t="s">
        <v>2717</v>
      </c>
      <c r="G520" s="66" t="s">
        <v>2716</v>
      </c>
      <c r="H520" s="65" t="s">
        <v>2718</v>
      </c>
    </row>
    <row r="521" spans="1:8" x14ac:dyDescent="0.3">
      <c r="A521" s="65" t="s">
        <v>2719</v>
      </c>
      <c r="B521" s="65" t="s">
        <v>2720</v>
      </c>
      <c r="C521" s="66" t="s">
        <v>2721</v>
      </c>
      <c r="D521" s="67" t="s">
        <v>1432</v>
      </c>
      <c r="E521" s="66" t="s">
        <v>1433</v>
      </c>
      <c r="F521" s="67" t="s">
        <v>2722</v>
      </c>
      <c r="G521" s="66" t="s">
        <v>2721</v>
      </c>
      <c r="H521" s="65" t="s">
        <v>2723</v>
      </c>
    </row>
    <row r="522" spans="1:8" x14ac:dyDescent="0.3">
      <c r="A522" s="65" t="s">
        <v>2724</v>
      </c>
      <c r="B522" s="65" t="s">
        <v>2725</v>
      </c>
      <c r="C522" s="66" t="s">
        <v>2726</v>
      </c>
      <c r="D522" s="67" t="s">
        <v>320</v>
      </c>
      <c r="E522" s="66" t="s">
        <v>321</v>
      </c>
      <c r="F522" s="67" t="s">
        <v>2727</v>
      </c>
      <c r="G522" s="66" t="s">
        <v>2726</v>
      </c>
      <c r="H522" s="65" t="s">
        <v>2728</v>
      </c>
    </row>
    <row r="523" spans="1:8" x14ac:dyDescent="0.3">
      <c r="A523" s="65" t="s">
        <v>2729</v>
      </c>
      <c r="B523" s="65" t="s">
        <v>2730</v>
      </c>
      <c r="C523" s="66" t="s">
        <v>121</v>
      </c>
      <c r="D523" s="67" t="s">
        <v>1432</v>
      </c>
      <c r="E523" s="66" t="s">
        <v>1433</v>
      </c>
      <c r="F523" s="67" t="s">
        <v>2731</v>
      </c>
      <c r="G523" s="66" t="s">
        <v>121</v>
      </c>
      <c r="H523" s="65" t="s">
        <v>2732</v>
      </c>
    </row>
    <row r="524" spans="1:8" x14ac:dyDescent="0.3">
      <c r="A524" s="65" t="s">
        <v>2733</v>
      </c>
      <c r="B524" s="65" t="s">
        <v>2734</v>
      </c>
      <c r="C524" s="66" t="s">
        <v>2735</v>
      </c>
      <c r="D524" s="67" t="s">
        <v>165</v>
      </c>
      <c r="E524" s="66" t="s">
        <v>166</v>
      </c>
      <c r="F524" s="67" t="s">
        <v>2736</v>
      </c>
      <c r="G524" s="66" t="s">
        <v>2735</v>
      </c>
      <c r="H524" s="65" t="s">
        <v>2737</v>
      </c>
    </row>
    <row r="525" spans="1:8" x14ac:dyDescent="0.3">
      <c r="A525" s="65" t="s">
        <v>2738</v>
      </c>
      <c r="B525" s="65" t="s">
        <v>2739</v>
      </c>
      <c r="C525" s="66" t="s">
        <v>2740</v>
      </c>
      <c r="D525" s="67" t="s">
        <v>165</v>
      </c>
      <c r="E525" s="66" t="s">
        <v>166</v>
      </c>
      <c r="F525" s="67" t="s">
        <v>2741</v>
      </c>
      <c r="G525" s="66" t="s">
        <v>2740</v>
      </c>
      <c r="H525" s="65" t="s">
        <v>2742</v>
      </c>
    </row>
    <row r="526" spans="1:8" x14ac:dyDescent="0.3">
      <c r="A526" s="65" t="s">
        <v>2743</v>
      </c>
      <c r="B526" s="65" t="s">
        <v>2744</v>
      </c>
      <c r="C526" s="66" t="s">
        <v>2745</v>
      </c>
      <c r="D526" s="67" t="s">
        <v>165</v>
      </c>
      <c r="E526" s="66" t="s">
        <v>166</v>
      </c>
      <c r="F526" s="67" t="s">
        <v>2746</v>
      </c>
      <c r="G526" s="66" t="s">
        <v>2745</v>
      </c>
      <c r="H526" s="65" t="s">
        <v>2747</v>
      </c>
    </row>
    <row r="527" spans="1:8" x14ac:dyDescent="0.3">
      <c r="A527" s="65" t="s">
        <v>2748</v>
      </c>
      <c r="B527" s="65" t="s">
        <v>2749</v>
      </c>
      <c r="C527" s="66" t="s">
        <v>2750</v>
      </c>
      <c r="D527" s="67" t="s">
        <v>165</v>
      </c>
      <c r="E527" s="66" t="s">
        <v>166</v>
      </c>
      <c r="F527" s="67" t="s">
        <v>2751</v>
      </c>
      <c r="G527" s="66" t="s">
        <v>2750</v>
      </c>
      <c r="H527" s="65" t="s">
        <v>2752</v>
      </c>
    </row>
    <row r="528" spans="1:8" x14ac:dyDescent="0.3">
      <c r="A528" s="65" t="s">
        <v>2753</v>
      </c>
      <c r="B528" s="65" t="s">
        <v>2754</v>
      </c>
      <c r="C528" s="66" t="s">
        <v>2755</v>
      </c>
      <c r="D528" s="67" t="s">
        <v>165</v>
      </c>
      <c r="E528" s="66" t="s">
        <v>166</v>
      </c>
      <c r="F528" s="67" t="s">
        <v>2756</v>
      </c>
      <c r="G528" s="66" t="s">
        <v>2755</v>
      </c>
      <c r="H528" s="65" t="s">
        <v>2757</v>
      </c>
    </row>
    <row r="529" spans="1:8" x14ac:dyDescent="0.3">
      <c r="A529" s="65" t="s">
        <v>2758</v>
      </c>
      <c r="B529" s="65" t="s">
        <v>2759</v>
      </c>
      <c r="C529" s="66" t="s">
        <v>2760</v>
      </c>
      <c r="D529" s="67" t="s">
        <v>165</v>
      </c>
      <c r="E529" s="66" t="s">
        <v>166</v>
      </c>
      <c r="F529" s="67" t="s">
        <v>2761</v>
      </c>
      <c r="G529" s="66" t="s">
        <v>2760</v>
      </c>
      <c r="H529" s="65" t="s">
        <v>2762</v>
      </c>
    </row>
    <row r="530" spans="1:8" x14ac:dyDescent="0.3">
      <c r="A530" s="65" t="s">
        <v>2763</v>
      </c>
      <c r="B530" s="65" t="s">
        <v>2764</v>
      </c>
      <c r="C530" s="66" t="s">
        <v>2765</v>
      </c>
      <c r="D530" s="67" t="s">
        <v>520</v>
      </c>
      <c r="E530" s="66" t="s">
        <v>521</v>
      </c>
      <c r="F530" s="67" t="s">
        <v>2766</v>
      </c>
      <c r="G530" s="66" t="s">
        <v>2765</v>
      </c>
      <c r="H530" s="65" t="s">
        <v>2767</v>
      </c>
    </row>
    <row r="531" spans="1:8" x14ac:dyDescent="0.3">
      <c r="A531" s="65" t="s">
        <v>2768</v>
      </c>
      <c r="B531" s="65" t="s">
        <v>2769</v>
      </c>
      <c r="C531" s="66" t="s">
        <v>2770</v>
      </c>
      <c r="D531" s="67" t="s">
        <v>165</v>
      </c>
      <c r="E531" s="66" t="s">
        <v>166</v>
      </c>
      <c r="F531" s="67" t="s">
        <v>2771</v>
      </c>
      <c r="G531" s="66" t="s">
        <v>2770</v>
      </c>
      <c r="H531" s="65" t="s">
        <v>2772</v>
      </c>
    </row>
    <row r="532" spans="1:8" x14ac:dyDescent="0.3">
      <c r="A532" s="65" t="s">
        <v>2773</v>
      </c>
      <c r="B532" s="65" t="s">
        <v>2774</v>
      </c>
      <c r="C532" s="66" t="s">
        <v>2775</v>
      </c>
      <c r="D532" s="67" t="s">
        <v>165</v>
      </c>
      <c r="E532" s="66" t="s">
        <v>166</v>
      </c>
      <c r="F532" s="67" t="s">
        <v>2776</v>
      </c>
      <c r="G532" s="66" t="s">
        <v>2775</v>
      </c>
      <c r="H532" s="65" t="s">
        <v>2777</v>
      </c>
    </row>
    <row r="533" spans="1:8" x14ac:dyDescent="0.3">
      <c r="A533" s="65" t="s">
        <v>2778</v>
      </c>
      <c r="B533" s="65" t="s">
        <v>2779</v>
      </c>
      <c r="C533" s="66" t="s">
        <v>2780</v>
      </c>
      <c r="D533" s="67" t="s">
        <v>165</v>
      </c>
      <c r="E533" s="66" t="s">
        <v>166</v>
      </c>
      <c r="F533" s="67" t="s">
        <v>2781</v>
      </c>
      <c r="G533" s="66" t="s">
        <v>2780</v>
      </c>
      <c r="H533" s="65" t="s">
        <v>2782</v>
      </c>
    </row>
    <row r="534" spans="1:8" x14ac:dyDescent="0.3">
      <c r="A534" s="65" t="s">
        <v>2783</v>
      </c>
      <c r="B534" s="65" t="s">
        <v>2784</v>
      </c>
      <c r="C534" s="66" t="s">
        <v>2785</v>
      </c>
      <c r="D534" s="67" t="s">
        <v>320</v>
      </c>
      <c r="E534" s="66" t="s">
        <v>321</v>
      </c>
      <c r="F534" s="67" t="s">
        <v>2786</v>
      </c>
      <c r="G534" s="66" t="s">
        <v>2785</v>
      </c>
      <c r="H534" s="65" t="s">
        <v>2787</v>
      </c>
    </row>
    <row r="535" spans="1:8" x14ac:dyDescent="0.3">
      <c r="A535" s="65" t="s">
        <v>2788</v>
      </c>
      <c r="B535" s="65" t="s">
        <v>2789</v>
      </c>
      <c r="C535" s="66" t="s">
        <v>2790</v>
      </c>
      <c r="D535" s="67" t="s">
        <v>165</v>
      </c>
      <c r="E535" s="66" t="s">
        <v>166</v>
      </c>
      <c r="F535" s="67" t="s">
        <v>2791</v>
      </c>
      <c r="G535" s="66" t="s">
        <v>2790</v>
      </c>
      <c r="H535" s="65" t="s">
        <v>2792</v>
      </c>
    </row>
    <row r="536" spans="1:8" x14ac:dyDescent="0.3">
      <c r="A536" s="65" t="s">
        <v>2793</v>
      </c>
      <c r="B536" s="65" t="s">
        <v>2794</v>
      </c>
      <c r="C536" s="66" t="s">
        <v>2795</v>
      </c>
      <c r="D536" s="67" t="s">
        <v>212</v>
      </c>
      <c r="E536" s="66" t="s">
        <v>213</v>
      </c>
      <c r="F536" s="67" t="s">
        <v>2796</v>
      </c>
      <c r="G536" s="66" t="s">
        <v>2795</v>
      </c>
      <c r="H536" s="65" t="s">
        <v>2797</v>
      </c>
    </row>
    <row r="537" spans="1:8" x14ac:dyDescent="0.3">
      <c r="A537" s="65" t="s">
        <v>2798</v>
      </c>
      <c r="B537" s="65" t="s">
        <v>2799</v>
      </c>
      <c r="C537" s="66" t="s">
        <v>1311</v>
      </c>
      <c r="D537" s="67" t="s">
        <v>2561</v>
      </c>
      <c r="E537" s="66" t="s">
        <v>2562</v>
      </c>
      <c r="F537" s="67" t="s">
        <v>2800</v>
      </c>
      <c r="G537" s="66" t="s">
        <v>1311</v>
      </c>
      <c r="H537" s="65" t="s">
        <v>2801</v>
      </c>
    </row>
    <row r="538" spans="1:8" x14ac:dyDescent="0.3">
      <c r="A538" s="65" t="s">
        <v>2802</v>
      </c>
      <c r="B538" s="65" t="s">
        <v>2803</v>
      </c>
      <c r="C538" s="66" t="s">
        <v>2804</v>
      </c>
      <c r="D538" s="67" t="s">
        <v>165</v>
      </c>
      <c r="E538" s="66" t="s">
        <v>166</v>
      </c>
      <c r="F538" s="67" t="s">
        <v>2805</v>
      </c>
      <c r="G538" s="66" t="s">
        <v>2804</v>
      </c>
      <c r="H538" s="65" t="s">
        <v>2806</v>
      </c>
    </row>
    <row r="539" spans="1:8" x14ac:dyDescent="0.3">
      <c r="A539" s="65" t="s">
        <v>2807</v>
      </c>
      <c r="B539" s="65" t="s">
        <v>2808</v>
      </c>
      <c r="C539" s="66" t="s">
        <v>2809</v>
      </c>
      <c r="D539" s="67" t="s">
        <v>165</v>
      </c>
      <c r="E539" s="66" t="s">
        <v>166</v>
      </c>
      <c r="F539" s="67" t="s">
        <v>2810</v>
      </c>
      <c r="G539" s="66" t="s">
        <v>2809</v>
      </c>
      <c r="H539" s="65" t="s">
        <v>2811</v>
      </c>
    </row>
    <row r="540" spans="1:8" x14ac:dyDescent="0.3">
      <c r="A540" s="65" t="s">
        <v>2812</v>
      </c>
      <c r="B540" s="65" t="s">
        <v>2813</v>
      </c>
      <c r="C540" s="66" t="s">
        <v>2814</v>
      </c>
      <c r="D540" s="67" t="s">
        <v>165</v>
      </c>
      <c r="E540" s="66" t="s">
        <v>166</v>
      </c>
      <c r="F540" s="67" t="s">
        <v>2815</v>
      </c>
      <c r="G540" s="66" t="s">
        <v>2814</v>
      </c>
      <c r="H540" s="65" t="s">
        <v>2816</v>
      </c>
    </row>
    <row r="541" spans="1:8" x14ac:dyDescent="0.3">
      <c r="A541" s="65" t="s">
        <v>2817</v>
      </c>
      <c r="B541" s="65" t="s">
        <v>2818</v>
      </c>
      <c r="C541" s="66" t="s">
        <v>2819</v>
      </c>
      <c r="D541" s="67" t="s">
        <v>165</v>
      </c>
      <c r="E541" s="66" t="s">
        <v>166</v>
      </c>
      <c r="F541" s="67" t="s">
        <v>1259</v>
      </c>
      <c r="G541" s="66" t="s">
        <v>2819</v>
      </c>
      <c r="H541" s="65" t="s">
        <v>2820</v>
      </c>
    </row>
    <row r="542" spans="1:8" x14ac:dyDescent="0.3">
      <c r="A542" s="65" t="s">
        <v>2821</v>
      </c>
      <c r="B542" s="65" t="s">
        <v>2822</v>
      </c>
      <c r="C542" s="66" t="s">
        <v>2823</v>
      </c>
      <c r="D542" s="67" t="s">
        <v>165</v>
      </c>
      <c r="E542" s="66" t="s">
        <v>166</v>
      </c>
      <c r="F542" s="67" t="s">
        <v>2824</v>
      </c>
      <c r="G542" s="66" t="s">
        <v>2823</v>
      </c>
      <c r="H542" s="65" t="s">
        <v>2825</v>
      </c>
    </row>
    <row r="543" spans="1:8" x14ac:dyDescent="0.3">
      <c r="A543" s="65" t="s">
        <v>2826</v>
      </c>
      <c r="B543" s="65" t="s">
        <v>2827</v>
      </c>
      <c r="C543" s="66" t="s">
        <v>2828</v>
      </c>
      <c r="D543" s="67" t="s">
        <v>241</v>
      </c>
      <c r="E543" s="66" t="s">
        <v>242</v>
      </c>
      <c r="F543" s="67" t="s">
        <v>2829</v>
      </c>
      <c r="G543" s="66" t="s">
        <v>2828</v>
      </c>
      <c r="H543" s="65" t="s">
        <v>2830</v>
      </c>
    </row>
    <row r="544" spans="1:8" x14ac:dyDescent="0.3">
      <c r="A544" s="65" t="s">
        <v>2831</v>
      </c>
      <c r="B544" s="65" t="s">
        <v>2832</v>
      </c>
      <c r="C544" s="66" t="s">
        <v>2833</v>
      </c>
      <c r="D544" s="67" t="s">
        <v>165</v>
      </c>
      <c r="E544" s="66" t="s">
        <v>166</v>
      </c>
      <c r="F544" s="67" t="s">
        <v>2834</v>
      </c>
      <c r="G544" s="66" t="s">
        <v>2833</v>
      </c>
      <c r="H544" s="65" t="s">
        <v>2835</v>
      </c>
    </row>
    <row r="545" spans="1:8" x14ac:dyDescent="0.3">
      <c r="A545" s="65" t="s">
        <v>2836</v>
      </c>
      <c r="B545" s="65" t="s">
        <v>2837</v>
      </c>
      <c r="C545" s="66" t="s">
        <v>1426</v>
      </c>
      <c r="D545" s="67" t="s">
        <v>165</v>
      </c>
      <c r="E545" s="66" t="s">
        <v>166</v>
      </c>
      <c r="F545" s="67" t="s">
        <v>2838</v>
      </c>
      <c r="G545" s="66" t="s">
        <v>1426</v>
      </c>
      <c r="H545" s="65" t="s">
        <v>2839</v>
      </c>
    </row>
    <row r="546" spans="1:8" x14ac:dyDescent="0.3">
      <c r="A546" s="65" t="s">
        <v>2840</v>
      </c>
      <c r="B546" s="65" t="s">
        <v>2841</v>
      </c>
      <c r="C546" s="66" t="s">
        <v>2842</v>
      </c>
      <c r="D546" s="67" t="s">
        <v>165</v>
      </c>
      <c r="E546" s="66" t="s">
        <v>166</v>
      </c>
      <c r="F546" s="67" t="s">
        <v>2843</v>
      </c>
      <c r="G546" s="66" t="s">
        <v>2842</v>
      </c>
      <c r="H546" s="65" t="s">
        <v>2844</v>
      </c>
    </row>
    <row r="547" spans="1:8" x14ac:dyDescent="0.3">
      <c r="A547" s="65" t="s">
        <v>2845</v>
      </c>
      <c r="B547" s="65" t="s">
        <v>2846</v>
      </c>
      <c r="C547" s="66" t="s">
        <v>2847</v>
      </c>
      <c r="D547" s="67" t="s">
        <v>165</v>
      </c>
      <c r="E547" s="66" t="s">
        <v>166</v>
      </c>
      <c r="F547" s="67" t="s">
        <v>2848</v>
      </c>
      <c r="G547" s="66" t="s">
        <v>2847</v>
      </c>
      <c r="H547" s="65" t="s">
        <v>2849</v>
      </c>
    </row>
    <row r="548" spans="1:8" x14ac:dyDescent="0.3">
      <c r="A548" s="65" t="s">
        <v>2850</v>
      </c>
      <c r="B548" s="65" t="s">
        <v>2851</v>
      </c>
      <c r="C548" s="66" t="s">
        <v>2852</v>
      </c>
      <c r="D548" s="67" t="s">
        <v>165</v>
      </c>
      <c r="E548" s="66" t="s">
        <v>166</v>
      </c>
      <c r="F548" s="67" t="s">
        <v>787</v>
      </c>
      <c r="G548" s="66" t="s">
        <v>2852</v>
      </c>
      <c r="H548" s="65" t="s">
        <v>2853</v>
      </c>
    </row>
    <row r="549" spans="1:8" x14ac:dyDescent="0.3">
      <c r="A549" s="65" t="s">
        <v>2854</v>
      </c>
      <c r="B549" s="65" t="s">
        <v>2855</v>
      </c>
      <c r="C549" s="66" t="s">
        <v>2856</v>
      </c>
      <c r="D549" s="67" t="s">
        <v>165</v>
      </c>
      <c r="E549" s="66" t="s">
        <v>166</v>
      </c>
      <c r="F549" s="67" t="s">
        <v>2857</v>
      </c>
      <c r="G549" s="66" t="s">
        <v>2856</v>
      </c>
      <c r="H549" s="65" t="s">
        <v>2858</v>
      </c>
    </row>
    <row r="550" spans="1:8" x14ac:dyDescent="0.3">
      <c r="A550" s="65" t="s">
        <v>2859</v>
      </c>
      <c r="B550" s="65" t="s">
        <v>2860</v>
      </c>
      <c r="C550" s="66" t="s">
        <v>2861</v>
      </c>
      <c r="D550" s="67" t="s">
        <v>520</v>
      </c>
      <c r="E550" s="66" t="s">
        <v>521</v>
      </c>
      <c r="F550" s="67" t="s">
        <v>2862</v>
      </c>
      <c r="G550" s="66" t="s">
        <v>2861</v>
      </c>
      <c r="H550" s="65" t="s">
        <v>2863</v>
      </c>
    </row>
    <row r="551" spans="1:8" x14ac:dyDescent="0.3">
      <c r="A551" s="65" t="s">
        <v>84</v>
      </c>
      <c r="B551" s="65" t="s">
        <v>2864</v>
      </c>
      <c r="C551" s="66" t="s">
        <v>108</v>
      </c>
      <c r="D551" s="67" t="s">
        <v>165</v>
      </c>
      <c r="E551" s="66" t="s">
        <v>166</v>
      </c>
      <c r="F551" s="67" t="s">
        <v>2865</v>
      </c>
      <c r="G551" s="66" t="s">
        <v>108</v>
      </c>
      <c r="H551" s="65" t="s">
        <v>2866</v>
      </c>
    </row>
    <row r="552" spans="1:8" x14ac:dyDescent="0.3">
      <c r="A552" s="65" t="s">
        <v>2867</v>
      </c>
      <c r="B552" s="65" t="s">
        <v>2868</v>
      </c>
      <c r="C552" s="66" t="s">
        <v>2869</v>
      </c>
      <c r="D552" s="67" t="s">
        <v>165</v>
      </c>
      <c r="E552" s="66" t="s">
        <v>166</v>
      </c>
      <c r="F552" s="67" t="s">
        <v>2870</v>
      </c>
      <c r="G552" s="66" t="s">
        <v>2869</v>
      </c>
      <c r="H552" s="65" t="s">
        <v>2871</v>
      </c>
    </row>
    <row r="553" spans="1:8" x14ac:dyDescent="0.3">
      <c r="A553" s="65" t="s">
        <v>85</v>
      </c>
      <c r="B553" s="65" t="s">
        <v>2872</v>
      </c>
      <c r="C553" s="66" t="s">
        <v>109</v>
      </c>
      <c r="D553" s="67" t="s">
        <v>165</v>
      </c>
      <c r="E553" s="66" t="s">
        <v>166</v>
      </c>
      <c r="F553" s="67" t="s">
        <v>2873</v>
      </c>
      <c r="G553" s="66" t="s">
        <v>109</v>
      </c>
      <c r="H553" s="65" t="s">
        <v>2874</v>
      </c>
    </row>
    <row r="554" spans="1:8" x14ac:dyDescent="0.3">
      <c r="A554" s="65" t="s">
        <v>2875</v>
      </c>
      <c r="B554" s="65" t="s">
        <v>2876</v>
      </c>
      <c r="C554" s="66" t="s">
        <v>2877</v>
      </c>
      <c r="D554" s="67" t="s">
        <v>165</v>
      </c>
      <c r="E554" s="66" t="s">
        <v>166</v>
      </c>
      <c r="F554" s="67" t="s">
        <v>2878</v>
      </c>
      <c r="G554" s="66" t="s">
        <v>2877</v>
      </c>
      <c r="H554" s="65" t="s">
        <v>2879</v>
      </c>
    </row>
    <row r="555" spans="1:8" x14ac:dyDescent="0.3">
      <c r="A555" s="65" t="s">
        <v>2880</v>
      </c>
      <c r="B555" s="65" t="s">
        <v>2881</v>
      </c>
      <c r="C555" s="66" t="s">
        <v>2882</v>
      </c>
      <c r="D555" s="67" t="s">
        <v>165</v>
      </c>
      <c r="E555" s="66" t="s">
        <v>166</v>
      </c>
      <c r="F555" s="67" t="s">
        <v>787</v>
      </c>
      <c r="G555" s="66" t="s">
        <v>2882</v>
      </c>
      <c r="H555" s="65" t="s">
        <v>2883</v>
      </c>
    </row>
    <row r="556" spans="1:8" x14ac:dyDescent="0.3">
      <c r="A556" s="65" t="s">
        <v>2884</v>
      </c>
      <c r="B556" s="65" t="s">
        <v>2885</v>
      </c>
      <c r="C556" s="66" t="s">
        <v>140</v>
      </c>
      <c r="D556" s="67" t="s">
        <v>165</v>
      </c>
      <c r="E556" s="66" t="s">
        <v>166</v>
      </c>
      <c r="F556" s="67" t="s">
        <v>2886</v>
      </c>
      <c r="G556" s="66" t="s">
        <v>140</v>
      </c>
      <c r="H556" s="65" t="s">
        <v>2887</v>
      </c>
    </row>
    <row r="557" spans="1:8" x14ac:dyDescent="0.3">
      <c r="A557" s="65" t="s">
        <v>2888</v>
      </c>
      <c r="B557" s="65" t="s">
        <v>2889</v>
      </c>
      <c r="C557" s="66" t="s">
        <v>2890</v>
      </c>
      <c r="D557" s="67" t="s">
        <v>165</v>
      </c>
      <c r="E557" s="66" t="s">
        <v>166</v>
      </c>
      <c r="F557" s="67" t="s">
        <v>2891</v>
      </c>
      <c r="G557" s="66" t="s">
        <v>2890</v>
      </c>
      <c r="H557" s="65" t="s">
        <v>2892</v>
      </c>
    </row>
    <row r="558" spans="1:8" x14ac:dyDescent="0.3">
      <c r="A558" s="65" t="s">
        <v>2893</v>
      </c>
      <c r="B558" s="65" t="s">
        <v>2894</v>
      </c>
      <c r="C558" s="66" t="s">
        <v>2895</v>
      </c>
      <c r="D558" s="67" t="s">
        <v>520</v>
      </c>
      <c r="E558" s="66" t="s">
        <v>521</v>
      </c>
      <c r="F558" s="67" t="s">
        <v>2896</v>
      </c>
      <c r="G558" s="66" t="s">
        <v>2895</v>
      </c>
      <c r="H558" s="65" t="s">
        <v>2897</v>
      </c>
    </row>
    <row r="559" spans="1:8" x14ac:dyDescent="0.3">
      <c r="A559" s="65" t="s">
        <v>2898</v>
      </c>
      <c r="B559" s="65" t="s">
        <v>2899</v>
      </c>
      <c r="C559" s="66" t="s">
        <v>2900</v>
      </c>
      <c r="D559" s="67" t="s">
        <v>165</v>
      </c>
      <c r="E559" s="66" t="s">
        <v>166</v>
      </c>
      <c r="F559" s="67" t="s">
        <v>2901</v>
      </c>
      <c r="G559" s="66" t="s">
        <v>2900</v>
      </c>
      <c r="H559" s="65" t="s">
        <v>2902</v>
      </c>
    </row>
    <row r="560" spans="1:8" x14ac:dyDescent="0.3">
      <c r="A560" s="65" t="s">
        <v>2903</v>
      </c>
      <c r="B560" s="65" t="s">
        <v>2904</v>
      </c>
      <c r="C560" s="66" t="s">
        <v>2905</v>
      </c>
      <c r="D560" s="67" t="s">
        <v>2906</v>
      </c>
      <c r="E560" s="66" t="s">
        <v>2907</v>
      </c>
      <c r="F560" s="67" t="s">
        <v>2908</v>
      </c>
      <c r="G560" s="66" t="s">
        <v>2905</v>
      </c>
      <c r="H560" s="65" t="s">
        <v>2909</v>
      </c>
    </row>
    <row r="561" spans="1:8" x14ac:dyDescent="0.3">
      <c r="A561" s="65" t="s">
        <v>2910</v>
      </c>
      <c r="B561" s="65" t="s">
        <v>2911</v>
      </c>
      <c r="C561" s="66" t="s">
        <v>2912</v>
      </c>
      <c r="D561" s="67" t="s">
        <v>520</v>
      </c>
      <c r="E561" s="66" t="s">
        <v>521</v>
      </c>
      <c r="F561" s="67" t="s">
        <v>2913</v>
      </c>
      <c r="G561" s="66" t="s">
        <v>2912</v>
      </c>
      <c r="H561" s="65" t="s">
        <v>2914</v>
      </c>
    </row>
    <row r="562" spans="1:8" x14ac:dyDescent="0.3">
      <c r="A562" s="65" t="s">
        <v>2915</v>
      </c>
      <c r="B562" s="65" t="s">
        <v>2916</v>
      </c>
      <c r="C562" s="66" t="s">
        <v>2917</v>
      </c>
      <c r="D562" s="67" t="s">
        <v>165</v>
      </c>
      <c r="E562" s="66" t="s">
        <v>166</v>
      </c>
      <c r="F562" s="67" t="s">
        <v>2918</v>
      </c>
      <c r="G562" s="66" t="s">
        <v>2917</v>
      </c>
      <c r="H562" s="65" t="s">
        <v>2919</v>
      </c>
    </row>
    <row r="563" spans="1:8" x14ac:dyDescent="0.3">
      <c r="A563" s="65" t="s">
        <v>2920</v>
      </c>
      <c r="B563" s="65" t="s">
        <v>2921</v>
      </c>
      <c r="C563" s="66" t="s">
        <v>2922</v>
      </c>
      <c r="D563" s="67" t="s">
        <v>165</v>
      </c>
      <c r="E563" s="66" t="s">
        <v>166</v>
      </c>
      <c r="F563" s="67" t="s">
        <v>2923</v>
      </c>
      <c r="G563" s="66" t="s">
        <v>2922</v>
      </c>
      <c r="H563" s="65" t="s">
        <v>2924</v>
      </c>
    </row>
    <row r="564" spans="1:8" x14ac:dyDescent="0.3">
      <c r="A564" s="65" t="s">
        <v>2925</v>
      </c>
      <c r="B564" s="65" t="s">
        <v>2926</v>
      </c>
      <c r="C564" s="66" t="s">
        <v>2927</v>
      </c>
      <c r="D564" s="67" t="s">
        <v>165</v>
      </c>
      <c r="E564" s="66" t="s">
        <v>166</v>
      </c>
      <c r="F564" s="67" t="s">
        <v>2928</v>
      </c>
      <c r="G564" s="66" t="s">
        <v>2927</v>
      </c>
      <c r="H564" s="65" t="s">
        <v>2929</v>
      </c>
    </row>
    <row r="565" spans="1:8" x14ac:dyDescent="0.3">
      <c r="A565" s="65" t="s">
        <v>2930</v>
      </c>
      <c r="B565" s="65" t="s">
        <v>2931</v>
      </c>
      <c r="C565" s="66" t="s">
        <v>2932</v>
      </c>
      <c r="D565" s="67" t="s">
        <v>165</v>
      </c>
      <c r="E565" s="66" t="s">
        <v>166</v>
      </c>
      <c r="F565" s="67" t="s">
        <v>2933</v>
      </c>
      <c r="G565" s="66" t="s">
        <v>2932</v>
      </c>
      <c r="H565" s="65" t="s">
        <v>2934</v>
      </c>
    </row>
    <row r="566" spans="1:8" x14ac:dyDescent="0.3">
      <c r="A566" s="65" t="s">
        <v>2935</v>
      </c>
      <c r="B566" s="65" t="s">
        <v>2936</v>
      </c>
      <c r="C566" s="66" t="s">
        <v>2937</v>
      </c>
      <c r="D566" s="67" t="s">
        <v>165</v>
      </c>
      <c r="E566" s="66" t="s">
        <v>166</v>
      </c>
      <c r="F566" s="67" t="s">
        <v>2938</v>
      </c>
      <c r="G566" s="66" t="s">
        <v>2937</v>
      </c>
      <c r="H566" s="65" t="s">
        <v>2939</v>
      </c>
    </row>
    <row r="567" spans="1:8" x14ac:dyDescent="0.3">
      <c r="A567" s="65" t="s">
        <v>2940</v>
      </c>
      <c r="B567" s="65" t="s">
        <v>2941</v>
      </c>
      <c r="C567" s="66" t="s">
        <v>2942</v>
      </c>
      <c r="D567" s="67" t="s">
        <v>165</v>
      </c>
      <c r="E567" s="66" t="s">
        <v>166</v>
      </c>
      <c r="F567" s="67" t="s">
        <v>2943</v>
      </c>
      <c r="G567" s="66" t="s">
        <v>2942</v>
      </c>
      <c r="H567" s="65" t="s">
        <v>2944</v>
      </c>
    </row>
    <row r="568" spans="1:8" x14ac:dyDescent="0.3">
      <c r="A568" s="65" t="s">
        <v>2945</v>
      </c>
      <c r="B568" s="65" t="s">
        <v>2946</v>
      </c>
      <c r="C568" s="66" t="s">
        <v>2947</v>
      </c>
      <c r="D568" s="67" t="s">
        <v>860</v>
      </c>
      <c r="E568" s="66" t="s">
        <v>861</v>
      </c>
      <c r="F568" s="67" t="s">
        <v>2948</v>
      </c>
      <c r="G568" s="66" t="s">
        <v>2947</v>
      </c>
      <c r="H568" s="65" t="s">
        <v>2949</v>
      </c>
    </row>
    <row r="569" spans="1:8" x14ac:dyDescent="0.3">
      <c r="A569" s="65" t="s">
        <v>2950</v>
      </c>
      <c r="B569" s="65" t="s">
        <v>2951</v>
      </c>
      <c r="C569" s="66" t="s">
        <v>2952</v>
      </c>
      <c r="D569" s="67" t="s">
        <v>916</v>
      </c>
      <c r="E569" s="66" t="s">
        <v>917</v>
      </c>
      <c r="F569" s="67" t="s">
        <v>2953</v>
      </c>
      <c r="G569" s="66" t="s">
        <v>2952</v>
      </c>
      <c r="H569" s="65" t="s">
        <v>2954</v>
      </c>
    </row>
    <row r="570" spans="1:8" x14ac:dyDescent="0.3">
      <c r="A570" s="65" t="s">
        <v>2955</v>
      </c>
      <c r="B570" s="65" t="s">
        <v>2956</v>
      </c>
      <c r="C570" s="66" t="s">
        <v>2957</v>
      </c>
      <c r="D570" s="67" t="s">
        <v>241</v>
      </c>
      <c r="E570" s="66" t="s">
        <v>242</v>
      </c>
      <c r="F570" s="67" t="s">
        <v>2958</v>
      </c>
      <c r="G570" s="66" t="s">
        <v>2957</v>
      </c>
      <c r="H570" s="65" t="s">
        <v>2959</v>
      </c>
    </row>
    <row r="571" spans="1:8" x14ac:dyDescent="0.3">
      <c r="A571" s="65" t="s">
        <v>2960</v>
      </c>
      <c r="B571" s="65" t="s">
        <v>2961</v>
      </c>
      <c r="C571" s="66" t="s">
        <v>2962</v>
      </c>
      <c r="D571" s="67" t="s">
        <v>165</v>
      </c>
      <c r="E571" s="66" t="s">
        <v>166</v>
      </c>
      <c r="F571" s="67" t="s">
        <v>2963</v>
      </c>
      <c r="G571" s="66" t="s">
        <v>2962</v>
      </c>
      <c r="H571" s="65" t="s">
        <v>2964</v>
      </c>
    </row>
    <row r="572" spans="1:8" x14ac:dyDescent="0.3">
      <c r="A572" s="65" t="s">
        <v>2965</v>
      </c>
      <c r="B572" s="65" t="s">
        <v>2966</v>
      </c>
      <c r="C572" s="66" t="s">
        <v>2967</v>
      </c>
      <c r="D572" s="67" t="s">
        <v>860</v>
      </c>
      <c r="E572" s="66" t="s">
        <v>861</v>
      </c>
      <c r="F572" s="67" t="s">
        <v>2968</v>
      </c>
      <c r="G572" s="66" t="s">
        <v>2967</v>
      </c>
      <c r="H572" s="65" t="s">
        <v>2969</v>
      </c>
    </row>
    <row r="573" spans="1:8" x14ac:dyDescent="0.3">
      <c r="A573" s="65" t="s">
        <v>2970</v>
      </c>
      <c r="B573" s="65" t="s">
        <v>2971</v>
      </c>
      <c r="C573" s="66" t="s">
        <v>2972</v>
      </c>
      <c r="D573" s="67" t="s">
        <v>320</v>
      </c>
      <c r="E573" s="66" t="s">
        <v>321</v>
      </c>
      <c r="F573" s="67" t="s">
        <v>2973</v>
      </c>
      <c r="G573" s="66" t="s">
        <v>2972</v>
      </c>
      <c r="H573" s="65" t="s">
        <v>2974</v>
      </c>
    </row>
    <row r="574" spans="1:8" x14ac:dyDescent="0.3">
      <c r="A574" s="65" t="s">
        <v>2975</v>
      </c>
      <c r="B574" s="65" t="s">
        <v>2976</v>
      </c>
      <c r="C574" s="66" t="s">
        <v>2977</v>
      </c>
      <c r="D574" s="67" t="s">
        <v>165</v>
      </c>
      <c r="E574" s="66" t="s">
        <v>166</v>
      </c>
      <c r="F574" s="67" t="s">
        <v>2978</v>
      </c>
      <c r="G574" s="66" t="s">
        <v>2977</v>
      </c>
      <c r="H574" s="65" t="s">
        <v>2979</v>
      </c>
    </row>
    <row r="575" spans="1:8" x14ac:dyDescent="0.3">
      <c r="A575" s="65" t="s">
        <v>87</v>
      </c>
      <c r="B575" s="65" t="s">
        <v>2980</v>
      </c>
      <c r="C575" s="66" t="s">
        <v>134</v>
      </c>
      <c r="D575" s="67" t="s">
        <v>916</v>
      </c>
      <c r="E575" s="66" t="s">
        <v>917</v>
      </c>
      <c r="F575" s="67" t="s">
        <v>2981</v>
      </c>
      <c r="G575" s="66" t="s">
        <v>134</v>
      </c>
      <c r="H575" s="65" t="s">
        <v>2982</v>
      </c>
    </row>
    <row r="576" spans="1:8" x14ac:dyDescent="0.3">
      <c r="A576" s="65" t="s">
        <v>2983</v>
      </c>
      <c r="B576" s="65" t="s">
        <v>2984</v>
      </c>
      <c r="C576" s="66" t="s">
        <v>2985</v>
      </c>
      <c r="D576" s="67" t="s">
        <v>241</v>
      </c>
      <c r="E576" s="66" t="s">
        <v>242</v>
      </c>
      <c r="F576" s="67" t="s">
        <v>2986</v>
      </c>
      <c r="G576" s="66" t="s">
        <v>2985</v>
      </c>
      <c r="H576" s="65" t="s">
        <v>2987</v>
      </c>
    </row>
    <row r="577" spans="1:8" x14ac:dyDescent="0.3">
      <c r="A577" s="65" t="s">
        <v>2988</v>
      </c>
      <c r="B577" s="65" t="s">
        <v>2989</v>
      </c>
      <c r="C577" s="66" t="s">
        <v>2990</v>
      </c>
      <c r="D577" s="67" t="s">
        <v>241</v>
      </c>
      <c r="E577" s="66" t="s">
        <v>242</v>
      </c>
      <c r="F577" s="67" t="s">
        <v>2991</v>
      </c>
      <c r="G577" s="66" t="s">
        <v>2990</v>
      </c>
      <c r="H577" s="65" t="s">
        <v>2992</v>
      </c>
    </row>
    <row r="578" spans="1:8" x14ac:dyDescent="0.3">
      <c r="A578" s="65" t="s">
        <v>2993</v>
      </c>
      <c r="B578" s="65" t="s">
        <v>2994</v>
      </c>
      <c r="C578" s="66" t="s">
        <v>2995</v>
      </c>
      <c r="D578" s="67" t="s">
        <v>165</v>
      </c>
      <c r="E578" s="66" t="s">
        <v>166</v>
      </c>
      <c r="F578" s="67" t="s">
        <v>2996</v>
      </c>
      <c r="G578" s="66" t="s">
        <v>2995</v>
      </c>
      <c r="H578" s="65" t="s">
        <v>2997</v>
      </c>
    </row>
    <row r="579" spans="1:8" x14ac:dyDescent="0.3">
      <c r="A579" s="65" t="s">
        <v>2998</v>
      </c>
      <c r="B579" s="65" t="s">
        <v>2999</v>
      </c>
      <c r="C579" s="66" t="s">
        <v>3000</v>
      </c>
      <c r="D579" s="67" t="s">
        <v>2561</v>
      </c>
      <c r="E579" s="66" t="s">
        <v>2562</v>
      </c>
      <c r="F579" s="67" t="s">
        <v>3001</v>
      </c>
      <c r="G579" s="66" t="s">
        <v>3000</v>
      </c>
      <c r="H579" s="65" t="s">
        <v>3002</v>
      </c>
    </row>
    <row r="580" spans="1:8" x14ac:dyDescent="0.3">
      <c r="A580" s="65" t="s">
        <v>3003</v>
      </c>
      <c r="B580" s="65" t="s">
        <v>3004</v>
      </c>
      <c r="C580" s="66" t="s">
        <v>3005</v>
      </c>
      <c r="D580" s="67" t="s">
        <v>860</v>
      </c>
      <c r="E580" s="66" t="s">
        <v>861</v>
      </c>
      <c r="F580" s="67" t="s">
        <v>3006</v>
      </c>
      <c r="G580" s="66" t="s">
        <v>3005</v>
      </c>
      <c r="H580" s="65" t="s">
        <v>3007</v>
      </c>
    </row>
    <row r="581" spans="1:8" x14ac:dyDescent="0.3">
      <c r="A581" s="65" t="s">
        <v>89</v>
      </c>
      <c r="B581" s="65" t="s">
        <v>3008</v>
      </c>
      <c r="C581" s="66" t="s">
        <v>135</v>
      </c>
      <c r="D581" s="67" t="s">
        <v>241</v>
      </c>
      <c r="E581" s="66" t="s">
        <v>242</v>
      </c>
      <c r="F581" s="67" t="s">
        <v>3009</v>
      </c>
      <c r="G581" s="66" t="s">
        <v>135</v>
      </c>
      <c r="H581" s="65" t="s">
        <v>3010</v>
      </c>
    </row>
    <row r="582" spans="1:8" x14ac:dyDescent="0.3">
      <c r="A582" s="65" t="s">
        <v>90</v>
      </c>
      <c r="B582" s="65" t="s">
        <v>3011</v>
      </c>
      <c r="C582" s="66" t="s">
        <v>110</v>
      </c>
      <c r="D582" s="67" t="s">
        <v>241</v>
      </c>
      <c r="E582" s="66" t="s">
        <v>242</v>
      </c>
      <c r="F582" s="67" t="s">
        <v>3012</v>
      </c>
      <c r="G582" s="66" t="s">
        <v>110</v>
      </c>
      <c r="H582" s="65" t="s">
        <v>3013</v>
      </c>
    </row>
    <row r="583" spans="1:8" x14ac:dyDescent="0.3">
      <c r="A583" s="65" t="s">
        <v>91</v>
      </c>
      <c r="B583" s="65" t="s">
        <v>3014</v>
      </c>
      <c r="C583" s="66" t="s">
        <v>136</v>
      </c>
      <c r="D583" s="67" t="s">
        <v>165</v>
      </c>
      <c r="E583" s="66" t="s">
        <v>166</v>
      </c>
      <c r="F583" s="67" t="s">
        <v>3015</v>
      </c>
      <c r="G583" s="66" t="s">
        <v>136</v>
      </c>
      <c r="H583" s="65" t="s">
        <v>3016</v>
      </c>
    </row>
    <row r="584" spans="1:8" x14ac:dyDescent="0.3">
      <c r="A584" s="65" t="s">
        <v>92</v>
      </c>
      <c r="B584" s="65" t="s">
        <v>3017</v>
      </c>
      <c r="C584" s="66" t="s">
        <v>137</v>
      </c>
      <c r="D584" s="67" t="s">
        <v>308</v>
      </c>
      <c r="E584" s="66" t="s">
        <v>309</v>
      </c>
      <c r="F584" s="67" t="s">
        <v>3018</v>
      </c>
      <c r="G584" s="66" t="s">
        <v>137</v>
      </c>
      <c r="H584" s="65" t="s">
        <v>3019</v>
      </c>
    </row>
    <row r="585" spans="1:8" x14ac:dyDescent="0.3">
      <c r="A585" s="65" t="s">
        <v>3020</v>
      </c>
      <c r="B585" s="65" t="s">
        <v>2851</v>
      </c>
      <c r="C585" s="66" t="s">
        <v>2852</v>
      </c>
      <c r="D585" s="67" t="s">
        <v>320</v>
      </c>
      <c r="E585" s="66" t="s">
        <v>321</v>
      </c>
      <c r="F585" s="67" t="s">
        <v>3021</v>
      </c>
      <c r="G585" s="66" t="s">
        <v>2852</v>
      </c>
      <c r="H585" s="65" t="s">
        <v>3022</v>
      </c>
    </row>
    <row r="586" spans="1:8" x14ac:dyDescent="0.3">
      <c r="A586" s="65" t="s">
        <v>3023</v>
      </c>
      <c r="B586" s="65" t="s">
        <v>3024</v>
      </c>
      <c r="C586" s="66" t="s">
        <v>3025</v>
      </c>
      <c r="D586" s="67" t="s">
        <v>308</v>
      </c>
      <c r="E586" s="66" t="s">
        <v>309</v>
      </c>
      <c r="F586" s="67" t="s">
        <v>3026</v>
      </c>
      <c r="G586" s="66" t="s">
        <v>3025</v>
      </c>
      <c r="H586" s="65" t="s">
        <v>3027</v>
      </c>
    </row>
    <row r="587" spans="1:8" x14ac:dyDescent="0.3">
      <c r="A587" s="65" t="s">
        <v>3028</v>
      </c>
      <c r="B587" s="65" t="s">
        <v>3029</v>
      </c>
      <c r="C587" s="66" t="s">
        <v>3030</v>
      </c>
      <c r="D587" s="67" t="s">
        <v>320</v>
      </c>
      <c r="E587" s="66" t="s">
        <v>321</v>
      </c>
      <c r="F587" s="67" t="s">
        <v>3031</v>
      </c>
      <c r="G587" s="66" t="s">
        <v>3030</v>
      </c>
      <c r="H587" s="65" t="s">
        <v>3032</v>
      </c>
    </row>
    <row r="588" spans="1:8" x14ac:dyDescent="0.3">
      <c r="A588" s="65" t="s">
        <v>3033</v>
      </c>
      <c r="B588" s="65" t="s">
        <v>3034</v>
      </c>
      <c r="C588" s="66" t="s">
        <v>3035</v>
      </c>
      <c r="D588" s="67" t="s">
        <v>165</v>
      </c>
      <c r="E588" s="66" t="s">
        <v>166</v>
      </c>
      <c r="F588" s="67" t="s">
        <v>3036</v>
      </c>
      <c r="G588" s="66" t="s">
        <v>3035</v>
      </c>
      <c r="H588" s="65" t="s">
        <v>3037</v>
      </c>
    </row>
    <row r="589" spans="1:8" x14ac:dyDescent="0.3">
      <c r="A589" s="65" t="s">
        <v>3038</v>
      </c>
      <c r="B589" s="65" t="s">
        <v>3039</v>
      </c>
      <c r="C589" s="66" t="s">
        <v>3040</v>
      </c>
      <c r="D589" s="67" t="s">
        <v>241</v>
      </c>
      <c r="E589" s="66" t="s">
        <v>242</v>
      </c>
      <c r="F589" s="67" t="s">
        <v>3041</v>
      </c>
      <c r="G589" s="66" t="s">
        <v>3040</v>
      </c>
      <c r="H589" s="65" t="s">
        <v>3042</v>
      </c>
    </row>
    <row r="590" spans="1:8" x14ac:dyDescent="0.3">
      <c r="A590" s="65" t="s">
        <v>3043</v>
      </c>
      <c r="B590" s="65" t="s">
        <v>3044</v>
      </c>
      <c r="C590" s="66" t="s">
        <v>3045</v>
      </c>
      <c r="D590" s="67" t="s">
        <v>165</v>
      </c>
      <c r="E590" s="66" t="s">
        <v>166</v>
      </c>
      <c r="F590" s="67" t="s">
        <v>3046</v>
      </c>
      <c r="G590" s="66" t="s">
        <v>3045</v>
      </c>
      <c r="H590" s="65" t="s">
        <v>3047</v>
      </c>
    </row>
    <row r="591" spans="1:8" x14ac:dyDescent="0.3">
      <c r="A591" s="65" t="s">
        <v>94</v>
      </c>
      <c r="B591" s="65" t="s">
        <v>3048</v>
      </c>
      <c r="C591" s="66" t="s">
        <v>138</v>
      </c>
      <c r="D591" s="67" t="s">
        <v>165</v>
      </c>
      <c r="E591" s="66" t="s">
        <v>166</v>
      </c>
      <c r="F591" s="67" t="s">
        <v>3049</v>
      </c>
      <c r="G591" s="66" t="s">
        <v>138</v>
      </c>
      <c r="H591" s="65" t="s">
        <v>3050</v>
      </c>
    </row>
    <row r="592" spans="1:8" x14ac:dyDescent="0.3">
      <c r="A592" s="65" t="s">
        <v>95</v>
      </c>
      <c r="B592" s="65" t="s">
        <v>3051</v>
      </c>
      <c r="C592" s="66" t="s">
        <v>139</v>
      </c>
      <c r="D592" s="67" t="s">
        <v>212</v>
      </c>
      <c r="E592" s="66" t="s">
        <v>213</v>
      </c>
      <c r="F592" s="67" t="s">
        <v>3052</v>
      </c>
      <c r="G592" s="66" t="s">
        <v>139</v>
      </c>
      <c r="H592" s="65" t="s">
        <v>3053</v>
      </c>
    </row>
    <row r="593" spans="1:8" x14ac:dyDescent="0.3">
      <c r="A593" s="65" t="s">
        <v>96</v>
      </c>
      <c r="B593" s="65" t="s">
        <v>3054</v>
      </c>
      <c r="C593" s="66" t="s">
        <v>140</v>
      </c>
      <c r="D593" s="67" t="s">
        <v>212</v>
      </c>
      <c r="E593" s="66" t="s">
        <v>213</v>
      </c>
      <c r="F593" s="67" t="s">
        <v>3055</v>
      </c>
      <c r="G593" s="66" t="s">
        <v>140</v>
      </c>
      <c r="H593" s="65" t="s">
        <v>3056</v>
      </c>
    </row>
    <row r="594" spans="1:8" x14ac:dyDescent="0.3">
      <c r="A594" s="65" t="s">
        <v>3057</v>
      </c>
      <c r="B594" s="65" t="s">
        <v>3058</v>
      </c>
      <c r="C594" s="66" t="s">
        <v>3059</v>
      </c>
      <c r="D594" s="67" t="s">
        <v>165</v>
      </c>
      <c r="E594" s="66" t="s">
        <v>166</v>
      </c>
      <c r="F594" s="67" t="s">
        <v>3060</v>
      </c>
      <c r="G594" s="66" t="s">
        <v>3059</v>
      </c>
      <c r="H594" s="65" t="s">
        <v>3061</v>
      </c>
    </row>
    <row r="595" spans="1:8" x14ac:dyDescent="0.3">
      <c r="A595" s="65" t="s">
        <v>141</v>
      </c>
      <c r="B595" s="65" t="s">
        <v>3062</v>
      </c>
      <c r="C595" s="66" t="s">
        <v>142</v>
      </c>
      <c r="D595" s="67" t="s">
        <v>165</v>
      </c>
      <c r="E595" s="66" t="s">
        <v>166</v>
      </c>
      <c r="F595" s="67" t="s">
        <v>3063</v>
      </c>
      <c r="G595" s="66" t="s">
        <v>142</v>
      </c>
      <c r="H595" s="65" t="s">
        <v>3064</v>
      </c>
    </row>
    <row r="596" spans="1:8" x14ac:dyDescent="0.3">
      <c r="A596" s="65" t="s">
        <v>3065</v>
      </c>
      <c r="B596" s="65" t="s">
        <v>3066</v>
      </c>
      <c r="C596" s="66" t="s">
        <v>3067</v>
      </c>
      <c r="D596" s="67" t="s">
        <v>165</v>
      </c>
      <c r="E596" s="66" t="s">
        <v>166</v>
      </c>
      <c r="F596" s="67" t="s">
        <v>3068</v>
      </c>
      <c r="G596" s="66" t="s">
        <v>3067</v>
      </c>
      <c r="H596" s="65" t="s">
        <v>3069</v>
      </c>
    </row>
    <row r="597" spans="1:8" x14ac:dyDescent="0.3">
      <c r="A597" s="65" t="s">
        <v>143</v>
      </c>
      <c r="B597" s="65" t="s">
        <v>3070</v>
      </c>
      <c r="C597" s="66" t="s">
        <v>144</v>
      </c>
      <c r="D597" s="67" t="s">
        <v>165</v>
      </c>
      <c r="E597" s="66" t="s">
        <v>166</v>
      </c>
      <c r="F597" s="67" t="s">
        <v>3071</v>
      </c>
      <c r="G597" s="66" t="s">
        <v>144</v>
      </c>
      <c r="H597" s="65" t="s">
        <v>3072</v>
      </c>
    </row>
    <row r="598" spans="1:8" x14ac:dyDescent="0.3">
      <c r="A598" s="65" t="s">
        <v>111</v>
      </c>
      <c r="B598" s="65" t="s">
        <v>3073</v>
      </c>
      <c r="C598" s="66" t="s">
        <v>112</v>
      </c>
      <c r="D598" s="67" t="s">
        <v>3074</v>
      </c>
      <c r="E598" s="66" t="s">
        <v>3075</v>
      </c>
      <c r="F598" s="67" t="s">
        <v>3076</v>
      </c>
      <c r="G598" s="66" t="s">
        <v>112</v>
      </c>
      <c r="H598" s="65" t="s">
        <v>3077</v>
      </c>
    </row>
    <row r="599" spans="1:8" x14ac:dyDescent="0.3">
      <c r="A599" s="65" t="s">
        <v>145</v>
      </c>
      <c r="B599" s="65" t="s">
        <v>3078</v>
      </c>
      <c r="C599" s="66" t="s">
        <v>146</v>
      </c>
      <c r="D599" s="67" t="s">
        <v>165</v>
      </c>
      <c r="E599" s="66" t="s">
        <v>166</v>
      </c>
      <c r="F599" s="67" t="s">
        <v>3079</v>
      </c>
      <c r="G599" s="66" t="s">
        <v>146</v>
      </c>
      <c r="H599" s="65" t="s">
        <v>3080</v>
      </c>
    </row>
    <row r="600" spans="1:8" x14ac:dyDescent="0.3">
      <c r="A600" s="65" t="s">
        <v>147</v>
      </c>
      <c r="B600" s="65" t="s">
        <v>3081</v>
      </c>
      <c r="C600" s="66" t="s">
        <v>148</v>
      </c>
      <c r="D600" s="67" t="s">
        <v>320</v>
      </c>
      <c r="E600" s="66" t="s">
        <v>321</v>
      </c>
      <c r="F600" s="67" t="s">
        <v>3082</v>
      </c>
      <c r="G600" s="66" t="s">
        <v>148</v>
      </c>
      <c r="H600" s="65" t="s">
        <v>3083</v>
      </c>
    </row>
    <row r="601" spans="1:8" x14ac:dyDescent="0.3">
      <c r="A601" s="65" t="s">
        <v>154</v>
      </c>
      <c r="B601" s="65" t="s">
        <v>3084</v>
      </c>
      <c r="C601" s="66" t="s">
        <v>155</v>
      </c>
      <c r="D601" s="67" t="s">
        <v>165</v>
      </c>
      <c r="E601" s="66" t="s">
        <v>166</v>
      </c>
      <c r="F601" s="67" t="s">
        <v>3085</v>
      </c>
      <c r="G601" s="66" t="s">
        <v>155</v>
      </c>
      <c r="H601" s="65" t="s">
        <v>3086</v>
      </c>
    </row>
    <row r="602" spans="1:8" x14ac:dyDescent="0.3">
      <c r="A602" s="65" t="s">
        <v>156</v>
      </c>
      <c r="B602" s="65" t="s">
        <v>3087</v>
      </c>
      <c r="C602" s="66" t="s">
        <v>157</v>
      </c>
      <c r="D602" s="67" t="s">
        <v>165</v>
      </c>
      <c r="E602" s="66" t="s">
        <v>166</v>
      </c>
      <c r="F602" s="67" t="s">
        <v>3088</v>
      </c>
      <c r="G602" s="66" t="s">
        <v>157</v>
      </c>
      <c r="H602" s="65" t="s">
        <v>3089</v>
      </c>
    </row>
    <row r="603" spans="1:8" x14ac:dyDescent="0.3">
      <c r="A603" s="65" t="s">
        <v>150</v>
      </c>
      <c r="B603" s="65" t="s">
        <v>3090</v>
      </c>
      <c r="C603" s="66" t="s">
        <v>151</v>
      </c>
      <c r="D603" s="67" t="s">
        <v>320</v>
      </c>
      <c r="E603" s="66" t="s">
        <v>321</v>
      </c>
      <c r="F603" s="67" t="s">
        <v>3091</v>
      </c>
      <c r="G603" s="66" t="s">
        <v>151</v>
      </c>
      <c r="H603" s="65" t="s">
        <v>3092</v>
      </c>
    </row>
    <row r="604" spans="1:8" x14ac:dyDescent="0.3">
      <c r="A604" s="65" t="s">
        <v>152</v>
      </c>
      <c r="B604" s="65" t="s">
        <v>3093</v>
      </c>
      <c r="C604" s="66" t="s">
        <v>153</v>
      </c>
      <c r="D604" s="67" t="s">
        <v>165</v>
      </c>
      <c r="E604" s="66" t="s">
        <v>166</v>
      </c>
      <c r="F604" s="67" t="s">
        <v>3094</v>
      </c>
      <c r="G604" s="66" t="s">
        <v>153</v>
      </c>
      <c r="H604" s="65" t="s">
        <v>3095</v>
      </c>
    </row>
    <row r="605" spans="1:8" x14ac:dyDescent="0.3">
      <c r="A605" s="65" t="s">
        <v>3096</v>
      </c>
      <c r="B605" s="65" t="s">
        <v>3097</v>
      </c>
      <c r="C605" s="66" t="s">
        <v>3098</v>
      </c>
      <c r="D605" s="67" t="s">
        <v>241</v>
      </c>
      <c r="E605" s="66" t="s">
        <v>242</v>
      </c>
      <c r="F605" s="67" t="s">
        <v>3099</v>
      </c>
      <c r="G605" s="66" t="s">
        <v>3098</v>
      </c>
      <c r="H605" s="65" t="s">
        <v>3100</v>
      </c>
    </row>
    <row r="606" spans="1:8" x14ac:dyDescent="0.3">
      <c r="A606" s="65" t="s">
        <v>3101</v>
      </c>
      <c r="B606" s="65" t="s">
        <v>3102</v>
      </c>
      <c r="C606" s="66" t="s">
        <v>3103</v>
      </c>
      <c r="D606" s="67" t="s">
        <v>165</v>
      </c>
      <c r="E606" s="66" t="s">
        <v>166</v>
      </c>
      <c r="F606" s="67" t="s">
        <v>3104</v>
      </c>
      <c r="G606" s="66" t="s">
        <v>3103</v>
      </c>
      <c r="H606" s="65" t="s">
        <v>3105</v>
      </c>
    </row>
    <row r="607" spans="1:8" x14ac:dyDescent="0.3">
      <c r="A607" s="65" t="s">
        <v>3106</v>
      </c>
      <c r="B607" s="65" t="s">
        <v>3107</v>
      </c>
      <c r="C607" s="66" t="s">
        <v>3108</v>
      </c>
      <c r="D607" s="67" t="s">
        <v>165</v>
      </c>
      <c r="E607" s="66" t="s">
        <v>166</v>
      </c>
      <c r="F607" s="67" t="s">
        <v>3109</v>
      </c>
      <c r="G607" s="66" t="s">
        <v>3108</v>
      </c>
      <c r="H607" s="65" t="s">
        <v>3110</v>
      </c>
    </row>
    <row r="608" spans="1:8" x14ac:dyDescent="0.3">
      <c r="A608" s="65" t="s">
        <v>3111</v>
      </c>
      <c r="B608" s="65" t="s">
        <v>3112</v>
      </c>
      <c r="C608" s="66" t="s">
        <v>3113</v>
      </c>
      <c r="D608" s="67" t="s">
        <v>212</v>
      </c>
      <c r="E608" s="66" t="s">
        <v>213</v>
      </c>
      <c r="F608" s="67" t="s">
        <v>3114</v>
      </c>
      <c r="G608" s="66" t="s">
        <v>3113</v>
      </c>
      <c r="H608" s="65" t="s">
        <v>3115</v>
      </c>
    </row>
    <row r="609" spans="1:8" x14ac:dyDescent="0.3">
      <c r="A609" s="65" t="s">
        <v>3116</v>
      </c>
      <c r="B609" s="65" t="s">
        <v>3117</v>
      </c>
      <c r="C609" s="66" t="s">
        <v>3118</v>
      </c>
      <c r="D609" s="67" t="s">
        <v>165</v>
      </c>
      <c r="E609" s="66" t="s">
        <v>166</v>
      </c>
      <c r="F609" s="67" t="s">
        <v>3119</v>
      </c>
      <c r="G609" s="66" t="s">
        <v>3118</v>
      </c>
      <c r="H609" s="65" t="s">
        <v>3120</v>
      </c>
    </row>
    <row r="610" spans="1:8" x14ac:dyDescent="0.3">
      <c r="A610" s="65" t="s">
        <v>3121</v>
      </c>
      <c r="B610" s="65" t="s">
        <v>3122</v>
      </c>
      <c r="C610" s="66" t="s">
        <v>3123</v>
      </c>
      <c r="D610" s="67" t="s">
        <v>165</v>
      </c>
      <c r="E610" s="66" t="s">
        <v>166</v>
      </c>
      <c r="F610" s="67" t="s">
        <v>3124</v>
      </c>
      <c r="G610" s="66" t="s">
        <v>3123</v>
      </c>
      <c r="H610" s="65" t="s">
        <v>3125</v>
      </c>
    </row>
    <row r="611" spans="1:8" x14ac:dyDescent="0.3">
      <c r="A611" s="65" t="s">
        <v>3126</v>
      </c>
      <c r="B611" s="65" t="s">
        <v>3127</v>
      </c>
      <c r="C611" s="66" t="s">
        <v>3128</v>
      </c>
      <c r="D611" s="67" t="s">
        <v>165</v>
      </c>
      <c r="E611" s="66" t="s">
        <v>166</v>
      </c>
      <c r="F611" s="67" t="s">
        <v>3129</v>
      </c>
      <c r="G611" s="66" t="s">
        <v>3128</v>
      </c>
      <c r="H611" s="65" t="s">
        <v>3130</v>
      </c>
    </row>
    <row r="612" spans="1:8" x14ac:dyDescent="0.3">
      <c r="A612" s="65" t="s">
        <v>3131</v>
      </c>
      <c r="B612" s="65" t="s">
        <v>3132</v>
      </c>
      <c r="C612" s="66" t="s">
        <v>3133</v>
      </c>
      <c r="D612" s="67" t="s">
        <v>165</v>
      </c>
      <c r="E612" s="66" t="s">
        <v>166</v>
      </c>
      <c r="F612" s="67" t="s">
        <v>3134</v>
      </c>
      <c r="G612" s="66" t="s">
        <v>3133</v>
      </c>
      <c r="H612" s="65" t="s">
        <v>3135</v>
      </c>
    </row>
    <row r="613" spans="1:8" x14ac:dyDescent="0.3">
      <c r="A613" s="65" t="s">
        <v>3136</v>
      </c>
      <c r="B613" s="65" t="s">
        <v>3137</v>
      </c>
      <c r="C613" s="66" t="s">
        <v>3138</v>
      </c>
      <c r="D613" s="67" t="s">
        <v>165</v>
      </c>
      <c r="E613" s="66" t="s">
        <v>166</v>
      </c>
      <c r="F613" s="67" t="s">
        <v>3139</v>
      </c>
      <c r="G613" s="66" t="s">
        <v>3138</v>
      </c>
      <c r="H613" s="65" t="s">
        <v>3140</v>
      </c>
    </row>
    <row r="614" spans="1:8" x14ac:dyDescent="0.3">
      <c r="A614" s="65" t="s">
        <v>3141</v>
      </c>
      <c r="B614" s="65" t="s">
        <v>3142</v>
      </c>
      <c r="C614" s="66" t="s">
        <v>3143</v>
      </c>
      <c r="D614" s="67" t="s">
        <v>165</v>
      </c>
      <c r="E614" s="66" t="s">
        <v>166</v>
      </c>
      <c r="F614" s="67" t="s">
        <v>3144</v>
      </c>
      <c r="G614" s="66" t="s">
        <v>3143</v>
      </c>
      <c r="H614" s="65" t="s">
        <v>3145</v>
      </c>
    </row>
    <row r="615" spans="1:8" x14ac:dyDescent="0.3">
      <c r="A615" s="65" t="s">
        <v>3146</v>
      </c>
      <c r="B615" s="65" t="s">
        <v>3147</v>
      </c>
      <c r="C615" s="66" t="s">
        <v>3148</v>
      </c>
      <c r="D615" s="67" t="s">
        <v>308</v>
      </c>
      <c r="E615" s="66" t="s">
        <v>309</v>
      </c>
      <c r="F615" s="67" t="s">
        <v>3149</v>
      </c>
      <c r="G615" s="66" t="s">
        <v>3148</v>
      </c>
      <c r="H615" s="65" t="s">
        <v>3150</v>
      </c>
    </row>
    <row r="616" spans="1:8" x14ac:dyDescent="0.3">
      <c r="A616" s="65" t="s">
        <v>3151</v>
      </c>
      <c r="B616" s="65" t="s">
        <v>3152</v>
      </c>
      <c r="C616" s="66" t="s">
        <v>3153</v>
      </c>
      <c r="D616" s="67" t="s">
        <v>165</v>
      </c>
      <c r="E616" s="66" t="s">
        <v>166</v>
      </c>
      <c r="F616" s="67" t="s">
        <v>3154</v>
      </c>
      <c r="G616" s="66" t="s">
        <v>3153</v>
      </c>
      <c r="H616" s="65" t="s">
        <v>3155</v>
      </c>
    </row>
    <row r="617" spans="1:8" x14ac:dyDescent="0.3">
      <c r="A617" s="65" t="s">
        <v>3156</v>
      </c>
      <c r="B617" s="65" t="s">
        <v>3157</v>
      </c>
      <c r="C617" s="66" t="s">
        <v>3158</v>
      </c>
      <c r="D617" s="67" t="s">
        <v>165</v>
      </c>
      <c r="E617" s="66" t="s">
        <v>166</v>
      </c>
      <c r="F617" s="67" t="s">
        <v>3159</v>
      </c>
      <c r="G617" s="66" t="s">
        <v>3158</v>
      </c>
      <c r="H617" s="65" t="s">
        <v>3160</v>
      </c>
    </row>
    <row r="618" spans="1:8" x14ac:dyDescent="0.3">
      <c r="A618" s="65" t="s">
        <v>3161</v>
      </c>
      <c r="B618" s="65" t="s">
        <v>3162</v>
      </c>
      <c r="C618" s="66" t="s">
        <v>3163</v>
      </c>
      <c r="D618" s="67" t="s">
        <v>165</v>
      </c>
      <c r="E618" s="66" t="s">
        <v>166</v>
      </c>
      <c r="F618" s="67" t="s">
        <v>3164</v>
      </c>
      <c r="G618" s="66" t="s">
        <v>3163</v>
      </c>
      <c r="H618" s="65" t="s">
        <v>3165</v>
      </c>
    </row>
    <row r="619" spans="1:8" x14ac:dyDescent="0.3">
      <c r="A619" s="65" t="s">
        <v>3166</v>
      </c>
      <c r="B619" s="65" t="s">
        <v>3167</v>
      </c>
      <c r="C619" s="66" t="s">
        <v>3168</v>
      </c>
      <c r="D619" s="67" t="s">
        <v>165</v>
      </c>
      <c r="E619" s="66" t="s">
        <v>166</v>
      </c>
      <c r="F619" s="67" t="s">
        <v>3169</v>
      </c>
      <c r="G619" s="66" t="s">
        <v>3168</v>
      </c>
      <c r="H619" s="65" t="s">
        <v>3170</v>
      </c>
    </row>
    <row r="620" spans="1:8" x14ac:dyDescent="0.3">
      <c r="A620" s="65" t="s">
        <v>3171</v>
      </c>
      <c r="B620" s="65" t="s">
        <v>3172</v>
      </c>
      <c r="C620" s="66" t="s">
        <v>3173</v>
      </c>
      <c r="D620" s="67" t="s">
        <v>165</v>
      </c>
      <c r="E620" s="66" t="s">
        <v>166</v>
      </c>
      <c r="F620" s="67" t="s">
        <v>3174</v>
      </c>
      <c r="G620" s="66" t="s">
        <v>3173</v>
      </c>
      <c r="H620" s="65" t="s">
        <v>3175</v>
      </c>
    </row>
    <row r="621" spans="1:8" x14ac:dyDescent="0.3">
      <c r="A621" s="65" t="s">
        <v>3176</v>
      </c>
      <c r="B621" s="65" t="s">
        <v>3177</v>
      </c>
      <c r="C621" s="66" t="s">
        <v>3178</v>
      </c>
      <c r="D621" s="67" t="s">
        <v>165</v>
      </c>
      <c r="E621" s="66" t="s">
        <v>166</v>
      </c>
      <c r="F621" s="67" t="s">
        <v>3179</v>
      </c>
      <c r="G621" s="66" t="s">
        <v>3178</v>
      </c>
      <c r="H621" s="65" t="s">
        <v>3180</v>
      </c>
    </row>
    <row r="622" spans="1:8" x14ac:dyDescent="0.3">
      <c r="A622" s="65" t="s">
        <v>3181</v>
      </c>
      <c r="B622" s="65" t="s">
        <v>3182</v>
      </c>
      <c r="C622" s="66" t="s">
        <v>133</v>
      </c>
      <c r="D622" s="67" t="s">
        <v>165</v>
      </c>
      <c r="E622" s="66" t="s">
        <v>166</v>
      </c>
      <c r="F622" s="67" t="s">
        <v>3183</v>
      </c>
      <c r="G622" s="66" t="s">
        <v>133</v>
      </c>
      <c r="H622" s="65" t="s">
        <v>3184</v>
      </c>
    </row>
    <row r="623" spans="1:8" x14ac:dyDescent="0.3">
      <c r="A623" s="65" t="s">
        <v>3185</v>
      </c>
      <c r="B623" s="65" t="s">
        <v>3186</v>
      </c>
      <c r="C623" s="66" t="s">
        <v>3187</v>
      </c>
      <c r="D623" s="67" t="s">
        <v>165</v>
      </c>
      <c r="E623" s="66" t="s">
        <v>166</v>
      </c>
      <c r="F623" s="67" t="s">
        <v>3188</v>
      </c>
      <c r="G623" s="66" t="s">
        <v>3187</v>
      </c>
      <c r="H623" s="65" t="s">
        <v>3189</v>
      </c>
    </row>
    <row r="624" spans="1:8" x14ac:dyDescent="0.3">
      <c r="A624" s="65" t="s">
        <v>3190</v>
      </c>
      <c r="B624" s="65" t="s">
        <v>3191</v>
      </c>
      <c r="C624" s="66" t="s">
        <v>3192</v>
      </c>
      <c r="D624" s="67" t="s">
        <v>165</v>
      </c>
      <c r="E624" s="66" t="s">
        <v>166</v>
      </c>
      <c r="F624" s="67" t="s">
        <v>3193</v>
      </c>
      <c r="G624" s="66" t="s">
        <v>3192</v>
      </c>
      <c r="H624" s="65" t="s">
        <v>3194</v>
      </c>
    </row>
    <row r="625" spans="1:8" x14ac:dyDescent="0.3">
      <c r="A625" s="65" t="s">
        <v>3195</v>
      </c>
      <c r="B625" s="65" t="s">
        <v>3196</v>
      </c>
      <c r="C625" s="66" t="s">
        <v>3197</v>
      </c>
      <c r="D625" s="67" t="s">
        <v>165</v>
      </c>
      <c r="E625" s="66" t="s">
        <v>166</v>
      </c>
      <c r="F625" s="67" t="s">
        <v>3198</v>
      </c>
      <c r="G625" s="66" t="s">
        <v>3197</v>
      </c>
      <c r="H625" s="65" t="s">
        <v>3199</v>
      </c>
    </row>
    <row r="626" spans="1:8" x14ac:dyDescent="0.3">
      <c r="A626" s="65" t="s">
        <v>3200</v>
      </c>
      <c r="B626" s="65" t="s">
        <v>3201</v>
      </c>
      <c r="C626" s="66" t="s">
        <v>3202</v>
      </c>
      <c r="D626" s="67" t="s">
        <v>165</v>
      </c>
      <c r="E626" s="66" t="s">
        <v>166</v>
      </c>
      <c r="F626" s="67" t="s">
        <v>3203</v>
      </c>
      <c r="G626" s="66" t="s">
        <v>3202</v>
      </c>
      <c r="H626" s="65" t="s">
        <v>3204</v>
      </c>
    </row>
    <row r="627" spans="1:8" x14ac:dyDescent="0.3">
      <c r="A627" s="65" t="s">
        <v>3205</v>
      </c>
      <c r="B627" s="65" t="s">
        <v>3206</v>
      </c>
      <c r="C627" s="66" t="s">
        <v>3207</v>
      </c>
      <c r="D627" s="67" t="s">
        <v>165</v>
      </c>
      <c r="E627" s="66" t="s">
        <v>166</v>
      </c>
      <c r="F627" s="67" t="s">
        <v>3208</v>
      </c>
      <c r="G627" s="66" t="s">
        <v>3207</v>
      </c>
      <c r="H627" s="65" t="s">
        <v>3209</v>
      </c>
    </row>
    <row r="628" spans="1:8" x14ac:dyDescent="0.3">
      <c r="A628" s="65" t="s">
        <v>3210</v>
      </c>
      <c r="B628" s="65" t="s">
        <v>3211</v>
      </c>
      <c r="C628" s="66" t="s">
        <v>3212</v>
      </c>
      <c r="D628" s="67" t="s">
        <v>3213</v>
      </c>
      <c r="E628" s="66" t="s">
        <v>3214</v>
      </c>
      <c r="F628" s="67" t="s">
        <v>3215</v>
      </c>
      <c r="G628" s="66" t="s">
        <v>3212</v>
      </c>
      <c r="H628" s="65" t="s">
        <v>3216</v>
      </c>
    </row>
    <row r="629" spans="1:8" x14ac:dyDescent="0.3">
      <c r="A629" s="65" t="s">
        <v>3217</v>
      </c>
      <c r="B629" s="65" t="s">
        <v>3218</v>
      </c>
      <c r="C629" s="66" t="s">
        <v>3219</v>
      </c>
      <c r="D629" s="67" t="s">
        <v>165</v>
      </c>
      <c r="E629" s="66" t="s">
        <v>166</v>
      </c>
      <c r="F629" s="67" t="s">
        <v>3220</v>
      </c>
      <c r="G629" s="66" t="s">
        <v>3219</v>
      </c>
      <c r="H629" s="65" t="s">
        <v>3221</v>
      </c>
    </row>
    <row r="630" spans="1:8" x14ac:dyDescent="0.3">
      <c r="A630" s="65" t="s">
        <v>3222</v>
      </c>
      <c r="B630" s="65" t="s">
        <v>3223</v>
      </c>
      <c r="C630" s="66" t="s">
        <v>3224</v>
      </c>
      <c r="D630" s="67" t="s">
        <v>320</v>
      </c>
      <c r="E630" s="66" t="s">
        <v>321</v>
      </c>
      <c r="F630" s="67" t="s">
        <v>3225</v>
      </c>
      <c r="G630" s="66" t="s">
        <v>3224</v>
      </c>
      <c r="H630" s="65" t="s">
        <v>3226</v>
      </c>
    </row>
    <row r="631" spans="1:8" x14ac:dyDescent="0.3">
      <c r="A631" s="65" t="s">
        <v>3227</v>
      </c>
      <c r="B631" s="65" t="s">
        <v>3228</v>
      </c>
      <c r="C631" s="66" t="s">
        <v>3229</v>
      </c>
      <c r="D631" s="67" t="s">
        <v>165</v>
      </c>
      <c r="E631" s="66" t="s">
        <v>166</v>
      </c>
      <c r="F631" s="67" t="s">
        <v>3230</v>
      </c>
      <c r="G631" s="66" t="s">
        <v>3229</v>
      </c>
      <c r="H631" s="65" t="s">
        <v>3231</v>
      </c>
    </row>
    <row r="632" spans="1:8" x14ac:dyDescent="0.3">
      <c r="A632" s="65" t="s">
        <v>3232</v>
      </c>
      <c r="B632" s="65" t="s">
        <v>3233</v>
      </c>
      <c r="C632" s="66" t="s">
        <v>3234</v>
      </c>
      <c r="D632" s="67" t="s">
        <v>165</v>
      </c>
      <c r="E632" s="66" t="s">
        <v>166</v>
      </c>
      <c r="F632" s="67" t="s">
        <v>3235</v>
      </c>
      <c r="G632" s="66" t="s">
        <v>3234</v>
      </c>
      <c r="H632" s="65" t="s">
        <v>3236</v>
      </c>
    </row>
    <row r="633" spans="1:8" x14ac:dyDescent="0.3">
      <c r="A633" s="65" t="s">
        <v>3237</v>
      </c>
      <c r="B633" s="65" t="s">
        <v>3238</v>
      </c>
      <c r="C633" s="66" t="s">
        <v>3239</v>
      </c>
      <c r="D633" s="67" t="s">
        <v>520</v>
      </c>
      <c r="E633" s="66" t="s">
        <v>521</v>
      </c>
      <c r="F633" s="67" t="s">
        <v>3240</v>
      </c>
      <c r="G633" s="66" t="s">
        <v>3239</v>
      </c>
      <c r="H633" s="65" t="s">
        <v>3241</v>
      </c>
    </row>
    <row r="634" spans="1:8" x14ac:dyDescent="0.3">
      <c r="A634" s="65" t="s">
        <v>3242</v>
      </c>
      <c r="B634" s="65" t="s">
        <v>3243</v>
      </c>
      <c r="C634" s="66" t="s">
        <v>3244</v>
      </c>
      <c r="D634" s="67" t="s">
        <v>165</v>
      </c>
      <c r="E634" s="66" t="s">
        <v>166</v>
      </c>
      <c r="F634" s="67" t="s">
        <v>3245</v>
      </c>
      <c r="G634" s="66" t="s">
        <v>3244</v>
      </c>
      <c r="H634" s="65" t="s">
        <v>3246</v>
      </c>
    </row>
    <row r="635" spans="1:8" x14ac:dyDescent="0.3">
      <c r="A635" s="65" t="s">
        <v>3247</v>
      </c>
      <c r="B635" s="65" t="s">
        <v>3248</v>
      </c>
      <c r="C635" s="66" t="s">
        <v>3249</v>
      </c>
      <c r="D635" s="67" t="s">
        <v>3250</v>
      </c>
      <c r="E635" s="66" t="s">
        <v>3251</v>
      </c>
      <c r="F635" s="67" t="s">
        <v>3252</v>
      </c>
      <c r="G635" s="66" t="s">
        <v>3249</v>
      </c>
      <c r="H635" s="65" t="s">
        <v>3253</v>
      </c>
    </row>
    <row r="636" spans="1:8" x14ac:dyDescent="0.3">
      <c r="A636" s="65" t="s">
        <v>3254</v>
      </c>
      <c r="B636" s="65" t="s">
        <v>3255</v>
      </c>
      <c r="C636" s="66" t="s">
        <v>3256</v>
      </c>
      <c r="D636" s="67" t="s">
        <v>165</v>
      </c>
      <c r="E636" s="66" t="s">
        <v>166</v>
      </c>
      <c r="F636" s="67" t="s">
        <v>3257</v>
      </c>
      <c r="G636" s="66" t="s">
        <v>3256</v>
      </c>
      <c r="H636" s="65" t="s">
        <v>842</v>
      </c>
    </row>
    <row r="637" spans="1:8" x14ac:dyDescent="0.3">
      <c r="A637" s="65" t="s">
        <v>3258</v>
      </c>
      <c r="B637" s="65" t="s">
        <v>3259</v>
      </c>
      <c r="C637" s="66" t="s">
        <v>1341</v>
      </c>
      <c r="D637" s="67" t="s">
        <v>165</v>
      </c>
      <c r="E637" s="66" t="s">
        <v>166</v>
      </c>
      <c r="F637" s="67" t="s">
        <v>3260</v>
      </c>
      <c r="G637" s="66" t="s">
        <v>1341</v>
      </c>
      <c r="H637" s="65" t="s">
        <v>3261</v>
      </c>
    </row>
    <row r="638" spans="1:8" x14ac:dyDescent="0.3">
      <c r="A638" s="65" t="s">
        <v>3262</v>
      </c>
      <c r="B638" s="65" t="s">
        <v>3263</v>
      </c>
      <c r="C638" s="66" t="s">
        <v>3264</v>
      </c>
      <c r="D638" s="67" t="s">
        <v>520</v>
      </c>
      <c r="E638" s="66" t="s">
        <v>521</v>
      </c>
      <c r="F638" s="67" t="s">
        <v>3265</v>
      </c>
      <c r="G638" s="66" t="s">
        <v>3264</v>
      </c>
      <c r="H638" s="65" t="s">
        <v>3266</v>
      </c>
    </row>
    <row r="639" spans="1:8" x14ac:dyDescent="0.3">
      <c r="A639" s="65" t="s">
        <v>3267</v>
      </c>
      <c r="B639" s="65" t="s">
        <v>3268</v>
      </c>
      <c r="C639" s="66" t="s">
        <v>3269</v>
      </c>
      <c r="D639" s="67" t="s">
        <v>165</v>
      </c>
      <c r="E639" s="66" t="s">
        <v>166</v>
      </c>
      <c r="F639" s="67" t="s">
        <v>3270</v>
      </c>
      <c r="G639" s="66" t="s">
        <v>3269</v>
      </c>
      <c r="H639" s="65" t="s">
        <v>3271</v>
      </c>
    </row>
    <row r="640" spans="1:8" x14ac:dyDescent="0.3">
      <c r="A640" s="65" t="s">
        <v>3272</v>
      </c>
      <c r="B640" s="65" t="s">
        <v>3273</v>
      </c>
      <c r="C640" s="66" t="s">
        <v>3274</v>
      </c>
      <c r="D640" s="67" t="s">
        <v>165</v>
      </c>
      <c r="E640" s="66" t="s">
        <v>166</v>
      </c>
      <c r="F640" s="67" t="s">
        <v>3275</v>
      </c>
      <c r="G640" s="66" t="s">
        <v>3274</v>
      </c>
      <c r="H640" s="65" t="s">
        <v>3276</v>
      </c>
    </row>
    <row r="641" spans="1:8" x14ac:dyDescent="0.3">
      <c r="A641" s="65" t="s">
        <v>3277</v>
      </c>
      <c r="B641" s="65" t="s">
        <v>3278</v>
      </c>
      <c r="C641" s="66" t="s">
        <v>3279</v>
      </c>
      <c r="D641" s="67" t="s">
        <v>165</v>
      </c>
      <c r="E641" s="66" t="s">
        <v>166</v>
      </c>
      <c r="F641" s="67" t="s">
        <v>3280</v>
      </c>
      <c r="G641" s="66" t="s">
        <v>3279</v>
      </c>
      <c r="H641" s="65" t="s">
        <v>3281</v>
      </c>
    </row>
    <row r="642" spans="1:8" x14ac:dyDescent="0.3">
      <c r="A642" s="65" t="s">
        <v>3282</v>
      </c>
      <c r="B642" s="65" t="s">
        <v>3283</v>
      </c>
      <c r="C642" s="66" t="s">
        <v>3284</v>
      </c>
      <c r="D642" s="67" t="s">
        <v>165</v>
      </c>
      <c r="E642" s="66" t="s">
        <v>166</v>
      </c>
      <c r="F642" s="67" t="s">
        <v>3285</v>
      </c>
      <c r="G642" s="66" t="s">
        <v>3284</v>
      </c>
      <c r="H642" s="65" t="s">
        <v>3286</v>
      </c>
    </row>
    <row r="643" spans="1:8" x14ac:dyDescent="0.3">
      <c r="A643" s="65" t="s">
        <v>3287</v>
      </c>
      <c r="B643" s="65" t="s">
        <v>3288</v>
      </c>
      <c r="C643" s="66" t="s">
        <v>3289</v>
      </c>
      <c r="D643" s="67" t="s">
        <v>165</v>
      </c>
      <c r="E643" s="66" t="s">
        <v>166</v>
      </c>
      <c r="F643" s="67" t="s">
        <v>3290</v>
      </c>
      <c r="G643" s="66" t="s">
        <v>3289</v>
      </c>
      <c r="H643" s="65" t="s">
        <v>3291</v>
      </c>
    </row>
    <row r="644" spans="1:8" x14ac:dyDescent="0.3">
      <c r="A644" s="65" t="s">
        <v>3292</v>
      </c>
      <c r="B644" s="65" t="s">
        <v>3293</v>
      </c>
      <c r="C644" s="66" t="s">
        <v>3294</v>
      </c>
      <c r="D644" s="67" t="s">
        <v>165</v>
      </c>
      <c r="E644" s="66" t="s">
        <v>166</v>
      </c>
      <c r="F644" s="67" t="s">
        <v>3295</v>
      </c>
      <c r="G644" s="66" t="s">
        <v>3294</v>
      </c>
      <c r="H644" s="65" t="s">
        <v>3296</v>
      </c>
    </row>
    <row r="645" spans="1:8" x14ac:dyDescent="0.3">
      <c r="A645" s="65" t="s">
        <v>3297</v>
      </c>
      <c r="B645" s="65" t="s">
        <v>3298</v>
      </c>
      <c r="C645" s="66" t="s">
        <v>3299</v>
      </c>
      <c r="D645" s="67" t="s">
        <v>165</v>
      </c>
      <c r="E645" s="66" t="s">
        <v>166</v>
      </c>
      <c r="F645" s="67" t="s">
        <v>3300</v>
      </c>
      <c r="G645" s="66" t="s">
        <v>3299</v>
      </c>
      <c r="H645" s="65" t="s">
        <v>3301</v>
      </c>
    </row>
    <row r="646" spans="1:8" x14ac:dyDescent="0.3">
      <c r="A646" s="65" t="s">
        <v>3302</v>
      </c>
      <c r="B646" s="65" t="s">
        <v>3303</v>
      </c>
      <c r="C646" s="66" t="s">
        <v>3304</v>
      </c>
      <c r="D646" s="67" t="s">
        <v>320</v>
      </c>
      <c r="E646" s="66" t="s">
        <v>321</v>
      </c>
      <c r="F646" s="67" t="s">
        <v>3305</v>
      </c>
      <c r="G646" s="66" t="s">
        <v>3304</v>
      </c>
      <c r="H646" s="65" t="s">
        <v>3306</v>
      </c>
    </row>
    <row r="647" spans="1:8" x14ac:dyDescent="0.3">
      <c r="A647" s="65" t="s">
        <v>3307</v>
      </c>
      <c r="B647" s="65" t="s">
        <v>3308</v>
      </c>
      <c r="C647" s="66" t="s">
        <v>3309</v>
      </c>
      <c r="D647" s="67" t="s">
        <v>165</v>
      </c>
      <c r="E647" s="66" t="s">
        <v>166</v>
      </c>
      <c r="F647" s="67" t="s">
        <v>3310</v>
      </c>
      <c r="G647" s="66" t="s">
        <v>3309</v>
      </c>
      <c r="H647" s="65" t="s">
        <v>3311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C6F0-A162-4EC5-B377-2E2DA57A6F20}">
  <sheetPr codeName="Sheet3">
    <tabColor theme="4" tint="0.39997558519241921"/>
  </sheetPr>
  <dimension ref="A1:D1"/>
  <sheetViews>
    <sheetView workbookViewId="0">
      <selection activeCell="J24" sqref="J24"/>
    </sheetView>
  </sheetViews>
  <sheetFormatPr defaultRowHeight="16.5" x14ac:dyDescent="0.3"/>
  <cols>
    <col min="3" max="3" width="15.875" style="3" customWidth="1"/>
    <col min="4" max="4" width="32.75" customWidth="1"/>
  </cols>
  <sheetData>
    <row r="1" spans="1:4" x14ac:dyDescent="0.3">
      <c r="A1" s="1" t="s">
        <v>11</v>
      </c>
      <c r="B1" s="1" t="s">
        <v>12</v>
      </c>
      <c r="C1" s="1" t="s">
        <v>161</v>
      </c>
      <c r="D1" s="1" t="s">
        <v>162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8AE6B-59B7-47DA-8C3F-6C40A4B12DC5}">
  <sheetPr codeName="Sheet4">
    <tabColor theme="4" tint="0.39997558519241921"/>
  </sheetPr>
  <dimension ref="A1:D11"/>
  <sheetViews>
    <sheetView workbookViewId="0">
      <selection activeCell="J24" sqref="J24"/>
    </sheetView>
  </sheetViews>
  <sheetFormatPr defaultRowHeight="16.5" x14ac:dyDescent="0.3"/>
  <cols>
    <col min="4" max="4" width="13" style="3" customWidth="1"/>
    <col min="5" max="5" width="9.25" bestFit="1" customWidth="1"/>
  </cols>
  <sheetData>
    <row r="1" spans="1:4" x14ac:dyDescent="0.3">
      <c r="A1" s="1" t="s">
        <v>32</v>
      </c>
      <c r="B1" s="1" t="s">
        <v>33</v>
      </c>
      <c r="C1" s="1" t="s">
        <v>34</v>
      </c>
      <c r="D1" s="2" t="s">
        <v>35</v>
      </c>
    </row>
    <row r="2" spans="1:4" x14ac:dyDescent="0.3">
      <c r="A2" t="s">
        <v>817</v>
      </c>
      <c r="B2" t="s">
        <v>819</v>
      </c>
      <c r="C2">
        <v>10</v>
      </c>
      <c r="D2" s="3">
        <v>500000</v>
      </c>
    </row>
    <row r="3" spans="1:4" x14ac:dyDescent="0.3">
      <c r="A3" t="s">
        <v>122</v>
      </c>
      <c r="B3" t="s">
        <v>123</v>
      </c>
      <c r="C3">
        <v>4</v>
      </c>
      <c r="D3" s="3">
        <v>200000</v>
      </c>
    </row>
    <row r="4" spans="1:4" x14ac:dyDescent="0.3">
      <c r="A4" t="s">
        <v>125</v>
      </c>
      <c r="B4" t="s">
        <v>126</v>
      </c>
      <c r="C4">
        <v>4</v>
      </c>
      <c r="D4" s="3">
        <v>200000</v>
      </c>
    </row>
    <row r="5" spans="1:4" x14ac:dyDescent="0.3">
      <c r="A5" t="s">
        <v>96</v>
      </c>
      <c r="B5" t="s">
        <v>140</v>
      </c>
      <c r="C5">
        <v>3</v>
      </c>
      <c r="D5" s="3">
        <v>150000</v>
      </c>
    </row>
    <row r="6" spans="1:4" x14ac:dyDescent="0.3">
      <c r="A6" t="s">
        <v>3057</v>
      </c>
      <c r="B6" t="s">
        <v>3059</v>
      </c>
      <c r="C6">
        <v>4</v>
      </c>
      <c r="D6" s="3">
        <v>200000</v>
      </c>
    </row>
    <row r="7" spans="1:4" x14ac:dyDescent="0.3">
      <c r="A7" t="s">
        <v>141</v>
      </c>
      <c r="B7" t="s">
        <v>142</v>
      </c>
      <c r="C7">
        <v>5</v>
      </c>
      <c r="D7" s="3">
        <v>250000</v>
      </c>
    </row>
    <row r="8" spans="1:4" x14ac:dyDescent="0.3">
      <c r="A8" t="s">
        <v>3065</v>
      </c>
      <c r="B8" t="s">
        <v>3067</v>
      </c>
      <c r="C8">
        <v>3</v>
      </c>
      <c r="D8" s="3">
        <v>150000</v>
      </c>
    </row>
    <row r="9" spans="1:4" x14ac:dyDescent="0.3">
      <c r="A9" t="s">
        <v>143</v>
      </c>
      <c r="B9" t="s">
        <v>144</v>
      </c>
      <c r="C9">
        <v>5</v>
      </c>
      <c r="D9" s="3">
        <v>250000</v>
      </c>
    </row>
    <row r="10" spans="1:4" x14ac:dyDescent="0.3">
      <c r="A10" t="s">
        <v>154</v>
      </c>
      <c r="B10" t="s">
        <v>155</v>
      </c>
      <c r="C10">
        <v>3</v>
      </c>
      <c r="D10" s="3">
        <v>150000</v>
      </c>
    </row>
    <row r="11" spans="1:4" x14ac:dyDescent="0.3">
      <c r="A11" t="s">
        <v>156</v>
      </c>
      <c r="B11" t="s">
        <v>157</v>
      </c>
      <c r="C11">
        <v>4</v>
      </c>
      <c r="D11" s="3">
        <v>200000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9986-9691-4D3B-B348-BEAB829C8392}">
  <sheetPr codeName="Sheet5">
    <tabColor theme="4" tint="0.39997558519241921"/>
  </sheetPr>
  <dimension ref="A1:E4"/>
  <sheetViews>
    <sheetView workbookViewId="0">
      <selection activeCell="F28" sqref="F28"/>
    </sheetView>
  </sheetViews>
  <sheetFormatPr defaultRowHeight="16.5" x14ac:dyDescent="0.3"/>
  <cols>
    <col min="3" max="3" width="9.25" style="3" bestFit="1" customWidth="1"/>
  </cols>
  <sheetData>
    <row r="1" spans="1:5" x14ac:dyDescent="0.3">
      <c r="A1" s="1" t="s">
        <v>32</v>
      </c>
      <c r="B1" s="1" t="s">
        <v>33</v>
      </c>
      <c r="C1" s="2" t="s">
        <v>82</v>
      </c>
    </row>
    <row r="4" spans="1:5" x14ac:dyDescent="0.3">
      <c r="D4" s="62"/>
      <c r="E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AF1A8-1839-480F-B0B7-37D06CAA6264}">
  <sheetPr codeName="Sheet6">
    <tabColor theme="4" tint="0.39997558519241921"/>
  </sheetPr>
  <dimension ref="A1:Q1464"/>
  <sheetViews>
    <sheetView workbookViewId="0">
      <selection activeCell="J24" sqref="J24"/>
    </sheetView>
  </sheetViews>
  <sheetFormatPr defaultRowHeight="16.5" x14ac:dyDescent="0.3"/>
  <cols>
    <col min="1" max="1" width="10.5" customWidth="1"/>
    <col min="3" max="3" width="24.375" customWidth="1"/>
    <col min="6" max="6" width="5.25" bestFit="1" customWidth="1"/>
    <col min="8" max="8" width="11" bestFit="1" customWidth="1"/>
    <col min="10" max="10" width="7.5" bestFit="1" customWidth="1"/>
    <col min="11" max="11" width="9" bestFit="1" customWidth="1"/>
    <col min="12" max="12" width="7.875" bestFit="1" customWidth="1"/>
    <col min="15" max="15" width="46.375" bestFit="1" customWidth="1"/>
    <col min="16" max="16" width="11.125" style="5" customWidth="1"/>
    <col min="17" max="17" width="4.75" bestFit="1" customWidth="1"/>
  </cols>
  <sheetData>
    <row r="1" spans="1:17" x14ac:dyDescent="0.3">
      <c r="A1" s="46" t="s">
        <v>0</v>
      </c>
      <c r="B1" s="46" t="s">
        <v>1</v>
      </c>
      <c r="C1" s="46" t="s">
        <v>13</v>
      </c>
      <c r="D1" s="46" t="s">
        <v>2</v>
      </c>
      <c r="E1" s="46" t="s">
        <v>3</v>
      </c>
      <c r="F1" s="46" t="s">
        <v>9</v>
      </c>
      <c r="G1" s="46" t="s">
        <v>4</v>
      </c>
      <c r="H1" s="46" t="s">
        <v>5</v>
      </c>
      <c r="I1" s="46" t="s">
        <v>8</v>
      </c>
      <c r="J1" s="46" t="s">
        <v>6</v>
      </c>
      <c r="K1" s="46" t="s">
        <v>7</v>
      </c>
      <c r="L1" s="46" t="s">
        <v>10</v>
      </c>
      <c r="M1" s="46" t="s">
        <v>11</v>
      </c>
      <c r="N1" s="46" t="s">
        <v>12</v>
      </c>
      <c r="O1" s="46" t="s">
        <v>40</v>
      </c>
      <c r="P1" s="47" t="s">
        <v>41</v>
      </c>
      <c r="Q1" s="46" t="s">
        <v>42</v>
      </c>
    </row>
    <row r="2" spans="1:17" x14ac:dyDescent="0.3">
      <c r="A2" s="4">
        <v>44517</v>
      </c>
      <c r="B2" t="s">
        <v>3312</v>
      </c>
      <c r="C2" t="s">
        <v>3313</v>
      </c>
      <c r="D2" s="77">
        <v>0.73749999999999993</v>
      </c>
      <c r="E2" t="s">
        <v>3314</v>
      </c>
      <c r="F2">
        <v>51</v>
      </c>
      <c r="G2" t="s">
        <v>3315</v>
      </c>
      <c r="H2">
        <v>20000</v>
      </c>
      <c r="I2" t="s">
        <v>3316</v>
      </c>
      <c r="J2">
        <v>20000</v>
      </c>
      <c r="K2">
        <v>80000</v>
      </c>
      <c r="L2" t="s">
        <v>118</v>
      </c>
      <c r="M2" t="s">
        <v>2854</v>
      </c>
      <c r="N2" t="s">
        <v>2856</v>
      </c>
      <c r="O2" t="s">
        <v>3317</v>
      </c>
      <c r="P2" s="5" t="s">
        <v>3318</v>
      </c>
      <c r="Q2">
        <v>4</v>
      </c>
    </row>
    <row r="3" spans="1:17" x14ac:dyDescent="0.3">
      <c r="A3" s="4">
        <v>44533</v>
      </c>
      <c r="B3" t="s">
        <v>3319</v>
      </c>
      <c r="C3" t="s">
        <v>3320</v>
      </c>
      <c r="D3" s="77">
        <v>0.87152777777777779</v>
      </c>
      <c r="E3" t="s">
        <v>3314</v>
      </c>
      <c r="F3">
        <v>39</v>
      </c>
      <c r="G3" t="s">
        <v>3315</v>
      </c>
      <c r="H3">
        <v>30000</v>
      </c>
      <c r="I3" t="s">
        <v>3316</v>
      </c>
      <c r="J3">
        <v>30000</v>
      </c>
      <c r="K3">
        <v>135000</v>
      </c>
      <c r="L3" t="s">
        <v>116</v>
      </c>
      <c r="M3" t="s">
        <v>76</v>
      </c>
      <c r="N3" t="s">
        <v>107</v>
      </c>
      <c r="O3" t="s">
        <v>3321</v>
      </c>
      <c r="P3" s="5" t="s">
        <v>3318</v>
      </c>
      <c r="Q3">
        <v>4.5</v>
      </c>
    </row>
    <row r="4" spans="1:17" x14ac:dyDescent="0.3">
      <c r="A4" s="4">
        <v>44540</v>
      </c>
      <c r="B4" t="s">
        <v>3322</v>
      </c>
      <c r="C4" t="s">
        <v>3323</v>
      </c>
      <c r="D4" s="77">
        <v>0.85069444444444453</v>
      </c>
      <c r="E4" t="s">
        <v>3314</v>
      </c>
      <c r="F4">
        <v>56</v>
      </c>
      <c r="G4" t="s">
        <v>3315</v>
      </c>
      <c r="H4">
        <v>20000</v>
      </c>
      <c r="I4" t="s">
        <v>3316</v>
      </c>
      <c r="J4">
        <v>20000</v>
      </c>
      <c r="K4">
        <v>90000</v>
      </c>
      <c r="L4" t="s">
        <v>116</v>
      </c>
      <c r="M4" t="s">
        <v>2831</v>
      </c>
      <c r="N4" t="s">
        <v>2833</v>
      </c>
      <c r="O4" t="s">
        <v>3324</v>
      </c>
      <c r="P4" s="5" t="s">
        <v>3318</v>
      </c>
      <c r="Q4">
        <v>4.5</v>
      </c>
    </row>
    <row r="5" spans="1:17" x14ac:dyDescent="0.3">
      <c r="A5" s="4">
        <v>44548</v>
      </c>
      <c r="B5" t="s">
        <v>3325</v>
      </c>
      <c r="C5" t="s">
        <v>3326</v>
      </c>
      <c r="D5" s="77">
        <v>0.77916666666666667</v>
      </c>
      <c r="E5" t="s">
        <v>3314</v>
      </c>
      <c r="F5">
        <v>44</v>
      </c>
      <c r="G5" t="s">
        <v>3315</v>
      </c>
      <c r="H5">
        <v>30000</v>
      </c>
      <c r="I5" t="s">
        <v>3316</v>
      </c>
      <c r="J5">
        <v>30000</v>
      </c>
      <c r="K5">
        <v>135000</v>
      </c>
      <c r="L5" t="s">
        <v>116</v>
      </c>
      <c r="M5" t="s">
        <v>76</v>
      </c>
      <c r="N5" t="s">
        <v>107</v>
      </c>
      <c r="O5" t="s">
        <v>3321</v>
      </c>
      <c r="P5" s="5" t="s">
        <v>3318</v>
      </c>
      <c r="Q5">
        <v>4.5</v>
      </c>
    </row>
    <row r="6" spans="1:17" x14ac:dyDescent="0.3">
      <c r="A6" s="4">
        <v>44552</v>
      </c>
      <c r="B6" t="s">
        <v>3327</v>
      </c>
      <c r="C6" t="s">
        <v>3328</v>
      </c>
      <c r="D6" s="77">
        <v>0.68055555555555547</v>
      </c>
      <c r="E6" t="s">
        <v>3314</v>
      </c>
      <c r="F6">
        <v>35</v>
      </c>
      <c r="G6" t="s">
        <v>3315</v>
      </c>
      <c r="H6">
        <v>30000</v>
      </c>
      <c r="I6" t="s">
        <v>3316</v>
      </c>
      <c r="J6">
        <v>30000</v>
      </c>
      <c r="K6">
        <v>135000</v>
      </c>
      <c r="L6" t="s">
        <v>114</v>
      </c>
      <c r="M6" t="s">
        <v>169</v>
      </c>
      <c r="N6" t="s">
        <v>171</v>
      </c>
      <c r="O6" t="s">
        <v>3329</v>
      </c>
      <c r="P6" s="5" t="s">
        <v>3318</v>
      </c>
      <c r="Q6">
        <v>4.5</v>
      </c>
    </row>
    <row r="7" spans="1:17" x14ac:dyDescent="0.3">
      <c r="A7" s="4">
        <v>44567</v>
      </c>
      <c r="B7" t="s">
        <v>3330</v>
      </c>
      <c r="C7" t="s">
        <v>3331</v>
      </c>
      <c r="D7" s="77">
        <v>0.6777777777777777</v>
      </c>
      <c r="E7" t="s">
        <v>3332</v>
      </c>
      <c r="F7">
        <v>25</v>
      </c>
      <c r="G7" t="s">
        <v>3315</v>
      </c>
      <c r="H7">
        <v>30000</v>
      </c>
      <c r="I7" t="s">
        <v>3316</v>
      </c>
      <c r="J7">
        <v>30000</v>
      </c>
      <c r="K7">
        <v>120000</v>
      </c>
      <c r="L7" t="s">
        <v>118</v>
      </c>
      <c r="M7" t="s">
        <v>145</v>
      </c>
      <c r="N7" t="s">
        <v>146</v>
      </c>
      <c r="O7" t="s">
        <v>3333</v>
      </c>
      <c r="P7" s="5" t="s">
        <v>3318</v>
      </c>
      <c r="Q7">
        <v>4</v>
      </c>
    </row>
    <row r="8" spans="1:17" x14ac:dyDescent="0.3">
      <c r="A8" s="4">
        <v>44570</v>
      </c>
      <c r="B8" t="s">
        <v>3334</v>
      </c>
      <c r="C8" t="s">
        <v>3335</v>
      </c>
      <c r="D8" s="77">
        <v>0.66249999999999998</v>
      </c>
      <c r="E8" t="s">
        <v>3332</v>
      </c>
      <c r="F8">
        <v>26</v>
      </c>
      <c r="G8" t="s">
        <v>3315</v>
      </c>
      <c r="H8">
        <v>20000</v>
      </c>
      <c r="I8" t="s">
        <v>3336</v>
      </c>
      <c r="J8">
        <v>20000</v>
      </c>
      <c r="K8">
        <v>80000</v>
      </c>
      <c r="L8" t="s">
        <v>118</v>
      </c>
      <c r="M8" t="s">
        <v>145</v>
      </c>
      <c r="N8" t="s">
        <v>146</v>
      </c>
      <c r="O8" t="s">
        <v>3333</v>
      </c>
      <c r="P8" s="5" t="s">
        <v>3318</v>
      </c>
      <c r="Q8">
        <v>4</v>
      </c>
    </row>
    <row r="9" spans="1:17" x14ac:dyDescent="0.3">
      <c r="A9" s="4">
        <v>44571</v>
      </c>
      <c r="B9" t="s">
        <v>3337</v>
      </c>
      <c r="C9" t="s">
        <v>3338</v>
      </c>
      <c r="D9" s="77">
        <v>0.77083333333333337</v>
      </c>
      <c r="E9" t="s">
        <v>3314</v>
      </c>
      <c r="F9">
        <v>41</v>
      </c>
      <c r="G9" t="s">
        <v>3315</v>
      </c>
      <c r="H9">
        <v>20000</v>
      </c>
      <c r="I9" t="s">
        <v>3316</v>
      </c>
      <c r="J9">
        <v>20000</v>
      </c>
      <c r="K9">
        <v>90000</v>
      </c>
      <c r="L9" t="s">
        <v>114</v>
      </c>
      <c r="M9" t="s">
        <v>31</v>
      </c>
      <c r="N9" t="s">
        <v>105</v>
      </c>
      <c r="O9" t="s">
        <v>3339</v>
      </c>
      <c r="P9" s="5" t="s">
        <v>3318</v>
      </c>
      <c r="Q9">
        <v>4.5</v>
      </c>
    </row>
    <row r="10" spans="1:17" x14ac:dyDescent="0.3">
      <c r="A10" s="4">
        <v>44574</v>
      </c>
      <c r="B10" t="s">
        <v>3340</v>
      </c>
      <c r="C10" t="s">
        <v>3341</v>
      </c>
      <c r="D10" s="77">
        <v>0.61805555555555558</v>
      </c>
      <c r="E10" t="s">
        <v>3314</v>
      </c>
      <c r="F10">
        <v>31</v>
      </c>
      <c r="G10" t="s">
        <v>3315</v>
      </c>
      <c r="H10">
        <v>20000</v>
      </c>
      <c r="I10" t="s">
        <v>3316</v>
      </c>
      <c r="J10">
        <v>20000</v>
      </c>
      <c r="K10">
        <v>80000</v>
      </c>
      <c r="L10" t="s">
        <v>118</v>
      </c>
      <c r="M10" t="s">
        <v>85</v>
      </c>
      <c r="N10" t="s">
        <v>109</v>
      </c>
      <c r="O10" t="s">
        <v>3342</v>
      </c>
      <c r="P10" s="5" t="s">
        <v>3318</v>
      </c>
      <c r="Q10">
        <v>4</v>
      </c>
    </row>
    <row r="11" spans="1:17" x14ac:dyDescent="0.3">
      <c r="A11" s="4">
        <v>44574</v>
      </c>
      <c r="B11" t="s">
        <v>3343</v>
      </c>
      <c r="C11" t="s">
        <v>3331</v>
      </c>
      <c r="D11" s="77">
        <v>0.63541666666666663</v>
      </c>
      <c r="E11" t="s">
        <v>3332</v>
      </c>
      <c r="F11">
        <v>26</v>
      </c>
      <c r="G11" t="s">
        <v>3344</v>
      </c>
      <c r="H11">
        <v>20000</v>
      </c>
      <c r="I11" t="s">
        <v>3336</v>
      </c>
      <c r="J11">
        <v>20000</v>
      </c>
      <c r="K11">
        <v>100000</v>
      </c>
      <c r="L11" t="s">
        <v>116</v>
      </c>
      <c r="M11" t="s">
        <v>111</v>
      </c>
      <c r="N11" t="s">
        <v>112</v>
      </c>
      <c r="O11" t="s">
        <v>3345</v>
      </c>
      <c r="P11" s="5" t="s">
        <v>3318</v>
      </c>
      <c r="Q11">
        <v>5</v>
      </c>
    </row>
    <row r="12" spans="1:17" x14ac:dyDescent="0.3">
      <c r="A12" s="4">
        <v>44579</v>
      </c>
      <c r="B12" t="s">
        <v>3346</v>
      </c>
      <c r="C12" t="s">
        <v>3347</v>
      </c>
      <c r="D12" s="77">
        <v>0.52083333333333337</v>
      </c>
      <c r="E12" t="s">
        <v>3332</v>
      </c>
      <c r="F12">
        <v>60</v>
      </c>
      <c r="G12" t="s">
        <v>3315</v>
      </c>
      <c r="H12">
        <v>20000</v>
      </c>
      <c r="I12" t="s">
        <v>3348</v>
      </c>
      <c r="J12">
        <v>20000</v>
      </c>
      <c r="K12">
        <v>80000</v>
      </c>
      <c r="L12" t="s">
        <v>118</v>
      </c>
      <c r="M12" t="s">
        <v>73</v>
      </c>
      <c r="N12" t="s">
        <v>115</v>
      </c>
      <c r="O12" t="s">
        <v>3349</v>
      </c>
      <c r="P12" s="5" t="s">
        <v>3318</v>
      </c>
      <c r="Q12">
        <v>4</v>
      </c>
    </row>
    <row r="13" spans="1:17" x14ac:dyDescent="0.3">
      <c r="A13" s="4">
        <v>44579</v>
      </c>
      <c r="B13" t="s">
        <v>3350</v>
      </c>
      <c r="C13" t="s">
        <v>3351</v>
      </c>
      <c r="D13" s="77">
        <v>0.72083333333333333</v>
      </c>
      <c r="E13" t="s">
        <v>3314</v>
      </c>
      <c r="F13">
        <v>66</v>
      </c>
      <c r="G13" t="s">
        <v>3315</v>
      </c>
      <c r="H13">
        <v>30000</v>
      </c>
      <c r="I13" t="s">
        <v>3316</v>
      </c>
      <c r="J13">
        <v>30000</v>
      </c>
      <c r="K13">
        <v>120000</v>
      </c>
      <c r="L13" t="s">
        <v>118</v>
      </c>
      <c r="M13" t="s">
        <v>2854</v>
      </c>
      <c r="N13" t="s">
        <v>2856</v>
      </c>
      <c r="O13" t="s">
        <v>3317</v>
      </c>
      <c r="P13" s="5" t="s">
        <v>3318</v>
      </c>
      <c r="Q13">
        <v>4</v>
      </c>
    </row>
    <row r="14" spans="1:17" x14ac:dyDescent="0.3">
      <c r="A14" s="4">
        <v>44581</v>
      </c>
      <c r="B14" t="s">
        <v>3352</v>
      </c>
      <c r="C14" t="s">
        <v>3353</v>
      </c>
      <c r="D14" s="77">
        <v>0.65763888888888888</v>
      </c>
      <c r="E14" t="s">
        <v>3332</v>
      </c>
      <c r="F14">
        <v>27</v>
      </c>
      <c r="G14" t="s">
        <v>3344</v>
      </c>
      <c r="H14">
        <v>30000</v>
      </c>
      <c r="I14" t="s">
        <v>3336</v>
      </c>
      <c r="J14">
        <v>30000</v>
      </c>
      <c r="K14">
        <v>90000</v>
      </c>
      <c r="L14" t="s">
        <v>149</v>
      </c>
      <c r="M14" t="s">
        <v>147</v>
      </c>
      <c r="N14" t="s">
        <v>148</v>
      </c>
      <c r="O14" t="s">
        <v>3354</v>
      </c>
      <c r="P14" s="5" t="s">
        <v>3318</v>
      </c>
      <c r="Q14">
        <v>3</v>
      </c>
    </row>
    <row r="15" spans="1:17" x14ac:dyDescent="0.3">
      <c r="A15" s="4">
        <v>44581</v>
      </c>
      <c r="B15" t="s">
        <v>3355</v>
      </c>
      <c r="C15" t="s">
        <v>3353</v>
      </c>
      <c r="D15" s="77">
        <v>0.65763888888888888</v>
      </c>
      <c r="E15" t="s">
        <v>3332</v>
      </c>
      <c r="F15">
        <v>28</v>
      </c>
      <c r="G15" t="s">
        <v>3344</v>
      </c>
      <c r="H15">
        <v>30000</v>
      </c>
      <c r="I15" t="s">
        <v>3336</v>
      </c>
      <c r="J15">
        <v>30000</v>
      </c>
      <c r="K15">
        <v>150000</v>
      </c>
      <c r="L15" t="s">
        <v>116</v>
      </c>
      <c r="M15" t="s">
        <v>111</v>
      </c>
      <c r="N15" t="s">
        <v>112</v>
      </c>
      <c r="O15" t="s">
        <v>3345</v>
      </c>
      <c r="P15" s="5" t="s">
        <v>3318</v>
      </c>
      <c r="Q15">
        <v>5</v>
      </c>
    </row>
    <row r="16" spans="1:17" x14ac:dyDescent="0.3">
      <c r="A16" s="4">
        <v>44582</v>
      </c>
      <c r="B16" t="s">
        <v>3356</v>
      </c>
      <c r="C16" t="s">
        <v>3357</v>
      </c>
      <c r="D16" s="77">
        <v>0.54166666666666663</v>
      </c>
      <c r="E16" t="s">
        <v>3332</v>
      </c>
      <c r="F16">
        <v>62</v>
      </c>
      <c r="G16" t="s">
        <v>3315</v>
      </c>
      <c r="H16">
        <v>50000</v>
      </c>
      <c r="I16" t="s">
        <v>3348</v>
      </c>
      <c r="J16">
        <v>50000</v>
      </c>
      <c r="K16">
        <v>250000</v>
      </c>
      <c r="L16" t="s">
        <v>114</v>
      </c>
      <c r="M16" t="s">
        <v>23</v>
      </c>
      <c r="N16" t="s">
        <v>99</v>
      </c>
      <c r="O16" t="s">
        <v>3358</v>
      </c>
      <c r="P16" s="5" t="s">
        <v>3318</v>
      </c>
      <c r="Q16">
        <v>5</v>
      </c>
    </row>
    <row r="17" spans="1:17" x14ac:dyDescent="0.3">
      <c r="A17" s="4">
        <v>44582</v>
      </c>
      <c r="B17" t="s">
        <v>3359</v>
      </c>
      <c r="C17" t="s">
        <v>3360</v>
      </c>
      <c r="D17" s="77">
        <v>0.6118055555555556</v>
      </c>
      <c r="E17" t="s">
        <v>3314</v>
      </c>
      <c r="F17">
        <v>62</v>
      </c>
      <c r="G17" t="s">
        <v>3315</v>
      </c>
      <c r="H17">
        <v>20000</v>
      </c>
      <c r="I17" t="s">
        <v>3316</v>
      </c>
      <c r="J17">
        <v>20000</v>
      </c>
      <c r="K17">
        <v>80000</v>
      </c>
      <c r="L17" t="s">
        <v>118</v>
      </c>
      <c r="M17" t="s">
        <v>2845</v>
      </c>
      <c r="N17" t="s">
        <v>2847</v>
      </c>
      <c r="O17" t="s">
        <v>3361</v>
      </c>
      <c r="P17" s="5" t="s">
        <v>3318</v>
      </c>
      <c r="Q17">
        <v>4</v>
      </c>
    </row>
    <row r="18" spans="1:17" x14ac:dyDescent="0.3">
      <c r="A18" s="4">
        <v>44582</v>
      </c>
      <c r="B18" t="s">
        <v>3362</v>
      </c>
      <c r="C18" t="s">
        <v>3363</v>
      </c>
      <c r="D18" s="77">
        <v>0.65069444444444446</v>
      </c>
      <c r="E18" t="s">
        <v>3332</v>
      </c>
      <c r="F18">
        <v>25</v>
      </c>
      <c r="G18" t="s">
        <v>3315</v>
      </c>
      <c r="H18">
        <v>20000</v>
      </c>
      <c r="I18" t="s">
        <v>3348</v>
      </c>
      <c r="J18">
        <v>20000</v>
      </c>
      <c r="K18">
        <v>80000</v>
      </c>
      <c r="L18" t="s">
        <v>118</v>
      </c>
      <c r="M18" t="s">
        <v>145</v>
      </c>
      <c r="N18" t="s">
        <v>146</v>
      </c>
      <c r="O18" t="s">
        <v>3333</v>
      </c>
      <c r="P18" s="5" t="s">
        <v>3318</v>
      </c>
      <c r="Q18">
        <v>4</v>
      </c>
    </row>
    <row r="19" spans="1:17" x14ac:dyDescent="0.3">
      <c r="A19" s="4">
        <v>44582</v>
      </c>
      <c r="B19" t="s">
        <v>3364</v>
      </c>
      <c r="C19" t="s">
        <v>3365</v>
      </c>
      <c r="D19" s="77">
        <v>0.68333333333333324</v>
      </c>
      <c r="E19" t="s">
        <v>3314</v>
      </c>
      <c r="F19">
        <v>51</v>
      </c>
      <c r="G19" t="s">
        <v>3315</v>
      </c>
      <c r="H19">
        <v>20000</v>
      </c>
      <c r="I19" t="s">
        <v>3316</v>
      </c>
      <c r="J19">
        <v>20000</v>
      </c>
      <c r="K19">
        <v>80000</v>
      </c>
      <c r="L19" t="s">
        <v>118</v>
      </c>
      <c r="M19" t="s">
        <v>84</v>
      </c>
      <c r="N19" t="s">
        <v>108</v>
      </c>
      <c r="O19" t="s">
        <v>3366</v>
      </c>
      <c r="P19" s="5" t="s">
        <v>3318</v>
      </c>
      <c r="Q19">
        <v>4</v>
      </c>
    </row>
    <row r="20" spans="1:17" x14ac:dyDescent="0.3">
      <c r="A20" s="4">
        <v>44583</v>
      </c>
      <c r="B20" t="s">
        <v>3367</v>
      </c>
      <c r="C20" t="s">
        <v>3368</v>
      </c>
      <c r="D20" s="77">
        <v>0.55902777777777779</v>
      </c>
      <c r="E20" t="s">
        <v>3314</v>
      </c>
      <c r="F20">
        <v>31</v>
      </c>
      <c r="G20" t="s">
        <v>3315</v>
      </c>
      <c r="H20">
        <v>20000</v>
      </c>
      <c r="I20" t="s">
        <v>3316</v>
      </c>
      <c r="J20">
        <v>20000</v>
      </c>
      <c r="K20">
        <v>80000</v>
      </c>
      <c r="L20" t="s">
        <v>118</v>
      </c>
      <c r="M20" t="s">
        <v>84</v>
      </c>
      <c r="N20" t="s">
        <v>108</v>
      </c>
      <c r="O20" t="s">
        <v>3366</v>
      </c>
      <c r="P20" s="5" t="s">
        <v>3318</v>
      </c>
      <c r="Q20">
        <v>4</v>
      </c>
    </row>
    <row r="21" spans="1:17" x14ac:dyDescent="0.3">
      <c r="A21" s="4">
        <v>44585</v>
      </c>
      <c r="B21" t="s">
        <v>3369</v>
      </c>
      <c r="C21" t="s">
        <v>3370</v>
      </c>
      <c r="D21" s="77">
        <v>0.5</v>
      </c>
      <c r="E21" t="s">
        <v>3332</v>
      </c>
      <c r="F21">
        <v>57</v>
      </c>
      <c r="G21" t="s">
        <v>3315</v>
      </c>
      <c r="H21">
        <v>20000</v>
      </c>
      <c r="I21" t="s">
        <v>3348</v>
      </c>
      <c r="J21">
        <v>20000</v>
      </c>
      <c r="K21">
        <v>80000</v>
      </c>
      <c r="L21" t="s">
        <v>118</v>
      </c>
      <c r="M21" t="s">
        <v>73</v>
      </c>
      <c r="N21" t="s">
        <v>115</v>
      </c>
      <c r="O21" t="s">
        <v>3349</v>
      </c>
      <c r="P21" s="5" t="s">
        <v>3318</v>
      </c>
      <c r="Q21">
        <v>4</v>
      </c>
    </row>
    <row r="22" spans="1:17" x14ac:dyDescent="0.3">
      <c r="A22" s="4">
        <v>44585</v>
      </c>
      <c r="B22" t="s">
        <v>3371</v>
      </c>
      <c r="C22" t="s">
        <v>3372</v>
      </c>
      <c r="D22" s="77">
        <v>0.59583333333333333</v>
      </c>
      <c r="E22" t="s">
        <v>3332</v>
      </c>
      <c r="F22">
        <v>42</v>
      </c>
      <c r="G22" t="s">
        <v>3344</v>
      </c>
      <c r="H22">
        <v>50000</v>
      </c>
      <c r="I22" t="s">
        <v>3336</v>
      </c>
      <c r="J22">
        <v>50000</v>
      </c>
      <c r="K22">
        <v>150000</v>
      </c>
      <c r="L22" t="s">
        <v>149</v>
      </c>
      <c r="M22" t="s">
        <v>147</v>
      </c>
      <c r="N22" t="s">
        <v>148</v>
      </c>
      <c r="O22" t="s">
        <v>3354</v>
      </c>
      <c r="P22" s="5" t="s">
        <v>3318</v>
      </c>
      <c r="Q22">
        <v>3</v>
      </c>
    </row>
    <row r="23" spans="1:17" x14ac:dyDescent="0.3">
      <c r="A23" s="4">
        <v>44585</v>
      </c>
      <c r="B23" t="s">
        <v>3373</v>
      </c>
      <c r="C23" t="s">
        <v>3374</v>
      </c>
      <c r="D23" s="77">
        <v>0.73611111111111116</v>
      </c>
      <c r="E23" t="s">
        <v>3314</v>
      </c>
      <c r="F23">
        <v>29</v>
      </c>
      <c r="G23" t="s">
        <v>3315</v>
      </c>
      <c r="H23">
        <v>20000</v>
      </c>
      <c r="I23" t="s">
        <v>3316</v>
      </c>
      <c r="J23">
        <v>20000</v>
      </c>
      <c r="K23">
        <v>80000</v>
      </c>
      <c r="L23" t="s">
        <v>118</v>
      </c>
      <c r="M23" t="s">
        <v>84</v>
      </c>
      <c r="N23" t="s">
        <v>108</v>
      </c>
      <c r="O23" t="s">
        <v>3366</v>
      </c>
      <c r="P23" s="5" t="s">
        <v>3318</v>
      </c>
      <c r="Q23">
        <v>4</v>
      </c>
    </row>
    <row r="24" spans="1:17" x14ac:dyDescent="0.3">
      <c r="A24" s="4">
        <v>44585</v>
      </c>
      <c r="B24" t="s">
        <v>3375</v>
      </c>
      <c r="C24" t="s">
        <v>3374</v>
      </c>
      <c r="D24" s="77">
        <v>0.74236111111111114</v>
      </c>
      <c r="E24" t="s">
        <v>3314</v>
      </c>
      <c r="F24">
        <v>35</v>
      </c>
      <c r="G24" t="s">
        <v>3315</v>
      </c>
      <c r="H24">
        <v>20000</v>
      </c>
      <c r="I24" t="s">
        <v>3316</v>
      </c>
      <c r="J24">
        <v>20000</v>
      </c>
      <c r="K24">
        <v>90000</v>
      </c>
      <c r="L24" t="s">
        <v>116</v>
      </c>
      <c r="M24" t="s">
        <v>77</v>
      </c>
      <c r="N24" t="s">
        <v>133</v>
      </c>
      <c r="O24" t="s">
        <v>3376</v>
      </c>
      <c r="P24" s="5" t="s">
        <v>3318</v>
      </c>
      <c r="Q24">
        <v>4.5</v>
      </c>
    </row>
    <row r="25" spans="1:17" x14ac:dyDescent="0.3">
      <c r="A25" s="4">
        <v>44586</v>
      </c>
      <c r="B25" t="s">
        <v>3377</v>
      </c>
      <c r="C25" t="s">
        <v>3378</v>
      </c>
      <c r="D25" s="77">
        <v>0.66180555555555554</v>
      </c>
      <c r="E25" t="s">
        <v>3314</v>
      </c>
      <c r="F25">
        <v>66</v>
      </c>
      <c r="G25" t="s">
        <v>3315</v>
      </c>
      <c r="H25">
        <v>20000</v>
      </c>
      <c r="I25" t="s">
        <v>3316</v>
      </c>
      <c r="J25">
        <v>20000</v>
      </c>
      <c r="K25">
        <v>90000</v>
      </c>
      <c r="L25" t="s">
        <v>114</v>
      </c>
      <c r="M25" t="s">
        <v>30</v>
      </c>
      <c r="N25" t="s">
        <v>106</v>
      </c>
      <c r="O25" t="s">
        <v>3379</v>
      </c>
      <c r="P25" s="5" t="s">
        <v>3318</v>
      </c>
      <c r="Q25">
        <v>4.5</v>
      </c>
    </row>
    <row r="26" spans="1:17" x14ac:dyDescent="0.3">
      <c r="A26" s="4">
        <v>44586</v>
      </c>
      <c r="B26" t="s">
        <v>3380</v>
      </c>
      <c r="C26" t="s">
        <v>3381</v>
      </c>
      <c r="D26" s="77">
        <v>0.68402777777777779</v>
      </c>
      <c r="E26" t="s">
        <v>3314</v>
      </c>
      <c r="F26">
        <v>48</v>
      </c>
      <c r="G26" t="s">
        <v>3315</v>
      </c>
      <c r="H26">
        <v>20000</v>
      </c>
      <c r="I26" t="s">
        <v>3316</v>
      </c>
      <c r="J26">
        <v>20000</v>
      </c>
      <c r="K26">
        <v>80000</v>
      </c>
      <c r="L26" t="s">
        <v>118</v>
      </c>
      <c r="M26" t="s">
        <v>1067</v>
      </c>
      <c r="N26" t="s">
        <v>1069</v>
      </c>
      <c r="O26" t="s">
        <v>3382</v>
      </c>
      <c r="P26" s="5" t="s">
        <v>3318</v>
      </c>
      <c r="Q26">
        <v>4</v>
      </c>
    </row>
    <row r="27" spans="1:17" x14ac:dyDescent="0.3">
      <c r="A27" s="4">
        <v>44587</v>
      </c>
      <c r="B27" t="s">
        <v>3383</v>
      </c>
      <c r="C27" t="s">
        <v>3384</v>
      </c>
      <c r="D27" s="77">
        <v>0.62152777777777779</v>
      </c>
      <c r="E27" t="s">
        <v>3314</v>
      </c>
      <c r="F27">
        <v>30</v>
      </c>
      <c r="G27" t="s">
        <v>3315</v>
      </c>
      <c r="H27">
        <v>30000</v>
      </c>
      <c r="I27" t="s">
        <v>3316</v>
      </c>
      <c r="J27">
        <v>30000</v>
      </c>
      <c r="K27">
        <v>135000</v>
      </c>
      <c r="L27" t="s">
        <v>116</v>
      </c>
      <c r="M27" t="s">
        <v>77</v>
      </c>
      <c r="N27" t="s">
        <v>133</v>
      </c>
      <c r="O27" t="s">
        <v>3376</v>
      </c>
      <c r="P27" s="5" t="s">
        <v>3318</v>
      </c>
      <c r="Q27">
        <v>4.5</v>
      </c>
    </row>
    <row r="28" spans="1:17" x14ac:dyDescent="0.3">
      <c r="A28" s="4">
        <v>44587</v>
      </c>
      <c r="B28" t="s">
        <v>3385</v>
      </c>
      <c r="C28" t="s">
        <v>3386</v>
      </c>
      <c r="D28" s="77">
        <v>0.64583333333333337</v>
      </c>
      <c r="E28" t="s">
        <v>3332</v>
      </c>
      <c r="F28">
        <v>69</v>
      </c>
      <c r="G28" t="s">
        <v>3315</v>
      </c>
      <c r="H28">
        <v>30000</v>
      </c>
      <c r="I28" t="s">
        <v>3348</v>
      </c>
      <c r="J28">
        <v>30000</v>
      </c>
      <c r="K28">
        <v>120000</v>
      </c>
      <c r="L28" t="s">
        <v>118</v>
      </c>
      <c r="M28" t="s">
        <v>73</v>
      </c>
      <c r="N28" t="s">
        <v>115</v>
      </c>
      <c r="O28" t="s">
        <v>3349</v>
      </c>
      <c r="P28" s="5" t="s">
        <v>3318</v>
      </c>
      <c r="Q28">
        <v>4</v>
      </c>
    </row>
    <row r="29" spans="1:17" x14ac:dyDescent="0.3">
      <c r="A29" s="4">
        <v>44588</v>
      </c>
      <c r="B29" t="s">
        <v>3387</v>
      </c>
      <c r="C29" t="s">
        <v>3388</v>
      </c>
      <c r="D29" s="77">
        <v>0.62152777777777779</v>
      </c>
      <c r="E29" t="s">
        <v>3314</v>
      </c>
      <c r="F29">
        <v>47</v>
      </c>
      <c r="G29" t="s">
        <v>3315</v>
      </c>
      <c r="H29">
        <v>30000</v>
      </c>
      <c r="I29" t="s">
        <v>3316</v>
      </c>
      <c r="J29">
        <v>30000</v>
      </c>
      <c r="K29">
        <v>30000</v>
      </c>
      <c r="L29" t="s">
        <v>124</v>
      </c>
      <c r="M29" t="s">
        <v>89</v>
      </c>
      <c r="N29" t="s">
        <v>135</v>
      </c>
      <c r="O29" t="s">
        <v>3389</v>
      </c>
      <c r="P29" s="5" t="s">
        <v>3318</v>
      </c>
      <c r="Q29">
        <v>1</v>
      </c>
    </row>
    <row r="30" spans="1:17" x14ac:dyDescent="0.3">
      <c r="A30" s="4">
        <v>44589</v>
      </c>
      <c r="B30" t="s">
        <v>3390</v>
      </c>
      <c r="C30" t="s">
        <v>3391</v>
      </c>
      <c r="D30" s="77">
        <v>0.54305555555555551</v>
      </c>
      <c r="E30" t="s">
        <v>3332</v>
      </c>
      <c r="F30">
        <v>51</v>
      </c>
      <c r="G30" t="s">
        <v>3315</v>
      </c>
      <c r="H30">
        <v>20000</v>
      </c>
      <c r="I30" t="s">
        <v>3336</v>
      </c>
      <c r="J30">
        <v>20000</v>
      </c>
      <c r="K30">
        <v>100000</v>
      </c>
      <c r="L30" t="s">
        <v>116</v>
      </c>
      <c r="M30" t="s">
        <v>111</v>
      </c>
      <c r="N30" t="s">
        <v>112</v>
      </c>
      <c r="O30" t="s">
        <v>3345</v>
      </c>
      <c r="P30" s="5" t="s">
        <v>3318</v>
      </c>
      <c r="Q30">
        <v>5</v>
      </c>
    </row>
    <row r="31" spans="1:17" x14ac:dyDescent="0.3">
      <c r="A31" s="4">
        <v>44590</v>
      </c>
      <c r="B31" t="s">
        <v>3392</v>
      </c>
      <c r="C31" t="s">
        <v>3393</v>
      </c>
      <c r="D31" s="77">
        <v>0.70833333333333337</v>
      </c>
      <c r="E31" t="s">
        <v>3314</v>
      </c>
      <c r="F31">
        <v>47</v>
      </c>
      <c r="G31" t="s">
        <v>3315</v>
      </c>
      <c r="H31">
        <v>20000</v>
      </c>
      <c r="I31" t="s">
        <v>3316</v>
      </c>
      <c r="J31">
        <v>20000</v>
      </c>
      <c r="K31">
        <v>80000</v>
      </c>
      <c r="L31" t="s">
        <v>118</v>
      </c>
      <c r="M31" t="s">
        <v>2854</v>
      </c>
      <c r="N31" t="s">
        <v>2856</v>
      </c>
      <c r="O31" t="s">
        <v>3317</v>
      </c>
      <c r="P31" s="5" t="s">
        <v>3318</v>
      </c>
      <c r="Q31">
        <v>4</v>
      </c>
    </row>
    <row r="32" spans="1:17" x14ac:dyDescent="0.3">
      <c r="A32" s="4">
        <v>44590</v>
      </c>
      <c r="B32" t="s">
        <v>3394</v>
      </c>
      <c r="C32" t="s">
        <v>3391</v>
      </c>
      <c r="D32" s="77">
        <v>0.78055555555555556</v>
      </c>
      <c r="E32" t="s">
        <v>3332</v>
      </c>
      <c r="F32">
        <v>27</v>
      </c>
      <c r="G32" t="s">
        <v>3315</v>
      </c>
      <c r="H32">
        <v>20000</v>
      </c>
      <c r="I32" t="s">
        <v>3316</v>
      </c>
      <c r="J32">
        <v>20000</v>
      </c>
      <c r="K32">
        <v>60000</v>
      </c>
      <c r="L32" t="s">
        <v>149</v>
      </c>
      <c r="M32" t="s">
        <v>147</v>
      </c>
      <c r="N32" t="s">
        <v>148</v>
      </c>
      <c r="O32" t="s">
        <v>3354</v>
      </c>
      <c r="P32" s="5" t="s">
        <v>3318</v>
      </c>
      <c r="Q32">
        <v>3</v>
      </c>
    </row>
    <row r="33" spans="1:17" x14ac:dyDescent="0.3">
      <c r="A33" s="4">
        <v>44591</v>
      </c>
      <c r="B33" t="s">
        <v>3395</v>
      </c>
      <c r="C33" t="s">
        <v>3378</v>
      </c>
      <c r="D33" s="77">
        <v>0.6430555555555556</v>
      </c>
      <c r="E33" t="s">
        <v>3314</v>
      </c>
      <c r="F33">
        <v>67</v>
      </c>
      <c r="G33" t="s">
        <v>3315</v>
      </c>
      <c r="H33">
        <v>20000</v>
      </c>
      <c r="I33" t="s">
        <v>3316</v>
      </c>
      <c r="J33">
        <v>20000</v>
      </c>
      <c r="K33">
        <v>20000</v>
      </c>
      <c r="L33" t="s">
        <v>124</v>
      </c>
      <c r="M33" t="s">
        <v>91</v>
      </c>
      <c r="N33" t="s">
        <v>136</v>
      </c>
      <c r="O33" t="s">
        <v>3396</v>
      </c>
      <c r="P33" s="5" t="s">
        <v>3318</v>
      </c>
      <c r="Q33">
        <v>1</v>
      </c>
    </row>
    <row r="34" spans="1:17" x14ac:dyDescent="0.3">
      <c r="A34" s="4">
        <v>44591</v>
      </c>
      <c r="B34" t="s">
        <v>3397</v>
      </c>
      <c r="C34" t="s">
        <v>3378</v>
      </c>
      <c r="D34" s="77">
        <v>0.73958333333333337</v>
      </c>
      <c r="E34" t="s">
        <v>3314</v>
      </c>
      <c r="F34">
        <v>70</v>
      </c>
      <c r="G34" t="s">
        <v>3315</v>
      </c>
      <c r="H34">
        <v>20000</v>
      </c>
      <c r="I34" t="s">
        <v>3316</v>
      </c>
      <c r="J34">
        <v>20000</v>
      </c>
      <c r="K34">
        <v>90000</v>
      </c>
      <c r="L34" t="s">
        <v>116</v>
      </c>
      <c r="M34" t="s">
        <v>77</v>
      </c>
      <c r="N34" t="s">
        <v>133</v>
      </c>
      <c r="O34" t="s">
        <v>3376</v>
      </c>
      <c r="P34" s="5" t="s">
        <v>3318</v>
      </c>
      <c r="Q34">
        <v>4.5</v>
      </c>
    </row>
    <row r="35" spans="1:17" x14ac:dyDescent="0.3">
      <c r="A35" s="4">
        <v>44592</v>
      </c>
      <c r="B35" t="s">
        <v>3398</v>
      </c>
      <c r="C35" t="s">
        <v>3378</v>
      </c>
      <c r="D35" s="77">
        <v>0.52430555555555558</v>
      </c>
      <c r="E35" t="s">
        <v>3314</v>
      </c>
      <c r="F35">
        <v>46</v>
      </c>
      <c r="G35" t="s">
        <v>3315</v>
      </c>
      <c r="H35">
        <v>20000</v>
      </c>
      <c r="I35" t="s">
        <v>3316</v>
      </c>
      <c r="J35">
        <v>20000</v>
      </c>
      <c r="K35">
        <v>80000</v>
      </c>
      <c r="L35" t="s">
        <v>118</v>
      </c>
      <c r="M35" t="s">
        <v>85</v>
      </c>
      <c r="N35" t="s">
        <v>109</v>
      </c>
      <c r="O35" t="s">
        <v>3342</v>
      </c>
      <c r="P35" s="5" t="s">
        <v>3318</v>
      </c>
      <c r="Q35">
        <v>4</v>
      </c>
    </row>
    <row r="36" spans="1:17" x14ac:dyDescent="0.3">
      <c r="A36" s="4">
        <v>44592</v>
      </c>
      <c r="B36" t="s">
        <v>3399</v>
      </c>
      <c r="C36" t="s">
        <v>3400</v>
      </c>
      <c r="D36" s="77">
        <v>0.6069444444444444</v>
      </c>
      <c r="E36" t="s">
        <v>3332</v>
      </c>
      <c r="F36">
        <v>28</v>
      </c>
      <c r="G36" t="s">
        <v>3344</v>
      </c>
      <c r="H36">
        <v>30000</v>
      </c>
      <c r="I36" t="s">
        <v>3336</v>
      </c>
      <c r="J36">
        <v>30000</v>
      </c>
      <c r="K36">
        <v>150000</v>
      </c>
      <c r="L36" t="s">
        <v>116</v>
      </c>
      <c r="M36" t="s">
        <v>111</v>
      </c>
      <c r="N36" t="s">
        <v>112</v>
      </c>
      <c r="O36" t="s">
        <v>3345</v>
      </c>
      <c r="P36" s="5" t="s">
        <v>3318</v>
      </c>
      <c r="Q36">
        <v>5</v>
      </c>
    </row>
    <row r="37" spans="1:17" x14ac:dyDescent="0.3">
      <c r="A37" s="4">
        <v>44592</v>
      </c>
      <c r="B37" t="s">
        <v>3401</v>
      </c>
      <c r="C37" t="s">
        <v>3384</v>
      </c>
      <c r="D37" s="77">
        <v>0.63124999999999998</v>
      </c>
      <c r="E37" t="s">
        <v>3314</v>
      </c>
      <c r="F37">
        <v>57</v>
      </c>
      <c r="G37" t="s">
        <v>3315</v>
      </c>
      <c r="H37">
        <v>20000</v>
      </c>
      <c r="I37" t="s">
        <v>3316</v>
      </c>
      <c r="J37">
        <v>20000</v>
      </c>
      <c r="K37">
        <v>80000</v>
      </c>
      <c r="L37" t="s">
        <v>118</v>
      </c>
      <c r="M37" t="s">
        <v>84</v>
      </c>
      <c r="N37" t="s">
        <v>108</v>
      </c>
      <c r="O37" t="s">
        <v>3366</v>
      </c>
      <c r="P37" s="5" t="s">
        <v>3318</v>
      </c>
      <c r="Q37">
        <v>4</v>
      </c>
    </row>
    <row r="38" spans="1:17" x14ac:dyDescent="0.3">
      <c r="A38" s="4">
        <v>44592</v>
      </c>
      <c r="B38" t="s">
        <v>3402</v>
      </c>
      <c r="C38" t="s">
        <v>3400</v>
      </c>
      <c r="D38" s="77">
        <v>0.65763888888888888</v>
      </c>
      <c r="E38" t="s">
        <v>3332</v>
      </c>
      <c r="F38">
        <v>29</v>
      </c>
      <c r="G38" t="s">
        <v>3344</v>
      </c>
      <c r="H38">
        <v>20000</v>
      </c>
      <c r="I38" t="s">
        <v>3336</v>
      </c>
      <c r="J38">
        <v>20000</v>
      </c>
      <c r="K38">
        <v>100000</v>
      </c>
      <c r="L38" t="s">
        <v>116</v>
      </c>
      <c r="M38" t="s">
        <v>111</v>
      </c>
      <c r="N38" t="s">
        <v>112</v>
      </c>
      <c r="O38" t="s">
        <v>3345</v>
      </c>
      <c r="P38" s="5" t="s">
        <v>3318</v>
      </c>
      <c r="Q38">
        <v>5</v>
      </c>
    </row>
    <row r="39" spans="1:17" x14ac:dyDescent="0.3">
      <c r="A39" s="4">
        <v>44592</v>
      </c>
      <c r="B39" t="s">
        <v>3403</v>
      </c>
      <c r="C39" t="s">
        <v>3384</v>
      </c>
      <c r="D39" s="77">
        <v>0.67847222222222225</v>
      </c>
      <c r="E39" t="s">
        <v>3314</v>
      </c>
      <c r="F39">
        <v>41</v>
      </c>
      <c r="G39" t="s">
        <v>3315</v>
      </c>
      <c r="H39">
        <v>30000</v>
      </c>
      <c r="I39" t="s">
        <v>3316</v>
      </c>
      <c r="J39">
        <v>30000</v>
      </c>
      <c r="K39">
        <v>135000</v>
      </c>
      <c r="L39" t="s">
        <v>116</v>
      </c>
      <c r="M39" t="s">
        <v>77</v>
      </c>
      <c r="N39" t="s">
        <v>133</v>
      </c>
      <c r="O39" t="s">
        <v>3376</v>
      </c>
      <c r="P39" s="5" t="s">
        <v>3318</v>
      </c>
      <c r="Q39">
        <v>4.5</v>
      </c>
    </row>
    <row r="40" spans="1:17" x14ac:dyDescent="0.3">
      <c r="A40" s="4">
        <v>44592</v>
      </c>
      <c r="B40" t="s">
        <v>3404</v>
      </c>
      <c r="C40" t="s">
        <v>3378</v>
      </c>
      <c r="D40" s="77">
        <v>0.6875</v>
      </c>
      <c r="E40" t="s">
        <v>3314</v>
      </c>
      <c r="F40">
        <v>38</v>
      </c>
      <c r="G40" t="s">
        <v>3315</v>
      </c>
      <c r="H40">
        <v>20000</v>
      </c>
      <c r="I40" t="s">
        <v>3316</v>
      </c>
      <c r="J40">
        <v>20000</v>
      </c>
      <c r="K40">
        <v>80000</v>
      </c>
      <c r="L40" t="s">
        <v>118</v>
      </c>
      <c r="M40" t="s">
        <v>85</v>
      </c>
      <c r="N40" t="s">
        <v>109</v>
      </c>
      <c r="O40" t="s">
        <v>3342</v>
      </c>
      <c r="P40" s="5" t="s">
        <v>3318</v>
      </c>
      <c r="Q40">
        <v>4</v>
      </c>
    </row>
    <row r="41" spans="1:17" x14ac:dyDescent="0.3">
      <c r="A41" s="4">
        <v>44594</v>
      </c>
      <c r="B41" t="s">
        <v>3405</v>
      </c>
      <c r="C41" t="s">
        <v>3406</v>
      </c>
      <c r="D41" s="77">
        <v>0.50069444444444444</v>
      </c>
      <c r="E41" t="s">
        <v>3332</v>
      </c>
      <c r="F41">
        <v>40</v>
      </c>
      <c r="G41" t="s">
        <v>3344</v>
      </c>
      <c r="H41">
        <v>30000</v>
      </c>
      <c r="I41" t="s">
        <v>3336</v>
      </c>
      <c r="J41">
        <v>30000</v>
      </c>
      <c r="K41">
        <v>120000</v>
      </c>
      <c r="L41" t="s">
        <v>118</v>
      </c>
      <c r="M41" t="s">
        <v>111</v>
      </c>
      <c r="N41" t="s">
        <v>112</v>
      </c>
      <c r="O41" t="s">
        <v>3345</v>
      </c>
      <c r="P41" s="5" t="s">
        <v>3318</v>
      </c>
      <c r="Q41">
        <v>4</v>
      </c>
    </row>
    <row r="42" spans="1:17" x14ac:dyDescent="0.3">
      <c r="A42" s="4">
        <v>44596</v>
      </c>
      <c r="B42" t="s">
        <v>3407</v>
      </c>
      <c r="C42" t="s">
        <v>3408</v>
      </c>
      <c r="D42" s="77">
        <v>0.53680555555555554</v>
      </c>
      <c r="E42" t="s">
        <v>3332</v>
      </c>
      <c r="F42">
        <v>27</v>
      </c>
      <c r="G42" t="s">
        <v>3315</v>
      </c>
      <c r="H42">
        <v>30000</v>
      </c>
      <c r="I42" t="s">
        <v>3348</v>
      </c>
      <c r="J42">
        <v>30000</v>
      </c>
      <c r="K42">
        <v>120000</v>
      </c>
      <c r="L42" t="s">
        <v>118</v>
      </c>
      <c r="M42" t="s">
        <v>111</v>
      </c>
      <c r="N42" t="s">
        <v>112</v>
      </c>
      <c r="O42" t="s">
        <v>3345</v>
      </c>
      <c r="P42" s="5" t="s">
        <v>3318</v>
      </c>
      <c r="Q42">
        <v>4</v>
      </c>
    </row>
    <row r="43" spans="1:17" x14ac:dyDescent="0.3">
      <c r="A43" s="4">
        <v>44596</v>
      </c>
      <c r="B43" t="s">
        <v>3409</v>
      </c>
      <c r="C43" t="s">
        <v>3408</v>
      </c>
      <c r="D43" s="77">
        <v>0.56319444444444444</v>
      </c>
      <c r="E43" t="s">
        <v>3332</v>
      </c>
      <c r="F43">
        <v>25</v>
      </c>
      <c r="G43" t="s">
        <v>3315</v>
      </c>
      <c r="H43">
        <v>20000</v>
      </c>
      <c r="I43" t="s">
        <v>3336</v>
      </c>
      <c r="J43">
        <v>20000</v>
      </c>
      <c r="K43">
        <v>80000</v>
      </c>
      <c r="L43" t="s">
        <v>118</v>
      </c>
      <c r="M43" t="s">
        <v>111</v>
      </c>
      <c r="N43" t="s">
        <v>112</v>
      </c>
      <c r="O43" t="s">
        <v>3345</v>
      </c>
      <c r="P43" s="5" t="s">
        <v>3318</v>
      </c>
      <c r="Q43">
        <v>4</v>
      </c>
    </row>
    <row r="44" spans="1:17" x14ac:dyDescent="0.3">
      <c r="A44" s="4">
        <v>44596</v>
      </c>
      <c r="B44" t="s">
        <v>3410</v>
      </c>
      <c r="C44" t="s">
        <v>3386</v>
      </c>
      <c r="D44" s="77">
        <v>0.56944444444444442</v>
      </c>
      <c r="E44" t="s">
        <v>3332</v>
      </c>
      <c r="F44">
        <v>48</v>
      </c>
      <c r="G44" t="s">
        <v>3315</v>
      </c>
      <c r="H44">
        <v>30000</v>
      </c>
      <c r="I44" t="s">
        <v>3316</v>
      </c>
      <c r="J44">
        <v>30000</v>
      </c>
      <c r="K44">
        <v>150000</v>
      </c>
      <c r="L44" t="s">
        <v>114</v>
      </c>
      <c r="M44" t="s">
        <v>23</v>
      </c>
      <c r="N44" t="s">
        <v>99</v>
      </c>
      <c r="O44" t="s">
        <v>3358</v>
      </c>
      <c r="P44" s="5" t="s">
        <v>3318</v>
      </c>
      <c r="Q44">
        <v>5</v>
      </c>
    </row>
    <row r="45" spans="1:17" x14ac:dyDescent="0.3">
      <c r="A45" s="4">
        <v>44596</v>
      </c>
      <c r="B45" t="s">
        <v>3411</v>
      </c>
      <c r="C45" t="s">
        <v>3386</v>
      </c>
      <c r="D45" s="77">
        <v>0.625</v>
      </c>
      <c r="E45" t="s">
        <v>3332</v>
      </c>
      <c r="F45">
        <v>54</v>
      </c>
      <c r="G45" t="s">
        <v>3315</v>
      </c>
      <c r="H45">
        <v>50000</v>
      </c>
      <c r="I45" t="s">
        <v>3348</v>
      </c>
      <c r="J45">
        <v>50000</v>
      </c>
      <c r="K45">
        <v>200000</v>
      </c>
      <c r="L45" t="s">
        <v>118</v>
      </c>
      <c r="M45" t="s">
        <v>812</v>
      </c>
      <c r="N45" t="s">
        <v>814</v>
      </c>
      <c r="O45" t="s">
        <v>3412</v>
      </c>
      <c r="P45" s="5" t="s">
        <v>3318</v>
      </c>
      <c r="Q45">
        <v>4</v>
      </c>
    </row>
    <row r="46" spans="1:17" x14ac:dyDescent="0.3">
      <c r="A46" s="4">
        <v>44599</v>
      </c>
      <c r="B46" t="s">
        <v>3413</v>
      </c>
      <c r="C46" t="s">
        <v>3414</v>
      </c>
      <c r="D46" s="77">
        <v>0.65208333333333335</v>
      </c>
      <c r="E46" t="s">
        <v>3314</v>
      </c>
      <c r="F46">
        <v>37</v>
      </c>
      <c r="G46" t="s">
        <v>3315</v>
      </c>
      <c r="H46">
        <v>30000</v>
      </c>
      <c r="I46" t="s">
        <v>3316</v>
      </c>
      <c r="J46">
        <v>30000</v>
      </c>
      <c r="K46">
        <v>120000</v>
      </c>
      <c r="L46" t="s">
        <v>118</v>
      </c>
      <c r="M46" t="s">
        <v>84</v>
      </c>
      <c r="N46" t="s">
        <v>108</v>
      </c>
      <c r="O46" t="s">
        <v>3366</v>
      </c>
      <c r="P46" s="5" t="s">
        <v>3318</v>
      </c>
      <c r="Q46">
        <v>4</v>
      </c>
    </row>
    <row r="47" spans="1:17" x14ac:dyDescent="0.3">
      <c r="A47" s="4">
        <v>44599</v>
      </c>
      <c r="B47" t="s">
        <v>3415</v>
      </c>
      <c r="C47" t="s">
        <v>3388</v>
      </c>
      <c r="D47" s="77">
        <v>0.88055555555555554</v>
      </c>
      <c r="E47" t="s">
        <v>3314</v>
      </c>
      <c r="F47">
        <v>30</v>
      </c>
      <c r="G47" t="s">
        <v>3315</v>
      </c>
      <c r="H47">
        <v>30000</v>
      </c>
      <c r="I47" t="s">
        <v>3316</v>
      </c>
      <c r="J47">
        <v>30000</v>
      </c>
      <c r="K47">
        <v>120000</v>
      </c>
      <c r="L47" t="s">
        <v>118</v>
      </c>
      <c r="M47" t="s">
        <v>2729</v>
      </c>
      <c r="N47" t="s">
        <v>121</v>
      </c>
      <c r="O47" t="s">
        <v>3416</v>
      </c>
      <c r="P47" s="5" t="s">
        <v>3318</v>
      </c>
      <c r="Q47">
        <v>4</v>
      </c>
    </row>
    <row r="48" spans="1:17" x14ac:dyDescent="0.3">
      <c r="A48" s="4">
        <v>44600</v>
      </c>
      <c r="B48" t="s">
        <v>3417</v>
      </c>
      <c r="C48" t="s">
        <v>3418</v>
      </c>
      <c r="D48" s="77">
        <v>0.56388888888888888</v>
      </c>
      <c r="E48" t="s">
        <v>3332</v>
      </c>
      <c r="F48">
        <v>28</v>
      </c>
      <c r="G48" t="s">
        <v>3315</v>
      </c>
      <c r="H48">
        <v>20000</v>
      </c>
      <c r="I48" t="s">
        <v>3316</v>
      </c>
      <c r="J48">
        <v>20000</v>
      </c>
      <c r="K48">
        <v>80000</v>
      </c>
      <c r="L48" t="s">
        <v>118</v>
      </c>
      <c r="M48" t="s">
        <v>147</v>
      </c>
      <c r="N48" t="s">
        <v>148</v>
      </c>
      <c r="O48" t="s">
        <v>3354</v>
      </c>
      <c r="P48" s="5" t="s">
        <v>3318</v>
      </c>
      <c r="Q48">
        <v>4</v>
      </c>
    </row>
    <row r="49" spans="1:17" x14ac:dyDescent="0.3">
      <c r="A49" s="4">
        <v>44600</v>
      </c>
      <c r="B49" t="s">
        <v>3419</v>
      </c>
      <c r="C49" t="s">
        <v>3418</v>
      </c>
      <c r="D49" s="77">
        <v>0.63541666666666663</v>
      </c>
      <c r="E49" t="s">
        <v>3332</v>
      </c>
      <c r="F49">
        <v>25</v>
      </c>
      <c r="G49" t="s">
        <v>3315</v>
      </c>
      <c r="H49">
        <v>30000</v>
      </c>
      <c r="I49" t="s">
        <v>3348</v>
      </c>
      <c r="J49">
        <v>30000</v>
      </c>
      <c r="K49">
        <v>120000</v>
      </c>
      <c r="L49" t="s">
        <v>118</v>
      </c>
      <c r="M49" t="s">
        <v>145</v>
      </c>
      <c r="N49" t="s">
        <v>146</v>
      </c>
      <c r="O49" t="s">
        <v>3333</v>
      </c>
      <c r="P49" s="5" t="s">
        <v>3318</v>
      </c>
      <c r="Q49">
        <v>4</v>
      </c>
    </row>
    <row r="50" spans="1:17" x14ac:dyDescent="0.3">
      <c r="A50" s="4">
        <v>44600</v>
      </c>
      <c r="B50" t="s">
        <v>3420</v>
      </c>
      <c r="C50" t="s">
        <v>3421</v>
      </c>
      <c r="D50" s="77">
        <v>0.67708333333333337</v>
      </c>
      <c r="E50" t="s">
        <v>3314</v>
      </c>
      <c r="F50">
        <v>60</v>
      </c>
      <c r="G50" t="s">
        <v>3315</v>
      </c>
      <c r="H50">
        <v>20000</v>
      </c>
      <c r="I50" t="s">
        <v>3316</v>
      </c>
      <c r="J50">
        <v>20000</v>
      </c>
      <c r="K50">
        <v>60000</v>
      </c>
      <c r="L50" t="s">
        <v>149</v>
      </c>
      <c r="M50" t="s">
        <v>91</v>
      </c>
      <c r="N50" t="s">
        <v>136</v>
      </c>
      <c r="O50" t="s">
        <v>3422</v>
      </c>
      <c r="P50" s="5" t="s">
        <v>3318</v>
      </c>
      <c r="Q50">
        <v>3</v>
      </c>
    </row>
    <row r="51" spans="1:17" x14ac:dyDescent="0.3">
      <c r="A51" s="4">
        <v>44600</v>
      </c>
      <c r="B51" t="s">
        <v>3423</v>
      </c>
      <c r="C51" t="s">
        <v>3360</v>
      </c>
      <c r="D51" s="77">
        <v>0.79791666666666661</v>
      </c>
      <c r="E51" t="s">
        <v>3314</v>
      </c>
      <c r="F51">
        <v>40</v>
      </c>
      <c r="G51" t="s">
        <v>3315</v>
      </c>
      <c r="H51">
        <v>20000</v>
      </c>
      <c r="I51" t="s">
        <v>3316</v>
      </c>
      <c r="J51">
        <v>20000</v>
      </c>
      <c r="K51">
        <v>80000</v>
      </c>
      <c r="L51" t="s">
        <v>118</v>
      </c>
      <c r="M51" t="s">
        <v>2845</v>
      </c>
      <c r="N51" t="s">
        <v>2847</v>
      </c>
      <c r="O51" t="s">
        <v>3361</v>
      </c>
      <c r="P51" s="5" t="s">
        <v>3318</v>
      </c>
      <c r="Q51">
        <v>4</v>
      </c>
    </row>
    <row r="52" spans="1:17" x14ac:dyDescent="0.3">
      <c r="A52" s="4">
        <v>44600</v>
      </c>
      <c r="B52" t="s">
        <v>3424</v>
      </c>
      <c r="C52" t="s">
        <v>3421</v>
      </c>
      <c r="D52" s="77">
        <v>0.82638888888888884</v>
      </c>
      <c r="E52" t="s">
        <v>3314</v>
      </c>
      <c r="F52">
        <v>47</v>
      </c>
      <c r="G52" t="s">
        <v>3315</v>
      </c>
      <c r="H52">
        <v>20000</v>
      </c>
      <c r="I52" t="s">
        <v>3316</v>
      </c>
      <c r="J52">
        <v>20000</v>
      </c>
      <c r="K52">
        <v>80000</v>
      </c>
      <c r="L52" t="s">
        <v>118</v>
      </c>
      <c r="M52" t="s">
        <v>84</v>
      </c>
      <c r="N52" t="s">
        <v>108</v>
      </c>
      <c r="O52" t="s">
        <v>3366</v>
      </c>
      <c r="P52" s="5" t="s">
        <v>3318</v>
      </c>
      <c r="Q52">
        <v>4</v>
      </c>
    </row>
    <row r="53" spans="1:17" x14ac:dyDescent="0.3">
      <c r="A53" s="4">
        <v>44601</v>
      </c>
      <c r="B53" t="s">
        <v>3425</v>
      </c>
      <c r="C53" t="s">
        <v>3426</v>
      </c>
      <c r="D53" s="77">
        <v>0.65833333333333333</v>
      </c>
      <c r="E53" t="s">
        <v>3314</v>
      </c>
      <c r="F53">
        <v>56</v>
      </c>
      <c r="G53" t="s">
        <v>3315</v>
      </c>
      <c r="H53">
        <v>20000</v>
      </c>
      <c r="I53" t="s">
        <v>3316</v>
      </c>
      <c r="J53">
        <v>20000</v>
      </c>
      <c r="K53">
        <v>60000</v>
      </c>
      <c r="L53" t="s">
        <v>149</v>
      </c>
      <c r="M53" t="s">
        <v>91</v>
      </c>
      <c r="N53" t="s">
        <v>136</v>
      </c>
      <c r="O53" t="s">
        <v>3422</v>
      </c>
      <c r="P53" s="5" t="s">
        <v>3318</v>
      </c>
      <c r="Q53">
        <v>3</v>
      </c>
    </row>
    <row r="54" spans="1:17" x14ac:dyDescent="0.3">
      <c r="A54" s="4">
        <v>44601</v>
      </c>
      <c r="B54" t="s">
        <v>3427</v>
      </c>
      <c r="C54" t="s">
        <v>3428</v>
      </c>
      <c r="D54" s="77">
        <v>0.67361111111111116</v>
      </c>
      <c r="E54" t="s">
        <v>3314</v>
      </c>
      <c r="F54">
        <v>60</v>
      </c>
      <c r="G54" t="s">
        <v>3315</v>
      </c>
      <c r="H54">
        <v>20000</v>
      </c>
      <c r="I54" t="s">
        <v>3316</v>
      </c>
      <c r="J54">
        <v>20000</v>
      </c>
      <c r="K54">
        <v>80000</v>
      </c>
      <c r="L54" t="s">
        <v>118</v>
      </c>
      <c r="M54" t="s">
        <v>85</v>
      </c>
      <c r="N54" t="s">
        <v>109</v>
      </c>
      <c r="O54" t="s">
        <v>3342</v>
      </c>
      <c r="P54" s="5" t="s">
        <v>3318</v>
      </c>
      <c r="Q54">
        <v>4</v>
      </c>
    </row>
    <row r="55" spans="1:17" x14ac:dyDescent="0.3">
      <c r="A55" s="4">
        <v>44601</v>
      </c>
      <c r="B55" t="s">
        <v>3429</v>
      </c>
      <c r="C55" t="s">
        <v>3428</v>
      </c>
      <c r="D55" s="77">
        <v>0.69444444444444453</v>
      </c>
      <c r="E55" t="s">
        <v>3314</v>
      </c>
      <c r="F55">
        <v>42</v>
      </c>
      <c r="G55" t="s">
        <v>3315</v>
      </c>
      <c r="H55">
        <v>20000</v>
      </c>
      <c r="I55" t="s">
        <v>3316</v>
      </c>
      <c r="J55">
        <v>20000</v>
      </c>
      <c r="K55">
        <v>80000</v>
      </c>
      <c r="L55" t="s">
        <v>118</v>
      </c>
      <c r="M55" t="s">
        <v>85</v>
      </c>
      <c r="N55" t="s">
        <v>109</v>
      </c>
      <c r="O55" t="s">
        <v>3342</v>
      </c>
      <c r="P55" s="5" t="s">
        <v>3318</v>
      </c>
      <c r="Q55">
        <v>4</v>
      </c>
    </row>
    <row r="56" spans="1:17" x14ac:dyDescent="0.3">
      <c r="A56" s="4">
        <v>44601</v>
      </c>
      <c r="B56" t="s">
        <v>3430</v>
      </c>
      <c r="C56" t="s">
        <v>3431</v>
      </c>
      <c r="D56" s="77">
        <v>0.75902777777777775</v>
      </c>
      <c r="E56" t="s">
        <v>3332</v>
      </c>
      <c r="F56">
        <v>58</v>
      </c>
      <c r="G56" t="s">
        <v>3315</v>
      </c>
      <c r="H56">
        <v>70000</v>
      </c>
      <c r="I56" t="s">
        <v>3336</v>
      </c>
      <c r="J56">
        <v>70000</v>
      </c>
      <c r="K56">
        <v>280000</v>
      </c>
      <c r="L56" t="s">
        <v>118</v>
      </c>
      <c r="M56" t="s">
        <v>111</v>
      </c>
      <c r="N56" t="s">
        <v>112</v>
      </c>
      <c r="O56" t="s">
        <v>3345</v>
      </c>
      <c r="P56" s="5" t="s">
        <v>3318</v>
      </c>
      <c r="Q56">
        <v>4</v>
      </c>
    </row>
    <row r="57" spans="1:17" x14ac:dyDescent="0.3">
      <c r="A57" s="4">
        <v>44602</v>
      </c>
      <c r="B57" t="s">
        <v>3432</v>
      </c>
      <c r="C57" t="s">
        <v>3433</v>
      </c>
      <c r="D57" s="77">
        <v>0.65277777777777779</v>
      </c>
      <c r="E57" t="s">
        <v>3314</v>
      </c>
      <c r="F57">
        <v>48</v>
      </c>
      <c r="G57" t="s">
        <v>3315</v>
      </c>
      <c r="H57">
        <v>20000</v>
      </c>
      <c r="I57" t="s">
        <v>3316</v>
      </c>
      <c r="J57">
        <v>20000</v>
      </c>
      <c r="K57">
        <v>60000</v>
      </c>
      <c r="L57" t="s">
        <v>149</v>
      </c>
      <c r="M57" t="s">
        <v>89</v>
      </c>
      <c r="N57" t="s">
        <v>135</v>
      </c>
      <c r="O57" t="s">
        <v>3434</v>
      </c>
      <c r="P57" s="5" t="s">
        <v>3318</v>
      </c>
      <c r="Q57">
        <v>3</v>
      </c>
    </row>
    <row r="58" spans="1:17" x14ac:dyDescent="0.3">
      <c r="A58" s="4">
        <v>44602</v>
      </c>
      <c r="B58" t="s">
        <v>3435</v>
      </c>
      <c r="C58" t="s">
        <v>3436</v>
      </c>
      <c r="D58" s="77">
        <v>0.72777777777777775</v>
      </c>
      <c r="E58" t="s">
        <v>3314</v>
      </c>
      <c r="F58">
        <v>47</v>
      </c>
      <c r="G58" t="s">
        <v>3315</v>
      </c>
      <c r="H58">
        <v>20000</v>
      </c>
      <c r="I58" t="s">
        <v>3316</v>
      </c>
      <c r="J58">
        <v>20000</v>
      </c>
      <c r="K58">
        <v>90000</v>
      </c>
      <c r="L58" t="s">
        <v>113</v>
      </c>
      <c r="M58" t="s">
        <v>22</v>
      </c>
      <c r="N58" t="s">
        <v>98</v>
      </c>
      <c r="O58" t="s">
        <v>3437</v>
      </c>
      <c r="P58" s="5" t="s">
        <v>3318</v>
      </c>
      <c r="Q58">
        <v>4.5</v>
      </c>
    </row>
    <row r="59" spans="1:17" x14ac:dyDescent="0.3">
      <c r="A59" s="4">
        <v>44603</v>
      </c>
      <c r="B59" t="s">
        <v>3438</v>
      </c>
      <c r="C59" t="s">
        <v>3360</v>
      </c>
      <c r="D59" s="77">
        <v>0.60069444444444442</v>
      </c>
      <c r="E59" t="s">
        <v>3314</v>
      </c>
      <c r="F59">
        <v>57</v>
      </c>
      <c r="G59" t="s">
        <v>3315</v>
      </c>
      <c r="H59">
        <v>20000</v>
      </c>
      <c r="I59" t="s">
        <v>3316</v>
      </c>
      <c r="J59">
        <v>20000</v>
      </c>
      <c r="K59">
        <v>60000</v>
      </c>
      <c r="L59" t="s">
        <v>149</v>
      </c>
      <c r="M59" t="s">
        <v>89</v>
      </c>
      <c r="N59" t="s">
        <v>135</v>
      </c>
      <c r="O59" t="s">
        <v>3434</v>
      </c>
      <c r="P59" s="5" t="s">
        <v>3318</v>
      </c>
      <c r="Q59">
        <v>3</v>
      </c>
    </row>
    <row r="60" spans="1:17" x14ac:dyDescent="0.3">
      <c r="A60" s="4">
        <v>44603</v>
      </c>
      <c r="B60" t="s">
        <v>3439</v>
      </c>
      <c r="C60" t="s">
        <v>3440</v>
      </c>
      <c r="D60" s="77">
        <v>0.64583333333333337</v>
      </c>
      <c r="E60" t="s">
        <v>3314</v>
      </c>
      <c r="F60">
        <v>53</v>
      </c>
      <c r="G60" t="s">
        <v>3315</v>
      </c>
      <c r="H60">
        <v>20000</v>
      </c>
      <c r="I60" t="s">
        <v>3316</v>
      </c>
      <c r="J60">
        <v>20000</v>
      </c>
      <c r="K60">
        <v>90000</v>
      </c>
      <c r="L60" t="s">
        <v>116</v>
      </c>
      <c r="M60" t="s">
        <v>77</v>
      </c>
      <c r="N60" t="s">
        <v>133</v>
      </c>
      <c r="O60" t="s">
        <v>3376</v>
      </c>
      <c r="P60" s="5" t="s">
        <v>3318</v>
      </c>
      <c r="Q60">
        <v>4.5</v>
      </c>
    </row>
    <row r="61" spans="1:17" x14ac:dyDescent="0.3">
      <c r="A61" s="4">
        <v>44603</v>
      </c>
      <c r="B61" t="s">
        <v>3441</v>
      </c>
      <c r="C61" t="s">
        <v>3440</v>
      </c>
      <c r="D61" s="77">
        <v>0.8256944444444444</v>
      </c>
      <c r="E61" t="s">
        <v>3314</v>
      </c>
      <c r="F61">
        <v>27</v>
      </c>
      <c r="G61" t="s">
        <v>3315</v>
      </c>
      <c r="H61">
        <v>20000</v>
      </c>
      <c r="I61" t="s">
        <v>3316</v>
      </c>
      <c r="J61">
        <v>20000</v>
      </c>
      <c r="K61">
        <v>60000</v>
      </c>
      <c r="L61" t="s">
        <v>149</v>
      </c>
      <c r="M61" t="s">
        <v>91</v>
      </c>
      <c r="N61" t="s">
        <v>136</v>
      </c>
      <c r="O61" t="s">
        <v>3422</v>
      </c>
      <c r="P61" s="5" t="s">
        <v>3318</v>
      </c>
      <c r="Q61">
        <v>3</v>
      </c>
    </row>
    <row r="62" spans="1:17" x14ac:dyDescent="0.3">
      <c r="A62" s="4">
        <v>44604</v>
      </c>
      <c r="B62" t="s">
        <v>3442</v>
      </c>
      <c r="C62" t="s">
        <v>3368</v>
      </c>
      <c r="D62" s="77">
        <v>0.71597222222222223</v>
      </c>
      <c r="E62" t="s">
        <v>3314</v>
      </c>
      <c r="F62">
        <v>50</v>
      </c>
      <c r="G62" t="s">
        <v>3315</v>
      </c>
      <c r="H62">
        <v>20000</v>
      </c>
      <c r="I62" t="s">
        <v>3316</v>
      </c>
      <c r="J62">
        <v>20000</v>
      </c>
      <c r="K62">
        <v>80000</v>
      </c>
      <c r="L62" t="s">
        <v>118</v>
      </c>
      <c r="M62" t="s">
        <v>84</v>
      </c>
      <c r="N62" t="s">
        <v>108</v>
      </c>
      <c r="O62" t="s">
        <v>3366</v>
      </c>
      <c r="P62" s="5" t="s">
        <v>3318</v>
      </c>
      <c r="Q62">
        <v>4</v>
      </c>
    </row>
    <row r="63" spans="1:17" x14ac:dyDescent="0.3">
      <c r="A63" s="4">
        <v>44606</v>
      </c>
      <c r="B63" t="s">
        <v>3443</v>
      </c>
      <c r="C63" t="s">
        <v>3421</v>
      </c>
      <c r="D63" s="77">
        <v>0.58333333333333337</v>
      </c>
      <c r="E63" t="s">
        <v>3314</v>
      </c>
      <c r="F63">
        <v>38</v>
      </c>
      <c r="G63" t="s">
        <v>3315</v>
      </c>
      <c r="H63">
        <v>30000</v>
      </c>
      <c r="I63" t="s">
        <v>3316</v>
      </c>
      <c r="J63">
        <v>30000</v>
      </c>
      <c r="K63">
        <v>120000</v>
      </c>
      <c r="L63" t="s">
        <v>118</v>
      </c>
      <c r="M63" t="s">
        <v>85</v>
      </c>
      <c r="N63" t="s">
        <v>109</v>
      </c>
      <c r="O63" t="s">
        <v>3342</v>
      </c>
      <c r="P63" s="5" t="s">
        <v>3318</v>
      </c>
      <c r="Q63">
        <v>4</v>
      </c>
    </row>
    <row r="64" spans="1:17" x14ac:dyDescent="0.3">
      <c r="A64" s="4">
        <v>44606</v>
      </c>
      <c r="B64" t="s">
        <v>3444</v>
      </c>
      <c r="C64" t="s">
        <v>3445</v>
      </c>
      <c r="D64" s="77">
        <v>0.60069444444444442</v>
      </c>
      <c r="E64" t="s">
        <v>3314</v>
      </c>
      <c r="F64">
        <v>26</v>
      </c>
      <c r="G64" t="s">
        <v>3315</v>
      </c>
      <c r="H64">
        <v>20000</v>
      </c>
      <c r="I64" t="s">
        <v>3316</v>
      </c>
      <c r="J64">
        <v>20000</v>
      </c>
      <c r="K64">
        <v>80000</v>
      </c>
      <c r="L64" t="s">
        <v>118</v>
      </c>
      <c r="M64" t="s">
        <v>86</v>
      </c>
      <c r="N64" t="s">
        <v>120</v>
      </c>
      <c r="O64" t="s">
        <v>3446</v>
      </c>
      <c r="P64" s="5" t="s">
        <v>3318</v>
      </c>
      <c r="Q64">
        <v>4</v>
      </c>
    </row>
    <row r="65" spans="1:17" x14ac:dyDescent="0.3">
      <c r="A65" s="4">
        <v>44606</v>
      </c>
      <c r="B65" t="s">
        <v>3447</v>
      </c>
      <c r="C65" t="s">
        <v>3448</v>
      </c>
      <c r="D65" s="77">
        <v>0.66666666666666663</v>
      </c>
      <c r="E65" t="s">
        <v>3314</v>
      </c>
      <c r="F65">
        <v>63</v>
      </c>
      <c r="G65" t="s">
        <v>3315</v>
      </c>
      <c r="H65">
        <v>20000</v>
      </c>
      <c r="I65" t="s">
        <v>3316</v>
      </c>
      <c r="J65">
        <v>20000</v>
      </c>
      <c r="K65">
        <v>80000</v>
      </c>
      <c r="L65" t="s">
        <v>118</v>
      </c>
      <c r="M65" t="s">
        <v>28</v>
      </c>
      <c r="N65" t="s">
        <v>132</v>
      </c>
      <c r="O65" t="s">
        <v>3449</v>
      </c>
      <c r="P65" s="5" t="s">
        <v>3318</v>
      </c>
      <c r="Q65">
        <v>4</v>
      </c>
    </row>
    <row r="66" spans="1:17" x14ac:dyDescent="0.3">
      <c r="A66" s="4">
        <v>44606</v>
      </c>
      <c r="B66" t="s">
        <v>3450</v>
      </c>
      <c r="C66" t="s">
        <v>3451</v>
      </c>
      <c r="D66" s="77">
        <v>0.67222222222222217</v>
      </c>
      <c r="E66" t="s">
        <v>3314</v>
      </c>
      <c r="F66">
        <v>46</v>
      </c>
      <c r="G66" t="s">
        <v>3315</v>
      </c>
      <c r="H66">
        <v>30000</v>
      </c>
      <c r="I66" t="s">
        <v>3316</v>
      </c>
      <c r="J66">
        <v>30000</v>
      </c>
      <c r="K66">
        <v>135000</v>
      </c>
      <c r="L66" t="s">
        <v>114</v>
      </c>
      <c r="M66" t="s">
        <v>30</v>
      </c>
      <c r="N66" t="s">
        <v>106</v>
      </c>
      <c r="O66" t="s">
        <v>3379</v>
      </c>
      <c r="P66" s="5" t="s">
        <v>3318</v>
      </c>
      <c r="Q66">
        <v>4.5</v>
      </c>
    </row>
    <row r="67" spans="1:17" x14ac:dyDescent="0.3">
      <c r="A67" s="4">
        <v>44606</v>
      </c>
      <c r="B67" t="s">
        <v>3452</v>
      </c>
      <c r="C67" t="s">
        <v>3384</v>
      </c>
      <c r="D67" s="77">
        <v>0.69027777777777777</v>
      </c>
      <c r="E67" t="s">
        <v>3314</v>
      </c>
      <c r="F67">
        <v>42</v>
      </c>
      <c r="G67" t="s">
        <v>3315</v>
      </c>
      <c r="H67">
        <v>30000</v>
      </c>
      <c r="I67" t="s">
        <v>3316</v>
      </c>
      <c r="J67">
        <v>30000</v>
      </c>
      <c r="K67">
        <v>120000</v>
      </c>
      <c r="L67" t="s">
        <v>118</v>
      </c>
      <c r="M67" t="s">
        <v>91</v>
      </c>
      <c r="N67" t="s">
        <v>136</v>
      </c>
      <c r="O67" t="s">
        <v>3422</v>
      </c>
      <c r="P67" s="5" t="s">
        <v>3318</v>
      </c>
      <c r="Q67">
        <v>4</v>
      </c>
    </row>
    <row r="68" spans="1:17" x14ac:dyDescent="0.3">
      <c r="A68" s="4">
        <v>44606</v>
      </c>
      <c r="B68" t="s">
        <v>3453</v>
      </c>
      <c r="C68" t="s">
        <v>3454</v>
      </c>
      <c r="D68" s="77">
        <v>0.69097222222222221</v>
      </c>
      <c r="E68" t="s">
        <v>3314</v>
      </c>
      <c r="F68">
        <v>45</v>
      </c>
      <c r="G68" t="s">
        <v>3315</v>
      </c>
      <c r="H68">
        <v>30000</v>
      </c>
      <c r="I68" t="s">
        <v>3316</v>
      </c>
      <c r="J68">
        <v>30000</v>
      </c>
      <c r="K68">
        <v>120000</v>
      </c>
      <c r="L68" t="s">
        <v>118</v>
      </c>
      <c r="M68" t="s">
        <v>90</v>
      </c>
      <c r="N68" t="s">
        <v>110</v>
      </c>
      <c r="O68" t="s">
        <v>3455</v>
      </c>
      <c r="P68" s="5" t="s">
        <v>3318</v>
      </c>
      <c r="Q68">
        <v>4</v>
      </c>
    </row>
    <row r="69" spans="1:17" x14ac:dyDescent="0.3">
      <c r="A69" s="4">
        <v>44606</v>
      </c>
      <c r="B69" t="s">
        <v>3456</v>
      </c>
      <c r="C69" t="s">
        <v>3454</v>
      </c>
      <c r="D69" s="77">
        <v>0.74305555555555547</v>
      </c>
      <c r="E69" t="s">
        <v>3314</v>
      </c>
      <c r="F69">
        <v>27</v>
      </c>
      <c r="G69" t="s">
        <v>3315</v>
      </c>
      <c r="H69">
        <v>20000</v>
      </c>
      <c r="I69" t="s">
        <v>3316</v>
      </c>
      <c r="J69">
        <v>20000</v>
      </c>
      <c r="K69">
        <v>90000</v>
      </c>
      <c r="L69" t="s">
        <v>119</v>
      </c>
      <c r="M69" t="s">
        <v>29</v>
      </c>
      <c r="N69" t="s">
        <v>104</v>
      </c>
      <c r="O69" t="s">
        <v>3457</v>
      </c>
      <c r="P69" s="5" t="s">
        <v>3318</v>
      </c>
      <c r="Q69">
        <v>4.5</v>
      </c>
    </row>
    <row r="70" spans="1:17" x14ac:dyDescent="0.3">
      <c r="A70" s="4">
        <v>44606</v>
      </c>
      <c r="B70" t="s">
        <v>3458</v>
      </c>
      <c r="C70" t="s">
        <v>3451</v>
      </c>
      <c r="D70" s="77">
        <v>0.77222222222222225</v>
      </c>
      <c r="E70" t="s">
        <v>3314</v>
      </c>
      <c r="F70">
        <v>60</v>
      </c>
      <c r="G70" t="s">
        <v>3315</v>
      </c>
      <c r="H70">
        <v>20000</v>
      </c>
      <c r="I70" t="s">
        <v>3316</v>
      </c>
      <c r="J70">
        <v>20000</v>
      </c>
      <c r="K70">
        <v>90000</v>
      </c>
      <c r="L70" t="s">
        <v>114</v>
      </c>
      <c r="M70" t="s">
        <v>30</v>
      </c>
      <c r="N70" t="s">
        <v>106</v>
      </c>
      <c r="O70" t="s">
        <v>3379</v>
      </c>
      <c r="P70" s="5" t="s">
        <v>3318</v>
      </c>
      <c r="Q70">
        <v>4.5</v>
      </c>
    </row>
    <row r="71" spans="1:17" x14ac:dyDescent="0.3">
      <c r="A71" s="4">
        <v>44606</v>
      </c>
      <c r="B71" t="s">
        <v>3459</v>
      </c>
      <c r="C71" t="s">
        <v>3460</v>
      </c>
      <c r="D71" s="77">
        <v>0.84305555555555556</v>
      </c>
      <c r="E71" t="s">
        <v>3314</v>
      </c>
      <c r="F71">
        <v>56</v>
      </c>
      <c r="G71" t="s">
        <v>3315</v>
      </c>
      <c r="H71">
        <v>20000</v>
      </c>
      <c r="I71" t="s">
        <v>3316</v>
      </c>
      <c r="J71">
        <v>20000</v>
      </c>
      <c r="K71">
        <v>80000</v>
      </c>
      <c r="L71" t="s">
        <v>118</v>
      </c>
      <c r="M71" t="s">
        <v>2729</v>
      </c>
      <c r="N71" t="s">
        <v>121</v>
      </c>
      <c r="O71" t="s">
        <v>3416</v>
      </c>
      <c r="P71" s="5" t="s">
        <v>3318</v>
      </c>
      <c r="Q71">
        <v>4</v>
      </c>
    </row>
    <row r="72" spans="1:17" x14ac:dyDescent="0.3">
      <c r="A72" s="4">
        <v>44606</v>
      </c>
      <c r="B72" t="s">
        <v>3461</v>
      </c>
      <c r="C72" t="s">
        <v>3462</v>
      </c>
      <c r="D72" s="77">
        <v>0.85416666666666663</v>
      </c>
      <c r="E72" t="s">
        <v>3314</v>
      </c>
      <c r="F72">
        <v>46</v>
      </c>
      <c r="G72" t="s">
        <v>3315</v>
      </c>
      <c r="H72">
        <v>20000</v>
      </c>
      <c r="I72" t="s">
        <v>3316</v>
      </c>
      <c r="J72">
        <v>20000</v>
      </c>
      <c r="K72">
        <v>90000</v>
      </c>
      <c r="L72" t="s">
        <v>114</v>
      </c>
      <c r="M72" t="s">
        <v>31</v>
      </c>
      <c r="N72" t="s">
        <v>105</v>
      </c>
      <c r="O72" t="s">
        <v>3339</v>
      </c>
      <c r="P72" s="5" t="s">
        <v>3318</v>
      </c>
      <c r="Q72">
        <v>4.5</v>
      </c>
    </row>
    <row r="73" spans="1:17" x14ac:dyDescent="0.3">
      <c r="A73" s="4">
        <v>44607</v>
      </c>
      <c r="B73" t="s">
        <v>3463</v>
      </c>
      <c r="C73" t="s">
        <v>3464</v>
      </c>
      <c r="D73" s="77">
        <v>0.60069444444444442</v>
      </c>
      <c r="E73" t="s">
        <v>3314</v>
      </c>
      <c r="F73">
        <v>47</v>
      </c>
      <c r="G73" t="s">
        <v>3315</v>
      </c>
      <c r="H73">
        <v>20000</v>
      </c>
      <c r="I73" t="s">
        <v>3316</v>
      </c>
      <c r="J73">
        <v>20000</v>
      </c>
      <c r="K73">
        <v>90000</v>
      </c>
      <c r="L73" t="s">
        <v>114</v>
      </c>
      <c r="M73" t="s">
        <v>79</v>
      </c>
      <c r="N73" t="s">
        <v>131</v>
      </c>
      <c r="O73" t="s">
        <v>3465</v>
      </c>
      <c r="P73" s="5" t="s">
        <v>3318</v>
      </c>
      <c r="Q73">
        <v>4.5</v>
      </c>
    </row>
    <row r="74" spans="1:17" x14ac:dyDescent="0.3">
      <c r="A74" s="4">
        <v>44607</v>
      </c>
      <c r="B74" t="s">
        <v>3466</v>
      </c>
      <c r="C74" t="s">
        <v>3467</v>
      </c>
      <c r="D74" s="77">
        <v>0.72916666666666663</v>
      </c>
      <c r="E74" t="s">
        <v>3314</v>
      </c>
      <c r="F74">
        <v>30</v>
      </c>
      <c r="G74" t="s">
        <v>3315</v>
      </c>
      <c r="H74">
        <v>20000</v>
      </c>
      <c r="I74" t="s">
        <v>3316</v>
      </c>
      <c r="J74">
        <v>20000</v>
      </c>
      <c r="K74">
        <v>80000</v>
      </c>
      <c r="L74" t="s">
        <v>118</v>
      </c>
      <c r="M74" t="s">
        <v>84</v>
      </c>
      <c r="N74" t="s">
        <v>108</v>
      </c>
      <c r="O74" t="s">
        <v>3366</v>
      </c>
      <c r="P74" s="5" t="s">
        <v>3318</v>
      </c>
      <c r="Q74">
        <v>4</v>
      </c>
    </row>
    <row r="75" spans="1:17" x14ac:dyDescent="0.3">
      <c r="A75" s="4">
        <v>44607</v>
      </c>
      <c r="B75" t="s">
        <v>3468</v>
      </c>
      <c r="C75" t="s">
        <v>3462</v>
      </c>
      <c r="D75" s="77">
        <v>0.75416666666666676</v>
      </c>
      <c r="E75" t="s">
        <v>3314</v>
      </c>
      <c r="F75">
        <v>40</v>
      </c>
      <c r="G75" t="s">
        <v>3315</v>
      </c>
      <c r="H75">
        <v>20000</v>
      </c>
      <c r="I75" t="s">
        <v>3316</v>
      </c>
      <c r="J75">
        <v>20000</v>
      </c>
      <c r="K75">
        <v>80000</v>
      </c>
      <c r="L75" t="s">
        <v>118</v>
      </c>
      <c r="M75" t="s">
        <v>2845</v>
      </c>
      <c r="N75" t="s">
        <v>2847</v>
      </c>
      <c r="O75" t="s">
        <v>3361</v>
      </c>
      <c r="P75" s="5" t="s">
        <v>3318</v>
      </c>
      <c r="Q75">
        <v>4</v>
      </c>
    </row>
    <row r="76" spans="1:17" x14ac:dyDescent="0.3">
      <c r="A76" s="4">
        <v>44607</v>
      </c>
      <c r="B76" t="s">
        <v>3469</v>
      </c>
      <c r="C76" t="s">
        <v>3462</v>
      </c>
      <c r="D76" s="77">
        <v>0.76250000000000007</v>
      </c>
      <c r="E76" t="s">
        <v>3314</v>
      </c>
      <c r="F76">
        <v>44</v>
      </c>
      <c r="G76" t="s">
        <v>3315</v>
      </c>
      <c r="H76">
        <v>20000</v>
      </c>
      <c r="I76" t="s">
        <v>3316</v>
      </c>
      <c r="J76">
        <v>20000</v>
      </c>
      <c r="K76">
        <v>90000</v>
      </c>
      <c r="L76" t="s">
        <v>116</v>
      </c>
      <c r="M76" t="s">
        <v>76</v>
      </c>
      <c r="N76" t="s">
        <v>107</v>
      </c>
      <c r="O76" t="s">
        <v>3321</v>
      </c>
      <c r="P76" s="5" t="s">
        <v>3318</v>
      </c>
      <c r="Q76">
        <v>4.5</v>
      </c>
    </row>
    <row r="77" spans="1:17" x14ac:dyDescent="0.3">
      <c r="A77" s="4">
        <v>44607</v>
      </c>
      <c r="B77" t="s">
        <v>3470</v>
      </c>
      <c r="C77" t="s">
        <v>3467</v>
      </c>
      <c r="D77" s="77">
        <v>0.78819444444444453</v>
      </c>
      <c r="E77" t="s">
        <v>3314</v>
      </c>
      <c r="F77">
        <v>27</v>
      </c>
      <c r="G77" t="s">
        <v>3315</v>
      </c>
      <c r="H77">
        <v>70000</v>
      </c>
      <c r="I77" t="s">
        <v>3316</v>
      </c>
      <c r="J77">
        <v>70000</v>
      </c>
      <c r="K77">
        <v>280000</v>
      </c>
      <c r="L77" t="s">
        <v>118</v>
      </c>
      <c r="M77" t="s">
        <v>84</v>
      </c>
      <c r="N77" t="s">
        <v>108</v>
      </c>
      <c r="O77" t="s">
        <v>3366</v>
      </c>
      <c r="P77" s="5" t="s">
        <v>3318</v>
      </c>
      <c r="Q77">
        <v>4</v>
      </c>
    </row>
    <row r="78" spans="1:17" x14ac:dyDescent="0.3">
      <c r="A78" s="4">
        <v>44608</v>
      </c>
      <c r="B78" t="s">
        <v>3471</v>
      </c>
      <c r="C78" t="s">
        <v>3472</v>
      </c>
      <c r="D78" s="77">
        <v>0.60416666666666663</v>
      </c>
      <c r="E78" t="s">
        <v>3332</v>
      </c>
      <c r="F78">
        <v>83</v>
      </c>
      <c r="G78" t="s">
        <v>3315</v>
      </c>
      <c r="H78">
        <v>30000</v>
      </c>
      <c r="I78" t="s">
        <v>3348</v>
      </c>
      <c r="J78">
        <v>30000</v>
      </c>
      <c r="K78">
        <v>150000</v>
      </c>
      <c r="L78" t="s">
        <v>116</v>
      </c>
      <c r="M78" t="s">
        <v>73</v>
      </c>
      <c r="N78" t="s">
        <v>115</v>
      </c>
      <c r="O78" t="s">
        <v>3349</v>
      </c>
      <c r="P78" s="5" t="s">
        <v>3318</v>
      </c>
      <c r="Q78">
        <v>5</v>
      </c>
    </row>
    <row r="79" spans="1:17" x14ac:dyDescent="0.3">
      <c r="A79" s="4">
        <v>44608</v>
      </c>
      <c r="B79" t="s">
        <v>3473</v>
      </c>
      <c r="C79" t="s">
        <v>3474</v>
      </c>
      <c r="D79" s="77">
        <v>0.61111111111111105</v>
      </c>
      <c r="E79" t="s">
        <v>3314</v>
      </c>
      <c r="F79">
        <v>37</v>
      </c>
      <c r="G79" t="s">
        <v>3315</v>
      </c>
      <c r="H79">
        <v>30000</v>
      </c>
      <c r="I79" t="s">
        <v>3316</v>
      </c>
      <c r="J79">
        <v>30000</v>
      </c>
      <c r="K79">
        <v>120000</v>
      </c>
      <c r="L79" t="s">
        <v>118</v>
      </c>
      <c r="M79" t="s">
        <v>85</v>
      </c>
      <c r="N79" t="s">
        <v>109</v>
      </c>
      <c r="O79" t="s">
        <v>3342</v>
      </c>
      <c r="P79" s="5" t="s">
        <v>3318</v>
      </c>
      <c r="Q79">
        <v>4</v>
      </c>
    </row>
    <row r="80" spans="1:17" x14ac:dyDescent="0.3">
      <c r="A80" s="4">
        <v>44608</v>
      </c>
      <c r="B80" t="s">
        <v>3475</v>
      </c>
      <c r="C80" t="s">
        <v>3360</v>
      </c>
      <c r="D80" s="77">
        <v>0.6645833333333333</v>
      </c>
      <c r="E80" t="s">
        <v>3314</v>
      </c>
      <c r="F80">
        <v>56</v>
      </c>
      <c r="G80" t="s">
        <v>3315</v>
      </c>
      <c r="H80">
        <v>20000</v>
      </c>
      <c r="I80" t="s">
        <v>3316</v>
      </c>
      <c r="J80">
        <v>20000</v>
      </c>
      <c r="K80">
        <v>60000</v>
      </c>
      <c r="L80" t="s">
        <v>149</v>
      </c>
      <c r="M80" t="s">
        <v>92</v>
      </c>
      <c r="N80" t="s">
        <v>137</v>
      </c>
      <c r="O80" t="s">
        <v>3476</v>
      </c>
      <c r="P80" s="5" t="s">
        <v>3318</v>
      </c>
      <c r="Q80">
        <v>3</v>
      </c>
    </row>
    <row r="81" spans="1:17" x14ac:dyDescent="0.3">
      <c r="A81" s="4">
        <v>44608</v>
      </c>
      <c r="B81" t="s">
        <v>3477</v>
      </c>
      <c r="C81" t="s">
        <v>3472</v>
      </c>
      <c r="D81" s="77">
        <v>0.67708333333333337</v>
      </c>
      <c r="E81" t="s">
        <v>3332</v>
      </c>
      <c r="F81">
        <v>63</v>
      </c>
      <c r="G81" t="s">
        <v>3315</v>
      </c>
      <c r="H81">
        <v>30000</v>
      </c>
      <c r="I81" t="s">
        <v>3348</v>
      </c>
      <c r="J81">
        <v>30000</v>
      </c>
      <c r="K81">
        <v>150000</v>
      </c>
      <c r="L81" t="s">
        <v>114</v>
      </c>
      <c r="M81" t="s">
        <v>23</v>
      </c>
      <c r="N81" t="s">
        <v>99</v>
      </c>
      <c r="O81" t="s">
        <v>3358</v>
      </c>
      <c r="P81" s="5" t="s">
        <v>3318</v>
      </c>
      <c r="Q81">
        <v>5</v>
      </c>
    </row>
    <row r="82" spans="1:17" x14ac:dyDescent="0.3">
      <c r="A82" s="4">
        <v>44608</v>
      </c>
      <c r="B82" t="s">
        <v>3478</v>
      </c>
      <c r="C82" t="s">
        <v>3474</v>
      </c>
      <c r="D82" s="77">
        <v>0.71388888888888891</v>
      </c>
      <c r="E82" t="s">
        <v>3314</v>
      </c>
      <c r="F82">
        <v>52</v>
      </c>
      <c r="G82" t="s">
        <v>3315</v>
      </c>
      <c r="H82">
        <v>20000</v>
      </c>
      <c r="I82" t="s">
        <v>3316</v>
      </c>
      <c r="J82">
        <v>20000</v>
      </c>
      <c r="K82">
        <v>80000</v>
      </c>
      <c r="L82" t="s">
        <v>118</v>
      </c>
      <c r="M82" t="s">
        <v>84</v>
      </c>
      <c r="N82" t="s">
        <v>108</v>
      </c>
      <c r="O82" t="s">
        <v>3366</v>
      </c>
      <c r="P82" s="5" t="s">
        <v>3318</v>
      </c>
      <c r="Q82">
        <v>4</v>
      </c>
    </row>
    <row r="83" spans="1:17" x14ac:dyDescent="0.3">
      <c r="A83" s="4">
        <v>44608</v>
      </c>
      <c r="B83" t="s">
        <v>3479</v>
      </c>
      <c r="C83" t="s">
        <v>3480</v>
      </c>
      <c r="D83" s="77">
        <v>0.75</v>
      </c>
      <c r="E83" t="s">
        <v>3314</v>
      </c>
      <c r="F83">
        <v>40</v>
      </c>
      <c r="G83" t="s">
        <v>3315</v>
      </c>
      <c r="H83">
        <v>20000</v>
      </c>
      <c r="I83" t="s">
        <v>3316</v>
      </c>
      <c r="J83">
        <v>20000</v>
      </c>
      <c r="K83">
        <v>60000</v>
      </c>
      <c r="L83" t="s">
        <v>149</v>
      </c>
      <c r="M83" t="s">
        <v>3023</v>
      </c>
      <c r="N83" t="s">
        <v>3025</v>
      </c>
      <c r="O83" t="s">
        <v>3481</v>
      </c>
      <c r="P83" s="5" t="s">
        <v>3318</v>
      </c>
      <c r="Q83">
        <v>3</v>
      </c>
    </row>
    <row r="84" spans="1:17" x14ac:dyDescent="0.3">
      <c r="A84" s="4">
        <v>44608</v>
      </c>
      <c r="B84" t="s">
        <v>3482</v>
      </c>
      <c r="C84" t="s">
        <v>3483</v>
      </c>
      <c r="D84" s="77">
        <v>0.78263888888888899</v>
      </c>
      <c r="E84" t="s">
        <v>3314</v>
      </c>
      <c r="F84">
        <v>65</v>
      </c>
      <c r="G84" t="s">
        <v>3344</v>
      </c>
      <c r="H84">
        <v>20000</v>
      </c>
      <c r="I84" t="s">
        <v>3316</v>
      </c>
      <c r="J84">
        <v>20000</v>
      </c>
      <c r="K84">
        <v>80000</v>
      </c>
      <c r="L84" t="s">
        <v>118</v>
      </c>
      <c r="M84" t="s">
        <v>2729</v>
      </c>
      <c r="N84" t="s">
        <v>121</v>
      </c>
      <c r="O84" t="s">
        <v>3416</v>
      </c>
      <c r="P84" s="5" t="s">
        <v>3318</v>
      </c>
      <c r="Q84">
        <v>4</v>
      </c>
    </row>
    <row r="85" spans="1:17" x14ac:dyDescent="0.3">
      <c r="A85" s="4">
        <v>44609</v>
      </c>
      <c r="B85" t="s">
        <v>3484</v>
      </c>
      <c r="C85" t="s">
        <v>3485</v>
      </c>
      <c r="D85" s="77">
        <v>0.46666666666666662</v>
      </c>
      <c r="E85" t="s">
        <v>3314</v>
      </c>
      <c r="F85">
        <v>41</v>
      </c>
      <c r="G85" t="s">
        <v>3315</v>
      </c>
      <c r="H85">
        <v>20000</v>
      </c>
      <c r="I85" t="s">
        <v>3316</v>
      </c>
      <c r="J85">
        <v>20000</v>
      </c>
      <c r="K85">
        <v>90000</v>
      </c>
      <c r="L85" t="s">
        <v>114</v>
      </c>
      <c r="M85" t="s">
        <v>79</v>
      </c>
      <c r="N85" t="s">
        <v>131</v>
      </c>
      <c r="O85" t="s">
        <v>3465</v>
      </c>
      <c r="P85" s="5" t="s">
        <v>3318</v>
      </c>
      <c r="Q85">
        <v>4.5</v>
      </c>
    </row>
    <row r="86" spans="1:17" x14ac:dyDescent="0.3">
      <c r="A86" s="4">
        <v>44609</v>
      </c>
      <c r="B86" t="s">
        <v>3486</v>
      </c>
      <c r="C86" t="s">
        <v>3487</v>
      </c>
      <c r="D86" s="77">
        <v>0.52430555555555558</v>
      </c>
      <c r="E86" t="s">
        <v>3332</v>
      </c>
      <c r="F86">
        <v>27</v>
      </c>
      <c r="G86" t="s">
        <v>3488</v>
      </c>
      <c r="H86">
        <v>10000</v>
      </c>
      <c r="I86" t="s">
        <v>3488</v>
      </c>
      <c r="J86">
        <v>10000</v>
      </c>
      <c r="K86">
        <v>40000</v>
      </c>
      <c r="L86" t="s">
        <v>118</v>
      </c>
      <c r="M86" t="s">
        <v>147</v>
      </c>
      <c r="N86" t="s">
        <v>148</v>
      </c>
      <c r="O86" t="s">
        <v>3354</v>
      </c>
      <c r="P86" s="5" t="s">
        <v>3318</v>
      </c>
      <c r="Q86">
        <v>4</v>
      </c>
    </row>
    <row r="87" spans="1:17" x14ac:dyDescent="0.3">
      <c r="A87" s="4">
        <v>44609</v>
      </c>
      <c r="B87" t="s">
        <v>3489</v>
      </c>
      <c r="C87" t="s">
        <v>3485</v>
      </c>
      <c r="D87" s="77">
        <v>0.64097222222222217</v>
      </c>
      <c r="E87" t="s">
        <v>3314</v>
      </c>
      <c r="F87">
        <v>48</v>
      </c>
      <c r="G87" t="s">
        <v>3315</v>
      </c>
      <c r="H87">
        <v>20000</v>
      </c>
      <c r="I87" t="s">
        <v>3316</v>
      </c>
      <c r="J87">
        <v>20000</v>
      </c>
      <c r="K87">
        <v>90000</v>
      </c>
      <c r="L87" t="s">
        <v>114</v>
      </c>
      <c r="M87" t="s">
        <v>79</v>
      </c>
      <c r="N87" t="s">
        <v>131</v>
      </c>
      <c r="O87" t="s">
        <v>3465</v>
      </c>
      <c r="P87" s="5" t="s">
        <v>3318</v>
      </c>
      <c r="Q87">
        <v>4.5</v>
      </c>
    </row>
    <row r="88" spans="1:17" x14ac:dyDescent="0.3">
      <c r="A88" s="4">
        <v>44609</v>
      </c>
      <c r="B88" t="s">
        <v>3490</v>
      </c>
      <c r="C88" t="s">
        <v>3491</v>
      </c>
      <c r="D88" s="77">
        <v>0.66666666666666663</v>
      </c>
      <c r="E88" t="s">
        <v>3332</v>
      </c>
      <c r="F88">
        <v>46</v>
      </c>
      <c r="G88" t="s">
        <v>3315</v>
      </c>
      <c r="H88">
        <v>30000</v>
      </c>
      <c r="I88" t="s">
        <v>3316</v>
      </c>
      <c r="J88">
        <v>30000</v>
      </c>
      <c r="K88">
        <v>150000</v>
      </c>
      <c r="L88" t="s">
        <v>116</v>
      </c>
      <c r="M88" t="s">
        <v>73</v>
      </c>
      <c r="N88" t="s">
        <v>115</v>
      </c>
      <c r="O88" t="s">
        <v>3349</v>
      </c>
      <c r="P88" s="5" t="s">
        <v>3318</v>
      </c>
      <c r="Q88">
        <v>5</v>
      </c>
    </row>
    <row r="89" spans="1:17" x14ac:dyDescent="0.3">
      <c r="A89" s="4">
        <v>44609</v>
      </c>
      <c r="B89" t="s">
        <v>3492</v>
      </c>
      <c r="C89" t="s">
        <v>3493</v>
      </c>
      <c r="D89" s="77">
        <v>0.7055555555555556</v>
      </c>
      <c r="E89" t="s">
        <v>3314</v>
      </c>
      <c r="F89">
        <v>51</v>
      </c>
      <c r="G89" t="s">
        <v>3315</v>
      </c>
      <c r="H89">
        <v>20000</v>
      </c>
      <c r="I89" t="s">
        <v>3316</v>
      </c>
      <c r="J89">
        <v>20000</v>
      </c>
      <c r="K89">
        <v>80000</v>
      </c>
      <c r="L89" t="s">
        <v>118</v>
      </c>
      <c r="M89" t="s">
        <v>88</v>
      </c>
      <c r="N89" t="s">
        <v>117</v>
      </c>
      <c r="O89" t="s">
        <v>3494</v>
      </c>
      <c r="P89" s="5" t="s">
        <v>3318</v>
      </c>
      <c r="Q89">
        <v>4</v>
      </c>
    </row>
    <row r="90" spans="1:17" x14ac:dyDescent="0.3">
      <c r="A90" s="4">
        <v>44609</v>
      </c>
      <c r="B90" t="s">
        <v>3495</v>
      </c>
      <c r="C90" t="s">
        <v>3360</v>
      </c>
      <c r="D90" s="77">
        <v>0.70833333333333337</v>
      </c>
      <c r="E90" t="s">
        <v>3314</v>
      </c>
      <c r="F90">
        <v>57</v>
      </c>
      <c r="G90" t="s">
        <v>3315</v>
      </c>
      <c r="H90">
        <v>20000</v>
      </c>
      <c r="I90" t="s">
        <v>3316</v>
      </c>
      <c r="J90">
        <v>20000</v>
      </c>
      <c r="K90">
        <v>60000</v>
      </c>
      <c r="L90" t="s">
        <v>149</v>
      </c>
      <c r="M90" t="s">
        <v>92</v>
      </c>
      <c r="N90" t="s">
        <v>137</v>
      </c>
      <c r="O90" t="s">
        <v>3476</v>
      </c>
      <c r="P90" s="5" t="s">
        <v>3318</v>
      </c>
      <c r="Q90">
        <v>3</v>
      </c>
    </row>
    <row r="91" spans="1:17" x14ac:dyDescent="0.3">
      <c r="A91" s="4">
        <v>44609</v>
      </c>
      <c r="B91" t="s">
        <v>3496</v>
      </c>
      <c r="C91" t="s">
        <v>3497</v>
      </c>
      <c r="D91" s="77">
        <v>0.75</v>
      </c>
      <c r="E91" t="s">
        <v>3314</v>
      </c>
      <c r="F91">
        <v>61</v>
      </c>
      <c r="G91" t="s">
        <v>3315</v>
      </c>
      <c r="H91">
        <v>20000</v>
      </c>
      <c r="I91" t="s">
        <v>3316</v>
      </c>
      <c r="J91">
        <v>20000</v>
      </c>
      <c r="K91">
        <v>90000</v>
      </c>
      <c r="L91" t="s">
        <v>119</v>
      </c>
      <c r="M91" t="s">
        <v>29</v>
      </c>
      <c r="N91" t="s">
        <v>104</v>
      </c>
      <c r="O91" t="s">
        <v>3457</v>
      </c>
      <c r="P91" s="5" t="s">
        <v>3318</v>
      </c>
      <c r="Q91">
        <v>4.5</v>
      </c>
    </row>
    <row r="92" spans="1:17" x14ac:dyDescent="0.3">
      <c r="A92" s="4">
        <v>44609</v>
      </c>
      <c r="B92" t="s">
        <v>3498</v>
      </c>
      <c r="C92" t="s">
        <v>3454</v>
      </c>
      <c r="D92" s="77">
        <v>0.76736111111111116</v>
      </c>
      <c r="E92" t="s">
        <v>3314</v>
      </c>
      <c r="F92">
        <v>46</v>
      </c>
      <c r="G92" t="s">
        <v>3315</v>
      </c>
      <c r="H92">
        <v>30000</v>
      </c>
      <c r="I92" t="s">
        <v>3316</v>
      </c>
      <c r="J92">
        <v>30000</v>
      </c>
      <c r="K92">
        <v>120000</v>
      </c>
      <c r="L92" t="s">
        <v>118</v>
      </c>
      <c r="M92" t="s">
        <v>90</v>
      </c>
      <c r="N92" t="s">
        <v>110</v>
      </c>
      <c r="O92" t="s">
        <v>3455</v>
      </c>
      <c r="P92" s="5" t="s">
        <v>3318</v>
      </c>
      <c r="Q92">
        <v>4</v>
      </c>
    </row>
    <row r="93" spans="1:17" x14ac:dyDescent="0.3">
      <c r="A93" s="4">
        <v>44609</v>
      </c>
      <c r="B93" t="s">
        <v>3499</v>
      </c>
      <c r="C93" t="s">
        <v>3454</v>
      </c>
      <c r="D93" s="77">
        <v>0.77638888888888891</v>
      </c>
      <c r="E93" t="s">
        <v>3314</v>
      </c>
      <c r="F93">
        <v>53</v>
      </c>
      <c r="G93" t="s">
        <v>3315</v>
      </c>
      <c r="H93">
        <v>20000</v>
      </c>
      <c r="I93" t="s">
        <v>3316</v>
      </c>
      <c r="J93">
        <v>20000</v>
      </c>
      <c r="K93">
        <v>80000</v>
      </c>
      <c r="L93" t="s">
        <v>118</v>
      </c>
      <c r="M93" t="s">
        <v>91</v>
      </c>
      <c r="N93" t="s">
        <v>136</v>
      </c>
      <c r="O93" t="s">
        <v>3422</v>
      </c>
      <c r="P93" s="5" t="s">
        <v>3318</v>
      </c>
      <c r="Q93">
        <v>4</v>
      </c>
    </row>
    <row r="94" spans="1:17" x14ac:dyDescent="0.3">
      <c r="A94" s="4">
        <v>44609</v>
      </c>
      <c r="B94" t="s">
        <v>3500</v>
      </c>
      <c r="C94" t="s">
        <v>3454</v>
      </c>
      <c r="D94" s="77">
        <v>0.77777777777777779</v>
      </c>
      <c r="E94" t="s">
        <v>3314</v>
      </c>
      <c r="F94">
        <v>40</v>
      </c>
      <c r="G94" t="s">
        <v>3315</v>
      </c>
      <c r="H94">
        <v>20000</v>
      </c>
      <c r="I94" t="s">
        <v>3316</v>
      </c>
      <c r="J94">
        <v>20000</v>
      </c>
      <c r="K94">
        <v>80000</v>
      </c>
      <c r="L94" t="s">
        <v>118</v>
      </c>
      <c r="M94" t="s">
        <v>90</v>
      </c>
      <c r="N94" t="s">
        <v>110</v>
      </c>
      <c r="O94" t="s">
        <v>3455</v>
      </c>
      <c r="P94" s="5" t="s">
        <v>3318</v>
      </c>
      <c r="Q94">
        <v>4</v>
      </c>
    </row>
    <row r="95" spans="1:17" x14ac:dyDescent="0.3">
      <c r="A95" s="4">
        <v>44610</v>
      </c>
      <c r="B95" t="s">
        <v>3501</v>
      </c>
      <c r="C95" t="s">
        <v>3502</v>
      </c>
      <c r="D95" s="77">
        <v>0.46666666666666662</v>
      </c>
      <c r="E95" t="s">
        <v>3314</v>
      </c>
      <c r="F95">
        <v>41</v>
      </c>
      <c r="G95" t="s">
        <v>3315</v>
      </c>
      <c r="H95">
        <v>20000</v>
      </c>
      <c r="I95" t="s">
        <v>3316</v>
      </c>
      <c r="J95">
        <v>20000</v>
      </c>
      <c r="K95">
        <v>90000</v>
      </c>
      <c r="L95" t="s">
        <v>114</v>
      </c>
      <c r="M95" t="s">
        <v>79</v>
      </c>
      <c r="N95" t="s">
        <v>131</v>
      </c>
      <c r="O95" t="s">
        <v>3465</v>
      </c>
      <c r="P95" s="5" t="s">
        <v>3318</v>
      </c>
      <c r="Q95">
        <v>4.5</v>
      </c>
    </row>
    <row r="96" spans="1:17" x14ac:dyDescent="0.3">
      <c r="A96" s="4">
        <v>44610</v>
      </c>
      <c r="B96" t="s">
        <v>3503</v>
      </c>
      <c r="C96" t="s">
        <v>3502</v>
      </c>
      <c r="D96" s="77">
        <v>0.4777777777777778</v>
      </c>
      <c r="E96" t="s">
        <v>3314</v>
      </c>
      <c r="F96">
        <v>52</v>
      </c>
      <c r="G96" t="s">
        <v>3315</v>
      </c>
      <c r="H96">
        <v>20000</v>
      </c>
      <c r="I96" t="s">
        <v>3316</v>
      </c>
      <c r="J96">
        <v>20000</v>
      </c>
      <c r="K96">
        <v>90000</v>
      </c>
      <c r="L96" t="s">
        <v>114</v>
      </c>
      <c r="M96" t="s">
        <v>79</v>
      </c>
      <c r="N96" t="s">
        <v>131</v>
      </c>
      <c r="O96" t="s">
        <v>3465</v>
      </c>
      <c r="P96" s="5" t="s">
        <v>3318</v>
      </c>
      <c r="Q96">
        <v>4.5</v>
      </c>
    </row>
    <row r="97" spans="1:17" x14ac:dyDescent="0.3">
      <c r="A97" s="4">
        <v>44610</v>
      </c>
      <c r="B97" t="s">
        <v>3504</v>
      </c>
      <c r="C97" t="s">
        <v>3505</v>
      </c>
      <c r="D97" s="77">
        <v>0.4909722222222222</v>
      </c>
      <c r="E97" t="s">
        <v>3314</v>
      </c>
      <c r="F97">
        <v>54</v>
      </c>
      <c r="G97" t="s">
        <v>3315</v>
      </c>
      <c r="H97">
        <v>20000</v>
      </c>
      <c r="I97" t="s">
        <v>3316</v>
      </c>
      <c r="J97">
        <v>20000</v>
      </c>
      <c r="K97">
        <v>90000</v>
      </c>
      <c r="L97" t="s">
        <v>116</v>
      </c>
      <c r="M97" t="s">
        <v>65</v>
      </c>
      <c r="N97" t="s">
        <v>102</v>
      </c>
      <c r="O97" t="s">
        <v>3506</v>
      </c>
      <c r="P97" s="5" t="s">
        <v>3318</v>
      </c>
      <c r="Q97">
        <v>4.5</v>
      </c>
    </row>
    <row r="98" spans="1:17" x14ac:dyDescent="0.3">
      <c r="A98" s="4">
        <v>44610</v>
      </c>
      <c r="B98" t="s">
        <v>3507</v>
      </c>
      <c r="C98" t="s">
        <v>3505</v>
      </c>
      <c r="D98" s="77">
        <v>0.51388888888888895</v>
      </c>
      <c r="E98" t="s">
        <v>3314</v>
      </c>
      <c r="F98">
        <v>45</v>
      </c>
      <c r="G98" t="s">
        <v>3315</v>
      </c>
      <c r="H98">
        <v>20000</v>
      </c>
      <c r="I98" t="s">
        <v>3316</v>
      </c>
      <c r="J98">
        <v>20000</v>
      </c>
      <c r="K98">
        <v>90000</v>
      </c>
      <c r="L98" t="s">
        <v>113</v>
      </c>
      <c r="M98" t="s">
        <v>22</v>
      </c>
      <c r="N98" t="s">
        <v>98</v>
      </c>
      <c r="O98" t="s">
        <v>3437</v>
      </c>
      <c r="P98" s="5" t="s">
        <v>3318</v>
      </c>
      <c r="Q98">
        <v>4.5</v>
      </c>
    </row>
    <row r="99" spans="1:17" x14ac:dyDescent="0.3">
      <c r="A99" s="4">
        <v>44610</v>
      </c>
      <c r="B99" t="s">
        <v>3508</v>
      </c>
      <c r="C99" t="s">
        <v>3509</v>
      </c>
      <c r="D99" s="77">
        <v>0.55208333333333337</v>
      </c>
      <c r="E99" t="s">
        <v>3314</v>
      </c>
      <c r="F99">
        <v>29</v>
      </c>
      <c r="G99" t="s">
        <v>3315</v>
      </c>
      <c r="H99">
        <v>100000</v>
      </c>
      <c r="I99" t="s">
        <v>3316</v>
      </c>
      <c r="J99">
        <v>100000</v>
      </c>
      <c r="K99">
        <v>400000</v>
      </c>
      <c r="L99" t="s">
        <v>118</v>
      </c>
      <c r="M99" t="s">
        <v>91</v>
      </c>
      <c r="N99" t="s">
        <v>136</v>
      </c>
      <c r="O99" t="s">
        <v>3422</v>
      </c>
      <c r="P99" s="5" t="s">
        <v>3318</v>
      </c>
      <c r="Q99">
        <v>4</v>
      </c>
    </row>
    <row r="100" spans="1:17" x14ac:dyDescent="0.3">
      <c r="A100" s="4">
        <v>44610</v>
      </c>
      <c r="B100" t="s">
        <v>3510</v>
      </c>
      <c r="C100" t="s">
        <v>3505</v>
      </c>
      <c r="D100" s="77">
        <v>0.5541666666666667</v>
      </c>
      <c r="E100" t="s">
        <v>3314</v>
      </c>
      <c r="F100">
        <v>47</v>
      </c>
      <c r="G100" t="s">
        <v>3315</v>
      </c>
      <c r="H100">
        <v>20000</v>
      </c>
      <c r="I100" t="s">
        <v>3316</v>
      </c>
      <c r="J100">
        <v>20000</v>
      </c>
      <c r="K100">
        <v>90000</v>
      </c>
      <c r="L100" t="s">
        <v>116</v>
      </c>
      <c r="M100" t="s">
        <v>65</v>
      </c>
      <c r="N100" t="s">
        <v>102</v>
      </c>
      <c r="O100" t="s">
        <v>3506</v>
      </c>
      <c r="P100" s="5" t="s">
        <v>3318</v>
      </c>
      <c r="Q100">
        <v>4.5</v>
      </c>
    </row>
    <row r="101" spans="1:17" x14ac:dyDescent="0.3">
      <c r="A101" s="4">
        <v>44610</v>
      </c>
      <c r="B101" t="s">
        <v>3511</v>
      </c>
      <c r="C101" t="s">
        <v>3512</v>
      </c>
      <c r="D101" s="77">
        <v>0.56944444444444442</v>
      </c>
      <c r="E101" t="s">
        <v>3332</v>
      </c>
      <c r="F101">
        <v>65</v>
      </c>
      <c r="G101" t="s">
        <v>3315</v>
      </c>
      <c r="H101">
        <v>30000</v>
      </c>
      <c r="I101" t="s">
        <v>3348</v>
      </c>
      <c r="J101">
        <v>30000</v>
      </c>
      <c r="K101">
        <v>150000</v>
      </c>
      <c r="L101" t="s">
        <v>114</v>
      </c>
      <c r="M101" t="s">
        <v>23</v>
      </c>
      <c r="N101" t="s">
        <v>99</v>
      </c>
      <c r="O101" t="s">
        <v>3358</v>
      </c>
      <c r="P101" s="5" t="s">
        <v>3318</v>
      </c>
      <c r="Q101">
        <v>5</v>
      </c>
    </row>
    <row r="102" spans="1:17" x14ac:dyDescent="0.3">
      <c r="A102" s="4">
        <v>44610</v>
      </c>
      <c r="B102" t="s">
        <v>3513</v>
      </c>
      <c r="C102" t="s">
        <v>3502</v>
      </c>
      <c r="D102" s="77">
        <v>0.5756944444444444</v>
      </c>
      <c r="E102" t="s">
        <v>3314</v>
      </c>
      <c r="F102">
        <v>45</v>
      </c>
      <c r="G102" t="s">
        <v>3315</v>
      </c>
      <c r="H102">
        <v>20000</v>
      </c>
      <c r="I102" t="s">
        <v>3316</v>
      </c>
      <c r="J102">
        <v>20000</v>
      </c>
      <c r="K102">
        <v>90000</v>
      </c>
      <c r="L102" t="s">
        <v>114</v>
      </c>
      <c r="M102" t="s">
        <v>79</v>
      </c>
      <c r="N102" t="s">
        <v>131</v>
      </c>
      <c r="O102" t="s">
        <v>3465</v>
      </c>
      <c r="P102" s="5" t="s">
        <v>3318</v>
      </c>
      <c r="Q102">
        <v>4.5</v>
      </c>
    </row>
    <row r="103" spans="1:17" x14ac:dyDescent="0.3">
      <c r="A103" s="4">
        <v>44610</v>
      </c>
      <c r="B103" t="s">
        <v>3514</v>
      </c>
      <c r="C103" t="s">
        <v>3512</v>
      </c>
      <c r="D103" s="77">
        <v>0.59722222222222221</v>
      </c>
      <c r="E103" t="s">
        <v>3332</v>
      </c>
      <c r="F103">
        <v>64</v>
      </c>
      <c r="G103" t="s">
        <v>3315</v>
      </c>
      <c r="H103">
        <v>20000</v>
      </c>
      <c r="I103" t="s">
        <v>3336</v>
      </c>
      <c r="J103">
        <v>20000</v>
      </c>
      <c r="K103">
        <v>100000</v>
      </c>
      <c r="L103" t="s">
        <v>114</v>
      </c>
      <c r="M103" t="s">
        <v>23</v>
      </c>
      <c r="N103" t="s">
        <v>99</v>
      </c>
      <c r="O103" t="s">
        <v>3358</v>
      </c>
      <c r="P103" s="5" t="s">
        <v>3318</v>
      </c>
      <c r="Q103">
        <v>5</v>
      </c>
    </row>
    <row r="104" spans="1:17" x14ac:dyDescent="0.3">
      <c r="A104" s="4">
        <v>44610</v>
      </c>
      <c r="B104" t="s">
        <v>3515</v>
      </c>
      <c r="C104" t="s">
        <v>3502</v>
      </c>
      <c r="D104" s="77">
        <v>0.60069444444444442</v>
      </c>
      <c r="E104" t="s">
        <v>3314</v>
      </c>
      <c r="F104">
        <v>46</v>
      </c>
      <c r="G104" t="s">
        <v>3315</v>
      </c>
      <c r="H104">
        <v>20000</v>
      </c>
      <c r="I104" t="s">
        <v>3316</v>
      </c>
      <c r="J104">
        <v>20000</v>
      </c>
      <c r="K104">
        <v>90000</v>
      </c>
      <c r="L104" t="s">
        <v>114</v>
      </c>
      <c r="M104" t="s">
        <v>79</v>
      </c>
      <c r="N104" t="s">
        <v>131</v>
      </c>
      <c r="O104" t="s">
        <v>3465</v>
      </c>
      <c r="P104" s="5" t="s">
        <v>3318</v>
      </c>
      <c r="Q104">
        <v>4.5</v>
      </c>
    </row>
    <row r="105" spans="1:17" x14ac:dyDescent="0.3">
      <c r="A105" s="4">
        <v>44610</v>
      </c>
      <c r="B105" t="s">
        <v>3516</v>
      </c>
      <c r="C105" t="s">
        <v>3505</v>
      </c>
      <c r="D105" s="77">
        <v>0.60347222222222219</v>
      </c>
      <c r="E105" t="s">
        <v>3314</v>
      </c>
      <c r="F105">
        <v>53</v>
      </c>
      <c r="G105" t="s">
        <v>3315</v>
      </c>
      <c r="H105">
        <v>30000</v>
      </c>
      <c r="I105" t="s">
        <v>3316</v>
      </c>
      <c r="J105">
        <v>30000</v>
      </c>
      <c r="K105">
        <v>135000</v>
      </c>
      <c r="L105" t="s">
        <v>116</v>
      </c>
      <c r="M105" t="s">
        <v>65</v>
      </c>
      <c r="N105" t="s">
        <v>102</v>
      </c>
      <c r="O105" t="s">
        <v>3506</v>
      </c>
      <c r="P105" s="5" t="s">
        <v>3318</v>
      </c>
      <c r="Q105">
        <v>4.5</v>
      </c>
    </row>
    <row r="106" spans="1:17" x14ac:dyDescent="0.3">
      <c r="A106" s="4">
        <v>44610</v>
      </c>
      <c r="B106" t="s">
        <v>3517</v>
      </c>
      <c r="C106" t="s">
        <v>3512</v>
      </c>
      <c r="D106" s="77">
        <v>0.625</v>
      </c>
      <c r="E106" t="s">
        <v>3332</v>
      </c>
      <c r="F106">
        <v>49</v>
      </c>
      <c r="G106" t="s">
        <v>3315</v>
      </c>
      <c r="H106">
        <v>30000</v>
      </c>
      <c r="I106" t="s">
        <v>3316</v>
      </c>
      <c r="J106">
        <v>30000</v>
      </c>
      <c r="K106">
        <v>150000</v>
      </c>
      <c r="L106" t="s">
        <v>116</v>
      </c>
      <c r="M106" t="s">
        <v>73</v>
      </c>
      <c r="N106" t="s">
        <v>115</v>
      </c>
      <c r="O106" t="s">
        <v>3349</v>
      </c>
      <c r="P106" s="5" t="s">
        <v>3318</v>
      </c>
      <c r="Q106">
        <v>5</v>
      </c>
    </row>
    <row r="107" spans="1:17" x14ac:dyDescent="0.3">
      <c r="A107" s="4">
        <v>44610</v>
      </c>
      <c r="B107" t="s">
        <v>3518</v>
      </c>
      <c r="C107" t="s">
        <v>3462</v>
      </c>
      <c r="D107" s="77">
        <v>0.62847222222222221</v>
      </c>
      <c r="E107" t="s">
        <v>3314</v>
      </c>
      <c r="F107">
        <v>32</v>
      </c>
      <c r="G107" t="s">
        <v>3315</v>
      </c>
      <c r="H107">
        <v>20000</v>
      </c>
      <c r="I107" t="s">
        <v>3316</v>
      </c>
      <c r="J107">
        <v>20000</v>
      </c>
      <c r="K107">
        <v>90000</v>
      </c>
      <c r="L107" t="s">
        <v>114</v>
      </c>
      <c r="M107" t="s">
        <v>31</v>
      </c>
      <c r="N107" t="s">
        <v>105</v>
      </c>
      <c r="O107" t="s">
        <v>3339</v>
      </c>
      <c r="P107" s="5" t="s">
        <v>3318</v>
      </c>
      <c r="Q107">
        <v>4.5</v>
      </c>
    </row>
    <row r="108" spans="1:17" x14ac:dyDescent="0.3">
      <c r="A108" s="4">
        <v>44610</v>
      </c>
      <c r="B108" t="s">
        <v>3519</v>
      </c>
      <c r="C108" t="s">
        <v>3509</v>
      </c>
      <c r="D108" s="77">
        <v>0.63194444444444442</v>
      </c>
      <c r="E108" t="s">
        <v>3314</v>
      </c>
      <c r="F108">
        <v>60</v>
      </c>
      <c r="G108" t="s">
        <v>3315</v>
      </c>
      <c r="H108">
        <v>20000</v>
      </c>
      <c r="I108" t="s">
        <v>3316</v>
      </c>
      <c r="J108">
        <v>20000</v>
      </c>
      <c r="K108">
        <v>80000</v>
      </c>
      <c r="L108" t="s">
        <v>118</v>
      </c>
      <c r="M108" t="s">
        <v>84</v>
      </c>
      <c r="N108" t="s">
        <v>108</v>
      </c>
      <c r="O108" t="s">
        <v>3366</v>
      </c>
      <c r="P108" s="5" t="s">
        <v>3318</v>
      </c>
      <c r="Q108">
        <v>4</v>
      </c>
    </row>
    <row r="109" spans="1:17" x14ac:dyDescent="0.3">
      <c r="A109" s="4">
        <v>44610</v>
      </c>
      <c r="B109" t="s">
        <v>3520</v>
      </c>
      <c r="C109" t="s">
        <v>3462</v>
      </c>
      <c r="D109" s="77">
        <v>0.63541666666666663</v>
      </c>
      <c r="E109" t="s">
        <v>3314</v>
      </c>
      <c r="F109">
        <v>55</v>
      </c>
      <c r="G109" t="s">
        <v>3315</v>
      </c>
      <c r="H109">
        <v>20000</v>
      </c>
      <c r="I109" t="s">
        <v>3316</v>
      </c>
      <c r="J109">
        <v>20000</v>
      </c>
      <c r="K109">
        <v>60000</v>
      </c>
      <c r="L109" t="s">
        <v>149</v>
      </c>
      <c r="M109" t="s">
        <v>92</v>
      </c>
      <c r="N109" t="s">
        <v>137</v>
      </c>
      <c r="O109" t="s">
        <v>3476</v>
      </c>
      <c r="P109" s="5" t="s">
        <v>3318</v>
      </c>
      <c r="Q109">
        <v>3</v>
      </c>
    </row>
    <row r="110" spans="1:17" x14ac:dyDescent="0.3">
      <c r="A110" s="4">
        <v>44610</v>
      </c>
      <c r="B110" t="s">
        <v>3521</v>
      </c>
      <c r="C110" t="s">
        <v>3509</v>
      </c>
      <c r="D110" s="77">
        <v>0.63888888888888895</v>
      </c>
      <c r="E110" t="s">
        <v>3314</v>
      </c>
      <c r="F110">
        <v>59</v>
      </c>
      <c r="G110" t="s">
        <v>3315</v>
      </c>
      <c r="H110">
        <v>20000</v>
      </c>
      <c r="I110" t="s">
        <v>3316</v>
      </c>
      <c r="J110">
        <v>20000</v>
      </c>
      <c r="K110">
        <v>80000</v>
      </c>
      <c r="L110" t="s">
        <v>118</v>
      </c>
      <c r="M110" t="s">
        <v>85</v>
      </c>
      <c r="N110" t="s">
        <v>109</v>
      </c>
      <c r="O110" t="s">
        <v>3342</v>
      </c>
      <c r="P110" s="5" t="s">
        <v>3318</v>
      </c>
      <c r="Q110">
        <v>4</v>
      </c>
    </row>
    <row r="111" spans="1:17" x14ac:dyDescent="0.3">
      <c r="A111" s="4">
        <v>44610</v>
      </c>
      <c r="B111" t="s">
        <v>3522</v>
      </c>
      <c r="C111" t="s">
        <v>3462</v>
      </c>
      <c r="D111" s="77">
        <v>0.64583333333333337</v>
      </c>
      <c r="E111" t="s">
        <v>3314</v>
      </c>
      <c r="F111">
        <v>60</v>
      </c>
      <c r="G111" t="s">
        <v>3315</v>
      </c>
      <c r="H111">
        <v>20000</v>
      </c>
      <c r="I111" t="s">
        <v>3316</v>
      </c>
      <c r="J111">
        <v>20000</v>
      </c>
      <c r="K111">
        <v>90000</v>
      </c>
      <c r="L111" t="s">
        <v>116</v>
      </c>
      <c r="M111" t="s">
        <v>76</v>
      </c>
      <c r="N111" t="s">
        <v>107</v>
      </c>
      <c r="O111" t="s">
        <v>3321</v>
      </c>
      <c r="P111" s="5" t="s">
        <v>3318</v>
      </c>
      <c r="Q111">
        <v>4.5</v>
      </c>
    </row>
    <row r="112" spans="1:17" x14ac:dyDescent="0.3">
      <c r="A112" s="4">
        <v>44610</v>
      </c>
      <c r="B112" t="s">
        <v>3523</v>
      </c>
      <c r="C112" t="s">
        <v>3524</v>
      </c>
      <c r="D112" s="77">
        <v>0.6479166666666667</v>
      </c>
      <c r="E112" t="s">
        <v>3314</v>
      </c>
      <c r="F112">
        <v>30</v>
      </c>
      <c r="G112" t="s">
        <v>3315</v>
      </c>
      <c r="H112">
        <v>20000</v>
      </c>
      <c r="I112" t="s">
        <v>3316</v>
      </c>
      <c r="J112">
        <v>20000</v>
      </c>
      <c r="K112">
        <v>80000</v>
      </c>
      <c r="L112" t="s">
        <v>118</v>
      </c>
      <c r="M112" t="s">
        <v>2729</v>
      </c>
      <c r="N112" t="s">
        <v>121</v>
      </c>
      <c r="O112" t="s">
        <v>3416</v>
      </c>
      <c r="P112" s="5" t="s">
        <v>3318</v>
      </c>
      <c r="Q112">
        <v>4</v>
      </c>
    </row>
    <row r="113" spans="1:17" x14ac:dyDescent="0.3">
      <c r="A113" s="4">
        <v>44610</v>
      </c>
      <c r="B113" t="s">
        <v>3525</v>
      </c>
      <c r="C113" t="s">
        <v>3462</v>
      </c>
      <c r="D113" s="77">
        <v>0.66319444444444442</v>
      </c>
      <c r="E113" t="s">
        <v>3314</v>
      </c>
      <c r="F113">
        <v>59</v>
      </c>
      <c r="G113" t="s">
        <v>3315</v>
      </c>
      <c r="H113">
        <v>20000</v>
      </c>
      <c r="I113" t="s">
        <v>3316</v>
      </c>
      <c r="J113">
        <v>20000</v>
      </c>
      <c r="K113">
        <v>90000</v>
      </c>
      <c r="L113" t="s">
        <v>114</v>
      </c>
      <c r="M113" t="s">
        <v>31</v>
      </c>
      <c r="N113" t="s">
        <v>105</v>
      </c>
      <c r="O113" t="s">
        <v>3339</v>
      </c>
      <c r="P113" s="5" t="s">
        <v>3318</v>
      </c>
      <c r="Q113">
        <v>4.5</v>
      </c>
    </row>
    <row r="114" spans="1:17" x14ac:dyDescent="0.3">
      <c r="A114" s="4">
        <v>44610</v>
      </c>
      <c r="B114" t="s">
        <v>3526</v>
      </c>
      <c r="C114" t="s">
        <v>3527</v>
      </c>
      <c r="D114" s="77">
        <v>0.66527777777777775</v>
      </c>
      <c r="E114" t="s">
        <v>3314</v>
      </c>
      <c r="F114">
        <v>36</v>
      </c>
      <c r="G114" t="s">
        <v>3315</v>
      </c>
      <c r="H114">
        <v>20000</v>
      </c>
      <c r="I114" t="s">
        <v>3316</v>
      </c>
      <c r="J114">
        <v>20000</v>
      </c>
      <c r="K114">
        <v>80000</v>
      </c>
      <c r="L114" t="s">
        <v>118</v>
      </c>
      <c r="M114" t="s">
        <v>87</v>
      </c>
      <c r="N114" t="s">
        <v>134</v>
      </c>
      <c r="O114" t="s">
        <v>3528</v>
      </c>
      <c r="P114" s="5" t="s">
        <v>3318</v>
      </c>
      <c r="Q114">
        <v>4</v>
      </c>
    </row>
    <row r="115" spans="1:17" x14ac:dyDescent="0.3">
      <c r="A115" s="4">
        <v>44610</v>
      </c>
      <c r="B115" t="s">
        <v>3529</v>
      </c>
      <c r="C115" t="s">
        <v>3509</v>
      </c>
      <c r="D115" s="77">
        <v>0.66666666666666663</v>
      </c>
      <c r="E115" t="s">
        <v>3314</v>
      </c>
      <c r="F115">
        <v>56</v>
      </c>
      <c r="G115" t="s">
        <v>3315</v>
      </c>
      <c r="H115">
        <v>20000</v>
      </c>
      <c r="I115" t="s">
        <v>3316</v>
      </c>
      <c r="J115">
        <v>20000</v>
      </c>
      <c r="K115">
        <v>80000</v>
      </c>
      <c r="L115" t="s">
        <v>118</v>
      </c>
      <c r="M115" t="s">
        <v>91</v>
      </c>
      <c r="N115" t="s">
        <v>136</v>
      </c>
      <c r="O115" t="s">
        <v>3422</v>
      </c>
      <c r="P115" s="5" t="s">
        <v>3318</v>
      </c>
      <c r="Q115">
        <v>4</v>
      </c>
    </row>
    <row r="116" spans="1:17" x14ac:dyDescent="0.3">
      <c r="A116" s="4">
        <v>44610</v>
      </c>
      <c r="B116" t="s">
        <v>3530</v>
      </c>
      <c r="C116" t="s">
        <v>3505</v>
      </c>
      <c r="D116" s="77">
        <v>0.67638888888888893</v>
      </c>
      <c r="E116" t="s">
        <v>3314</v>
      </c>
      <c r="F116">
        <v>70</v>
      </c>
      <c r="G116" t="s">
        <v>3315</v>
      </c>
      <c r="H116">
        <v>20000</v>
      </c>
      <c r="I116" t="s">
        <v>3316</v>
      </c>
      <c r="J116">
        <v>20000</v>
      </c>
      <c r="K116">
        <v>90000</v>
      </c>
      <c r="L116" t="s">
        <v>116</v>
      </c>
      <c r="M116" t="s">
        <v>65</v>
      </c>
      <c r="N116" t="s">
        <v>102</v>
      </c>
      <c r="O116" t="s">
        <v>3506</v>
      </c>
      <c r="P116" s="5" t="s">
        <v>3318</v>
      </c>
      <c r="Q116">
        <v>4.5</v>
      </c>
    </row>
    <row r="117" spans="1:17" x14ac:dyDescent="0.3">
      <c r="A117" s="4">
        <v>44610</v>
      </c>
      <c r="B117" t="s">
        <v>3531</v>
      </c>
      <c r="C117" t="s">
        <v>3462</v>
      </c>
      <c r="D117" s="77">
        <v>0.68055555555555547</v>
      </c>
      <c r="E117" t="s">
        <v>3314</v>
      </c>
      <c r="F117">
        <v>54</v>
      </c>
      <c r="G117" t="s">
        <v>3315</v>
      </c>
      <c r="H117">
        <v>20000</v>
      </c>
      <c r="I117" t="s">
        <v>3316</v>
      </c>
      <c r="J117">
        <v>20000</v>
      </c>
      <c r="K117">
        <v>90000</v>
      </c>
      <c r="L117" t="s">
        <v>116</v>
      </c>
      <c r="M117" t="s">
        <v>76</v>
      </c>
      <c r="N117" t="s">
        <v>107</v>
      </c>
      <c r="O117" t="s">
        <v>3321</v>
      </c>
      <c r="P117" s="5" t="s">
        <v>3318</v>
      </c>
      <c r="Q117">
        <v>4.5</v>
      </c>
    </row>
    <row r="118" spans="1:17" x14ac:dyDescent="0.3">
      <c r="A118" s="4">
        <v>44610</v>
      </c>
      <c r="B118" t="s">
        <v>3532</v>
      </c>
      <c r="C118" t="s">
        <v>3527</v>
      </c>
      <c r="D118" s="77">
        <v>0.68888888888888899</v>
      </c>
      <c r="E118" t="s">
        <v>3314</v>
      </c>
      <c r="F118">
        <v>42</v>
      </c>
      <c r="G118" t="s">
        <v>3315</v>
      </c>
      <c r="H118">
        <v>30000</v>
      </c>
      <c r="I118" t="s">
        <v>3316</v>
      </c>
      <c r="J118">
        <v>30000</v>
      </c>
      <c r="K118">
        <v>120000</v>
      </c>
      <c r="L118" t="s">
        <v>118</v>
      </c>
      <c r="M118" t="s">
        <v>87</v>
      </c>
      <c r="N118" t="s">
        <v>134</v>
      </c>
      <c r="O118" t="s">
        <v>3528</v>
      </c>
      <c r="P118" s="5" t="s">
        <v>3318</v>
      </c>
      <c r="Q118">
        <v>4</v>
      </c>
    </row>
    <row r="119" spans="1:17" x14ac:dyDescent="0.3">
      <c r="A119" s="4">
        <v>44610</v>
      </c>
      <c r="B119" t="s">
        <v>3533</v>
      </c>
      <c r="C119" t="s">
        <v>3505</v>
      </c>
      <c r="D119" s="77">
        <v>0.69166666666666676</v>
      </c>
      <c r="E119" t="s">
        <v>3314</v>
      </c>
      <c r="F119">
        <v>36</v>
      </c>
      <c r="G119" t="s">
        <v>3315</v>
      </c>
      <c r="H119">
        <v>30000</v>
      </c>
      <c r="I119" t="s">
        <v>3316</v>
      </c>
      <c r="J119">
        <v>30000</v>
      </c>
      <c r="K119">
        <v>135000</v>
      </c>
      <c r="L119" t="s">
        <v>116</v>
      </c>
      <c r="M119" t="s">
        <v>65</v>
      </c>
      <c r="N119" t="s">
        <v>102</v>
      </c>
      <c r="O119" t="s">
        <v>3506</v>
      </c>
      <c r="P119" s="5" t="s">
        <v>3318</v>
      </c>
      <c r="Q119">
        <v>4.5</v>
      </c>
    </row>
    <row r="120" spans="1:17" x14ac:dyDescent="0.3">
      <c r="A120" s="4">
        <v>44610</v>
      </c>
      <c r="B120" t="s">
        <v>3534</v>
      </c>
      <c r="C120" t="s">
        <v>3505</v>
      </c>
      <c r="D120" s="77">
        <v>0.69166666666666676</v>
      </c>
      <c r="E120" t="s">
        <v>3314</v>
      </c>
      <c r="F120">
        <v>49</v>
      </c>
      <c r="G120" t="s">
        <v>3315</v>
      </c>
      <c r="H120">
        <v>30000</v>
      </c>
      <c r="I120" t="s">
        <v>3316</v>
      </c>
      <c r="J120">
        <v>30000</v>
      </c>
      <c r="K120">
        <v>135000</v>
      </c>
      <c r="L120" t="s">
        <v>113</v>
      </c>
      <c r="M120" t="s">
        <v>22</v>
      </c>
      <c r="N120" t="s">
        <v>98</v>
      </c>
      <c r="O120" t="s">
        <v>3437</v>
      </c>
      <c r="P120" s="5" t="s">
        <v>3318</v>
      </c>
      <c r="Q120">
        <v>4.5</v>
      </c>
    </row>
    <row r="121" spans="1:17" x14ac:dyDescent="0.3">
      <c r="A121" s="4">
        <v>44610</v>
      </c>
      <c r="B121" t="s">
        <v>3535</v>
      </c>
      <c r="C121" t="s">
        <v>3509</v>
      </c>
      <c r="D121" s="77">
        <v>0.69374999999999998</v>
      </c>
      <c r="E121" t="s">
        <v>3314</v>
      </c>
      <c r="F121">
        <v>30</v>
      </c>
      <c r="G121" t="s">
        <v>3315</v>
      </c>
      <c r="H121">
        <v>20000</v>
      </c>
      <c r="I121" t="s">
        <v>3316</v>
      </c>
      <c r="J121">
        <v>20000</v>
      </c>
      <c r="K121">
        <v>80000</v>
      </c>
      <c r="L121" t="s">
        <v>118</v>
      </c>
      <c r="M121" t="s">
        <v>84</v>
      </c>
      <c r="N121" t="s">
        <v>108</v>
      </c>
      <c r="O121" t="s">
        <v>3366</v>
      </c>
      <c r="P121" s="5" t="s">
        <v>3318</v>
      </c>
      <c r="Q121">
        <v>4</v>
      </c>
    </row>
    <row r="122" spans="1:17" x14ac:dyDescent="0.3">
      <c r="A122" s="4">
        <v>44610</v>
      </c>
      <c r="B122" t="s">
        <v>3536</v>
      </c>
      <c r="C122" t="s">
        <v>3505</v>
      </c>
      <c r="D122" s="77">
        <v>0.70486111111111116</v>
      </c>
      <c r="E122" t="s">
        <v>3314</v>
      </c>
      <c r="F122">
        <v>78</v>
      </c>
      <c r="G122" t="s">
        <v>3315</v>
      </c>
      <c r="H122">
        <v>20000</v>
      </c>
      <c r="I122" t="s">
        <v>3316</v>
      </c>
      <c r="J122">
        <v>20000</v>
      </c>
      <c r="K122">
        <v>80000</v>
      </c>
      <c r="L122" t="s">
        <v>118</v>
      </c>
      <c r="M122" t="s">
        <v>86</v>
      </c>
      <c r="N122" t="s">
        <v>120</v>
      </c>
      <c r="O122" t="s">
        <v>3446</v>
      </c>
      <c r="P122" s="5" t="s">
        <v>3318</v>
      </c>
      <c r="Q122">
        <v>4</v>
      </c>
    </row>
    <row r="123" spans="1:17" x14ac:dyDescent="0.3">
      <c r="A123" s="4">
        <v>44610</v>
      </c>
      <c r="B123" t="s">
        <v>3537</v>
      </c>
      <c r="C123" t="s">
        <v>3509</v>
      </c>
      <c r="D123" s="77">
        <v>0.70833333333333337</v>
      </c>
      <c r="E123" t="s">
        <v>3314</v>
      </c>
      <c r="F123">
        <v>44</v>
      </c>
      <c r="G123" t="s">
        <v>3315</v>
      </c>
      <c r="H123">
        <v>30000</v>
      </c>
      <c r="I123" t="s">
        <v>3316</v>
      </c>
      <c r="J123">
        <v>30000</v>
      </c>
      <c r="K123">
        <v>120000</v>
      </c>
      <c r="L123" t="s">
        <v>118</v>
      </c>
      <c r="M123" t="s">
        <v>91</v>
      </c>
      <c r="N123" t="s">
        <v>136</v>
      </c>
      <c r="O123" t="s">
        <v>3422</v>
      </c>
      <c r="P123" s="5" t="s">
        <v>3318</v>
      </c>
      <c r="Q123">
        <v>4</v>
      </c>
    </row>
    <row r="124" spans="1:17" x14ac:dyDescent="0.3">
      <c r="A124" s="4">
        <v>44610</v>
      </c>
      <c r="B124" t="s">
        <v>3538</v>
      </c>
      <c r="C124" t="s">
        <v>3539</v>
      </c>
      <c r="D124" s="77">
        <v>0.70833333333333337</v>
      </c>
      <c r="E124" t="s">
        <v>3314</v>
      </c>
      <c r="F124">
        <v>55</v>
      </c>
      <c r="G124" t="s">
        <v>3315</v>
      </c>
      <c r="H124">
        <v>30000</v>
      </c>
      <c r="I124" t="s">
        <v>3316</v>
      </c>
      <c r="J124">
        <v>30000</v>
      </c>
      <c r="K124">
        <v>120000</v>
      </c>
      <c r="L124" t="s">
        <v>118</v>
      </c>
      <c r="M124" t="s">
        <v>28</v>
      </c>
      <c r="N124" t="s">
        <v>132</v>
      </c>
      <c r="O124" t="s">
        <v>3449</v>
      </c>
      <c r="P124" s="5" t="s">
        <v>3318</v>
      </c>
      <c r="Q124">
        <v>4</v>
      </c>
    </row>
    <row r="125" spans="1:17" x14ac:dyDescent="0.3">
      <c r="A125" s="4">
        <v>44610</v>
      </c>
      <c r="B125" t="s">
        <v>3540</v>
      </c>
      <c r="C125" t="s">
        <v>3512</v>
      </c>
      <c r="D125" s="77">
        <v>0.71527777777777779</v>
      </c>
      <c r="E125" t="s">
        <v>3332</v>
      </c>
      <c r="F125">
        <v>54</v>
      </c>
      <c r="G125" t="s">
        <v>3315</v>
      </c>
      <c r="H125">
        <v>30000</v>
      </c>
      <c r="I125" t="s">
        <v>3316</v>
      </c>
      <c r="J125">
        <v>30000</v>
      </c>
      <c r="K125">
        <v>150000</v>
      </c>
      <c r="L125" t="s">
        <v>114</v>
      </c>
      <c r="M125" t="s">
        <v>23</v>
      </c>
      <c r="N125" t="s">
        <v>99</v>
      </c>
      <c r="O125" t="s">
        <v>3358</v>
      </c>
      <c r="P125" s="5" t="s">
        <v>3318</v>
      </c>
      <c r="Q125">
        <v>5</v>
      </c>
    </row>
    <row r="126" spans="1:17" x14ac:dyDescent="0.3">
      <c r="A126" s="4">
        <v>44610</v>
      </c>
      <c r="B126" t="s">
        <v>3541</v>
      </c>
      <c r="C126" t="s">
        <v>3480</v>
      </c>
      <c r="D126" s="77">
        <v>0.72152777777777777</v>
      </c>
      <c r="E126" t="s">
        <v>3314</v>
      </c>
      <c r="F126">
        <v>74</v>
      </c>
      <c r="G126" t="s">
        <v>3315</v>
      </c>
      <c r="H126">
        <v>20000</v>
      </c>
      <c r="I126" t="s">
        <v>3316</v>
      </c>
      <c r="J126">
        <v>20000</v>
      </c>
      <c r="K126">
        <v>20000</v>
      </c>
      <c r="L126" t="s">
        <v>124</v>
      </c>
      <c r="M126" t="s">
        <v>3033</v>
      </c>
      <c r="N126" t="s">
        <v>3035</v>
      </c>
      <c r="O126" t="s">
        <v>3542</v>
      </c>
      <c r="P126" s="5" t="s">
        <v>3318</v>
      </c>
      <c r="Q126">
        <v>1</v>
      </c>
    </row>
    <row r="127" spans="1:17" x14ac:dyDescent="0.3">
      <c r="A127" s="4">
        <v>44610</v>
      </c>
      <c r="B127" t="s">
        <v>3543</v>
      </c>
      <c r="C127" t="s">
        <v>3505</v>
      </c>
      <c r="D127" s="77">
        <v>0.73958333333333337</v>
      </c>
      <c r="E127" t="s">
        <v>3314</v>
      </c>
      <c r="F127">
        <v>45</v>
      </c>
      <c r="G127" t="s">
        <v>3315</v>
      </c>
      <c r="H127">
        <v>20000</v>
      </c>
      <c r="I127" t="s">
        <v>3316</v>
      </c>
      <c r="J127">
        <v>20000</v>
      </c>
      <c r="K127">
        <v>90000</v>
      </c>
      <c r="L127" t="s">
        <v>113</v>
      </c>
      <c r="M127" t="s">
        <v>22</v>
      </c>
      <c r="N127" t="s">
        <v>98</v>
      </c>
      <c r="O127" t="s">
        <v>3437</v>
      </c>
      <c r="P127" s="5" t="s">
        <v>3318</v>
      </c>
      <c r="Q127">
        <v>4.5</v>
      </c>
    </row>
    <row r="128" spans="1:17" x14ac:dyDescent="0.3">
      <c r="A128" s="4">
        <v>44610</v>
      </c>
      <c r="B128" t="s">
        <v>3544</v>
      </c>
      <c r="C128" t="s">
        <v>3539</v>
      </c>
      <c r="D128" s="77">
        <v>0.75</v>
      </c>
      <c r="E128" t="s">
        <v>3314</v>
      </c>
      <c r="F128">
        <v>43</v>
      </c>
      <c r="G128" t="s">
        <v>3315</v>
      </c>
      <c r="H128">
        <v>30000</v>
      </c>
      <c r="I128" t="s">
        <v>3316</v>
      </c>
      <c r="J128">
        <v>30000</v>
      </c>
      <c r="K128">
        <v>120000</v>
      </c>
      <c r="L128" t="s">
        <v>118</v>
      </c>
      <c r="M128" t="s">
        <v>28</v>
      </c>
      <c r="N128" t="s">
        <v>132</v>
      </c>
      <c r="O128" t="s">
        <v>3449</v>
      </c>
      <c r="P128" s="5" t="s">
        <v>3318</v>
      </c>
      <c r="Q128">
        <v>4</v>
      </c>
    </row>
    <row r="129" spans="1:17" x14ac:dyDescent="0.3">
      <c r="A129" s="4">
        <v>44610</v>
      </c>
      <c r="B129" t="s">
        <v>3545</v>
      </c>
      <c r="C129" t="s">
        <v>3546</v>
      </c>
      <c r="D129" s="77">
        <v>0.75</v>
      </c>
      <c r="E129" t="s">
        <v>3314</v>
      </c>
      <c r="F129">
        <v>51</v>
      </c>
      <c r="G129" t="s">
        <v>3315</v>
      </c>
      <c r="H129">
        <v>20000</v>
      </c>
      <c r="I129" t="s">
        <v>3316</v>
      </c>
      <c r="J129">
        <v>20000</v>
      </c>
      <c r="K129">
        <v>90000</v>
      </c>
      <c r="L129" t="s">
        <v>114</v>
      </c>
      <c r="M129" t="s">
        <v>30</v>
      </c>
      <c r="N129" t="s">
        <v>106</v>
      </c>
      <c r="O129" t="s">
        <v>3379</v>
      </c>
      <c r="P129" s="5" t="s">
        <v>3318</v>
      </c>
      <c r="Q129">
        <v>4.5</v>
      </c>
    </row>
    <row r="130" spans="1:17" x14ac:dyDescent="0.3">
      <c r="A130" s="4">
        <v>44610</v>
      </c>
      <c r="B130" t="s">
        <v>3547</v>
      </c>
      <c r="C130" t="s">
        <v>3509</v>
      </c>
      <c r="D130" s="77">
        <v>0.75902777777777775</v>
      </c>
      <c r="E130" t="s">
        <v>3314</v>
      </c>
      <c r="F130">
        <v>32</v>
      </c>
      <c r="G130" t="s">
        <v>3315</v>
      </c>
      <c r="H130">
        <v>30000</v>
      </c>
      <c r="I130" t="s">
        <v>3316</v>
      </c>
      <c r="J130">
        <v>30000</v>
      </c>
      <c r="K130">
        <v>120000</v>
      </c>
      <c r="L130" t="s">
        <v>118</v>
      </c>
      <c r="M130" t="s">
        <v>84</v>
      </c>
      <c r="N130" t="s">
        <v>108</v>
      </c>
      <c r="O130" t="s">
        <v>3366</v>
      </c>
      <c r="P130" s="5" t="s">
        <v>3318</v>
      </c>
      <c r="Q130">
        <v>4</v>
      </c>
    </row>
    <row r="131" spans="1:17" x14ac:dyDescent="0.3">
      <c r="A131" s="4">
        <v>44610</v>
      </c>
      <c r="B131" t="s">
        <v>3548</v>
      </c>
      <c r="C131" t="s">
        <v>3462</v>
      </c>
      <c r="D131" s="77">
        <v>0.76041666666666663</v>
      </c>
      <c r="E131" t="s">
        <v>3314</v>
      </c>
      <c r="F131">
        <v>60</v>
      </c>
      <c r="G131" t="s">
        <v>3315</v>
      </c>
      <c r="H131">
        <v>20000</v>
      </c>
      <c r="I131" t="s">
        <v>3316</v>
      </c>
      <c r="J131">
        <v>20000</v>
      </c>
      <c r="K131">
        <v>60000</v>
      </c>
      <c r="L131" t="s">
        <v>149</v>
      </c>
      <c r="M131" t="s">
        <v>3023</v>
      </c>
      <c r="N131" t="s">
        <v>3025</v>
      </c>
      <c r="O131" t="s">
        <v>3481</v>
      </c>
      <c r="P131" s="5" t="s">
        <v>3318</v>
      </c>
      <c r="Q131">
        <v>3</v>
      </c>
    </row>
    <row r="132" spans="1:17" x14ac:dyDescent="0.3">
      <c r="A132" s="4">
        <v>44610</v>
      </c>
      <c r="B132" t="s">
        <v>3549</v>
      </c>
      <c r="C132" t="s">
        <v>3539</v>
      </c>
      <c r="D132" s="77">
        <v>0.77083333333333337</v>
      </c>
      <c r="E132" t="s">
        <v>3314</v>
      </c>
      <c r="F132">
        <v>76</v>
      </c>
      <c r="G132" t="s">
        <v>3315</v>
      </c>
      <c r="H132">
        <v>20000</v>
      </c>
      <c r="I132" t="s">
        <v>3316</v>
      </c>
      <c r="J132">
        <v>20000</v>
      </c>
      <c r="K132">
        <v>80000</v>
      </c>
      <c r="L132" t="s">
        <v>118</v>
      </c>
      <c r="M132" t="s">
        <v>28</v>
      </c>
      <c r="N132" t="s">
        <v>132</v>
      </c>
      <c r="O132" t="s">
        <v>3449</v>
      </c>
      <c r="P132" s="5" t="s">
        <v>3318</v>
      </c>
      <c r="Q132">
        <v>4</v>
      </c>
    </row>
    <row r="133" spans="1:17" x14ac:dyDescent="0.3">
      <c r="A133" s="4">
        <v>44610</v>
      </c>
      <c r="B133" t="s">
        <v>3550</v>
      </c>
      <c r="C133" t="s">
        <v>3546</v>
      </c>
      <c r="D133" s="77">
        <v>0.77430555555555547</v>
      </c>
      <c r="E133" t="s">
        <v>3314</v>
      </c>
      <c r="F133">
        <v>34</v>
      </c>
      <c r="G133" t="s">
        <v>3315</v>
      </c>
      <c r="H133">
        <v>30000</v>
      </c>
      <c r="I133" t="s">
        <v>3316</v>
      </c>
      <c r="J133">
        <v>30000</v>
      </c>
      <c r="K133">
        <v>120000</v>
      </c>
      <c r="L133" t="s">
        <v>118</v>
      </c>
      <c r="M133" t="s">
        <v>90</v>
      </c>
      <c r="N133" t="s">
        <v>110</v>
      </c>
      <c r="O133" t="s">
        <v>3455</v>
      </c>
      <c r="P133" s="5" t="s">
        <v>3318</v>
      </c>
      <c r="Q133">
        <v>4</v>
      </c>
    </row>
    <row r="134" spans="1:17" x14ac:dyDescent="0.3">
      <c r="A134" s="4">
        <v>44610</v>
      </c>
      <c r="B134" t="s">
        <v>3551</v>
      </c>
      <c r="C134" t="s">
        <v>3462</v>
      </c>
      <c r="D134" s="77">
        <v>0.77430555555555547</v>
      </c>
      <c r="E134" t="s">
        <v>3314</v>
      </c>
      <c r="F134">
        <v>53</v>
      </c>
      <c r="G134" t="s">
        <v>3315</v>
      </c>
      <c r="H134">
        <v>20000</v>
      </c>
      <c r="I134" t="s">
        <v>3316</v>
      </c>
      <c r="J134">
        <v>20000</v>
      </c>
      <c r="K134">
        <v>60000</v>
      </c>
      <c r="L134" t="s">
        <v>149</v>
      </c>
      <c r="M134" t="s">
        <v>3023</v>
      </c>
      <c r="N134" t="s">
        <v>3025</v>
      </c>
      <c r="O134" t="s">
        <v>3481</v>
      </c>
      <c r="P134" s="5" t="s">
        <v>3318</v>
      </c>
      <c r="Q134">
        <v>3</v>
      </c>
    </row>
    <row r="135" spans="1:17" x14ac:dyDescent="0.3">
      <c r="A135" s="4">
        <v>44610</v>
      </c>
      <c r="B135" t="s">
        <v>3552</v>
      </c>
      <c r="C135" t="s">
        <v>3509</v>
      </c>
      <c r="D135" s="77">
        <v>0.78819444444444453</v>
      </c>
      <c r="E135" t="s">
        <v>3314</v>
      </c>
      <c r="F135">
        <v>36</v>
      </c>
      <c r="G135" t="s">
        <v>3315</v>
      </c>
      <c r="H135">
        <v>20000</v>
      </c>
      <c r="I135" t="s">
        <v>3316</v>
      </c>
      <c r="J135">
        <v>20000</v>
      </c>
      <c r="K135">
        <v>80000</v>
      </c>
      <c r="L135" t="s">
        <v>118</v>
      </c>
      <c r="M135" t="s">
        <v>85</v>
      </c>
      <c r="N135" t="s">
        <v>109</v>
      </c>
      <c r="O135" t="s">
        <v>3342</v>
      </c>
      <c r="P135" s="5" t="s">
        <v>3318</v>
      </c>
      <c r="Q135">
        <v>4</v>
      </c>
    </row>
    <row r="136" spans="1:17" x14ac:dyDescent="0.3">
      <c r="A136" s="4">
        <v>44610</v>
      </c>
      <c r="B136" t="s">
        <v>3553</v>
      </c>
      <c r="C136" t="s">
        <v>3546</v>
      </c>
      <c r="D136" s="77">
        <v>0.79375000000000007</v>
      </c>
      <c r="E136" t="s">
        <v>3314</v>
      </c>
      <c r="F136">
        <v>57</v>
      </c>
      <c r="G136" t="s">
        <v>3315</v>
      </c>
      <c r="H136">
        <v>20000</v>
      </c>
      <c r="I136" t="s">
        <v>3316</v>
      </c>
      <c r="J136">
        <v>20000</v>
      </c>
      <c r="K136">
        <v>90000</v>
      </c>
      <c r="L136" t="s">
        <v>114</v>
      </c>
      <c r="M136" t="s">
        <v>30</v>
      </c>
      <c r="N136" t="s">
        <v>106</v>
      </c>
      <c r="O136" t="s">
        <v>3379</v>
      </c>
      <c r="P136" s="5" t="s">
        <v>3318</v>
      </c>
      <c r="Q136">
        <v>4.5</v>
      </c>
    </row>
    <row r="137" spans="1:17" x14ac:dyDescent="0.3">
      <c r="A137" s="4">
        <v>44610</v>
      </c>
      <c r="B137" t="s">
        <v>3554</v>
      </c>
      <c r="C137" t="s">
        <v>3546</v>
      </c>
      <c r="D137" s="77">
        <v>0.8125</v>
      </c>
      <c r="E137" t="s">
        <v>3314</v>
      </c>
      <c r="F137">
        <v>34</v>
      </c>
      <c r="G137" t="s">
        <v>3315</v>
      </c>
      <c r="H137">
        <v>20000</v>
      </c>
      <c r="I137" t="s">
        <v>3316</v>
      </c>
      <c r="J137">
        <v>20000</v>
      </c>
      <c r="K137">
        <v>80000</v>
      </c>
      <c r="L137" t="s">
        <v>118</v>
      </c>
      <c r="M137" t="s">
        <v>90</v>
      </c>
      <c r="N137" t="s">
        <v>110</v>
      </c>
      <c r="O137" t="s">
        <v>3455</v>
      </c>
      <c r="P137" s="5" t="s">
        <v>3318</v>
      </c>
      <c r="Q137">
        <v>4</v>
      </c>
    </row>
    <row r="138" spans="1:17" x14ac:dyDescent="0.3">
      <c r="A138" s="4">
        <v>44611</v>
      </c>
      <c r="B138" t="s">
        <v>3555</v>
      </c>
      <c r="C138" t="s">
        <v>3556</v>
      </c>
      <c r="D138" s="77">
        <v>0.57916666666666672</v>
      </c>
      <c r="E138" t="s">
        <v>3314</v>
      </c>
      <c r="F138">
        <v>50</v>
      </c>
      <c r="G138" t="s">
        <v>3315</v>
      </c>
      <c r="H138">
        <v>30000</v>
      </c>
      <c r="I138" t="s">
        <v>3316</v>
      </c>
      <c r="J138">
        <v>30000</v>
      </c>
      <c r="K138">
        <v>135000</v>
      </c>
      <c r="L138" t="s">
        <v>114</v>
      </c>
      <c r="M138" t="s">
        <v>30</v>
      </c>
      <c r="N138" t="s">
        <v>106</v>
      </c>
      <c r="O138" t="s">
        <v>3379</v>
      </c>
      <c r="P138" s="5" t="s">
        <v>3318</v>
      </c>
      <c r="Q138">
        <v>4.5</v>
      </c>
    </row>
    <row r="139" spans="1:17" x14ac:dyDescent="0.3">
      <c r="A139" s="4">
        <v>44611</v>
      </c>
      <c r="B139" t="s">
        <v>3557</v>
      </c>
      <c r="C139" t="s">
        <v>3462</v>
      </c>
      <c r="D139" s="77">
        <v>0.58680555555555558</v>
      </c>
      <c r="E139" t="s">
        <v>3314</v>
      </c>
      <c r="F139">
        <v>52</v>
      </c>
      <c r="G139" t="s">
        <v>3315</v>
      </c>
      <c r="H139">
        <v>20000</v>
      </c>
      <c r="I139" t="s">
        <v>3316</v>
      </c>
      <c r="J139">
        <v>20000</v>
      </c>
      <c r="K139">
        <v>60000</v>
      </c>
      <c r="L139" t="s">
        <v>149</v>
      </c>
      <c r="M139" t="s">
        <v>92</v>
      </c>
      <c r="N139" t="s">
        <v>137</v>
      </c>
      <c r="O139" t="s">
        <v>3476</v>
      </c>
      <c r="P139" s="5" t="s">
        <v>3318</v>
      </c>
      <c r="Q139">
        <v>3</v>
      </c>
    </row>
    <row r="140" spans="1:17" x14ac:dyDescent="0.3">
      <c r="A140" s="4">
        <v>44611</v>
      </c>
      <c r="B140" t="s">
        <v>3558</v>
      </c>
      <c r="C140" t="s">
        <v>3556</v>
      </c>
      <c r="D140" s="77">
        <v>0.60069444444444442</v>
      </c>
      <c r="E140" t="s">
        <v>3314</v>
      </c>
      <c r="F140">
        <v>33</v>
      </c>
      <c r="G140" t="s">
        <v>3315</v>
      </c>
      <c r="H140">
        <v>20000</v>
      </c>
      <c r="I140" t="s">
        <v>3316</v>
      </c>
      <c r="J140">
        <v>20000</v>
      </c>
      <c r="K140">
        <v>90000</v>
      </c>
      <c r="L140" t="s">
        <v>119</v>
      </c>
      <c r="M140" t="s">
        <v>29</v>
      </c>
      <c r="N140" t="s">
        <v>104</v>
      </c>
      <c r="O140" t="s">
        <v>3457</v>
      </c>
      <c r="P140" s="5" t="s">
        <v>3318</v>
      </c>
      <c r="Q140">
        <v>4.5</v>
      </c>
    </row>
    <row r="141" spans="1:17" x14ac:dyDescent="0.3">
      <c r="A141" s="4">
        <v>44611</v>
      </c>
      <c r="B141" t="s">
        <v>3559</v>
      </c>
      <c r="C141" t="s">
        <v>3462</v>
      </c>
      <c r="D141" s="77">
        <v>0.6645833333333333</v>
      </c>
      <c r="E141" t="s">
        <v>3314</v>
      </c>
      <c r="F141">
        <v>50</v>
      </c>
      <c r="G141" t="s">
        <v>3315</v>
      </c>
      <c r="H141">
        <v>30000</v>
      </c>
      <c r="I141" t="s">
        <v>3316</v>
      </c>
      <c r="J141">
        <v>30000</v>
      </c>
      <c r="K141">
        <v>90000</v>
      </c>
      <c r="L141" t="s">
        <v>149</v>
      </c>
      <c r="M141" t="s">
        <v>3023</v>
      </c>
      <c r="N141" t="s">
        <v>3025</v>
      </c>
      <c r="O141" t="s">
        <v>3481</v>
      </c>
      <c r="P141" s="5" t="s">
        <v>3318</v>
      </c>
      <c r="Q141">
        <v>3</v>
      </c>
    </row>
    <row r="142" spans="1:17" x14ac:dyDescent="0.3">
      <c r="A142" s="4">
        <v>44611</v>
      </c>
      <c r="B142" t="s">
        <v>3560</v>
      </c>
      <c r="C142" t="s">
        <v>3556</v>
      </c>
      <c r="D142" s="77">
        <v>0.68263888888888891</v>
      </c>
      <c r="E142" t="s">
        <v>3314</v>
      </c>
      <c r="F142">
        <v>57</v>
      </c>
      <c r="G142" t="s">
        <v>3315</v>
      </c>
      <c r="H142">
        <v>30000</v>
      </c>
      <c r="I142" t="s">
        <v>3316</v>
      </c>
      <c r="J142">
        <v>30000</v>
      </c>
      <c r="K142">
        <v>135000</v>
      </c>
      <c r="L142" t="s">
        <v>114</v>
      </c>
      <c r="M142" t="s">
        <v>30</v>
      </c>
      <c r="N142" t="s">
        <v>106</v>
      </c>
      <c r="O142" t="s">
        <v>3379</v>
      </c>
      <c r="P142" s="5" t="s">
        <v>3318</v>
      </c>
      <c r="Q142">
        <v>4.5</v>
      </c>
    </row>
    <row r="143" spans="1:17" x14ac:dyDescent="0.3">
      <c r="A143" s="4">
        <v>44611</v>
      </c>
      <c r="B143" t="s">
        <v>3561</v>
      </c>
      <c r="C143" t="s">
        <v>3556</v>
      </c>
      <c r="D143" s="77">
        <v>0.6875</v>
      </c>
      <c r="E143" t="s">
        <v>3314</v>
      </c>
      <c r="F143">
        <v>55</v>
      </c>
      <c r="G143" t="s">
        <v>3315</v>
      </c>
      <c r="H143">
        <v>20000</v>
      </c>
      <c r="I143" t="s">
        <v>3316</v>
      </c>
      <c r="J143">
        <v>20000</v>
      </c>
      <c r="K143">
        <v>90000</v>
      </c>
      <c r="L143" t="s">
        <v>119</v>
      </c>
      <c r="M143" t="s">
        <v>29</v>
      </c>
      <c r="N143" t="s">
        <v>104</v>
      </c>
      <c r="O143" t="s">
        <v>3457</v>
      </c>
      <c r="P143" s="5" t="s">
        <v>3318</v>
      </c>
      <c r="Q143">
        <v>4.5</v>
      </c>
    </row>
    <row r="144" spans="1:17" x14ac:dyDescent="0.3">
      <c r="A144" s="4">
        <v>44611</v>
      </c>
      <c r="B144" t="s">
        <v>3562</v>
      </c>
      <c r="C144" t="s">
        <v>3408</v>
      </c>
      <c r="D144" s="77">
        <v>0.69791666666666663</v>
      </c>
      <c r="E144" t="s">
        <v>3332</v>
      </c>
      <c r="F144">
        <v>52</v>
      </c>
      <c r="G144" t="s">
        <v>3315</v>
      </c>
      <c r="H144">
        <v>20000</v>
      </c>
      <c r="I144" t="s">
        <v>3316</v>
      </c>
      <c r="J144">
        <v>20000</v>
      </c>
      <c r="K144">
        <v>80000</v>
      </c>
      <c r="L144" t="s">
        <v>118</v>
      </c>
      <c r="M144" t="s">
        <v>145</v>
      </c>
      <c r="N144" t="s">
        <v>146</v>
      </c>
      <c r="O144" t="s">
        <v>3333</v>
      </c>
      <c r="P144" s="5" t="s">
        <v>3318</v>
      </c>
      <c r="Q144">
        <v>4</v>
      </c>
    </row>
    <row r="145" spans="1:17" x14ac:dyDescent="0.3">
      <c r="A145" s="4">
        <v>44611</v>
      </c>
      <c r="B145" t="s">
        <v>3563</v>
      </c>
      <c r="C145" t="s">
        <v>3462</v>
      </c>
      <c r="D145" s="77">
        <v>0.70277777777777783</v>
      </c>
      <c r="E145" t="s">
        <v>3314</v>
      </c>
      <c r="F145">
        <v>45</v>
      </c>
      <c r="G145" t="s">
        <v>3315</v>
      </c>
      <c r="H145">
        <v>20000</v>
      </c>
      <c r="I145" t="s">
        <v>3316</v>
      </c>
      <c r="J145">
        <v>20000</v>
      </c>
      <c r="K145">
        <v>60000</v>
      </c>
      <c r="L145" t="s">
        <v>149</v>
      </c>
      <c r="M145" t="s">
        <v>92</v>
      </c>
      <c r="N145" t="s">
        <v>137</v>
      </c>
      <c r="O145" t="s">
        <v>3476</v>
      </c>
      <c r="P145" s="5" t="s">
        <v>3318</v>
      </c>
      <c r="Q145">
        <v>3</v>
      </c>
    </row>
    <row r="146" spans="1:17" x14ac:dyDescent="0.3">
      <c r="A146" s="4">
        <v>44611</v>
      </c>
      <c r="B146" t="s">
        <v>3564</v>
      </c>
      <c r="C146" t="s">
        <v>3462</v>
      </c>
      <c r="D146" s="77">
        <v>0.71111111111111114</v>
      </c>
      <c r="E146" t="s">
        <v>3314</v>
      </c>
      <c r="F146">
        <v>52</v>
      </c>
      <c r="G146" t="s">
        <v>3315</v>
      </c>
      <c r="H146">
        <v>20000</v>
      </c>
      <c r="I146" t="s">
        <v>3316</v>
      </c>
      <c r="J146">
        <v>20000</v>
      </c>
      <c r="K146">
        <v>90000</v>
      </c>
      <c r="L146" t="s">
        <v>114</v>
      </c>
      <c r="M146" t="s">
        <v>31</v>
      </c>
      <c r="N146" t="s">
        <v>105</v>
      </c>
      <c r="O146" t="s">
        <v>3339</v>
      </c>
      <c r="P146" s="5" t="s">
        <v>3318</v>
      </c>
      <c r="Q146">
        <v>4.5</v>
      </c>
    </row>
    <row r="147" spans="1:17" x14ac:dyDescent="0.3">
      <c r="A147" s="4">
        <v>44611</v>
      </c>
      <c r="B147" t="s">
        <v>3565</v>
      </c>
      <c r="C147" t="s">
        <v>3556</v>
      </c>
      <c r="D147" s="77">
        <v>0.73472222222222217</v>
      </c>
      <c r="E147" t="s">
        <v>3314</v>
      </c>
      <c r="F147">
        <v>52</v>
      </c>
      <c r="G147" t="s">
        <v>3315</v>
      </c>
      <c r="H147">
        <v>20000</v>
      </c>
      <c r="I147" t="s">
        <v>3316</v>
      </c>
      <c r="J147">
        <v>20000</v>
      </c>
      <c r="K147">
        <v>90000</v>
      </c>
      <c r="L147" t="s">
        <v>114</v>
      </c>
      <c r="M147" t="s">
        <v>30</v>
      </c>
      <c r="N147" t="s">
        <v>106</v>
      </c>
      <c r="O147" t="s">
        <v>3379</v>
      </c>
      <c r="P147" s="5" t="s">
        <v>3318</v>
      </c>
      <c r="Q147">
        <v>4.5</v>
      </c>
    </row>
    <row r="148" spans="1:17" x14ac:dyDescent="0.3">
      <c r="A148" s="4">
        <v>44611</v>
      </c>
      <c r="B148" t="s">
        <v>3566</v>
      </c>
      <c r="C148" t="s">
        <v>3556</v>
      </c>
      <c r="D148" s="77">
        <v>0.73472222222222217</v>
      </c>
      <c r="E148" t="s">
        <v>3314</v>
      </c>
      <c r="F148">
        <v>36</v>
      </c>
      <c r="G148" t="s">
        <v>3315</v>
      </c>
      <c r="H148">
        <v>20000</v>
      </c>
      <c r="I148" t="s">
        <v>3488</v>
      </c>
      <c r="J148">
        <v>10000</v>
      </c>
      <c r="K148">
        <v>45000</v>
      </c>
      <c r="L148" t="s">
        <v>114</v>
      </c>
      <c r="M148" t="s">
        <v>30</v>
      </c>
      <c r="N148" t="s">
        <v>106</v>
      </c>
      <c r="O148" t="s">
        <v>3379</v>
      </c>
      <c r="P148" s="5" t="s">
        <v>3318</v>
      </c>
      <c r="Q148">
        <v>4.5</v>
      </c>
    </row>
    <row r="149" spans="1:17" x14ac:dyDescent="0.3">
      <c r="A149" s="4">
        <v>44611</v>
      </c>
      <c r="B149" t="s">
        <v>3567</v>
      </c>
      <c r="C149" t="s">
        <v>3462</v>
      </c>
      <c r="D149" s="77">
        <v>0.77777777777777779</v>
      </c>
      <c r="E149" t="s">
        <v>3314</v>
      </c>
      <c r="F149">
        <v>56</v>
      </c>
      <c r="G149" t="s">
        <v>3315</v>
      </c>
      <c r="H149">
        <v>20000</v>
      </c>
      <c r="I149" t="s">
        <v>3316</v>
      </c>
      <c r="J149">
        <v>20000</v>
      </c>
      <c r="K149">
        <v>90000</v>
      </c>
      <c r="L149" t="s">
        <v>114</v>
      </c>
      <c r="M149" t="s">
        <v>31</v>
      </c>
      <c r="N149" t="s">
        <v>105</v>
      </c>
      <c r="O149" t="s">
        <v>3339</v>
      </c>
      <c r="P149" s="5" t="s">
        <v>3318</v>
      </c>
      <c r="Q149">
        <v>4.5</v>
      </c>
    </row>
    <row r="150" spans="1:17" x14ac:dyDescent="0.3">
      <c r="A150" s="4">
        <v>44613</v>
      </c>
      <c r="B150" t="s">
        <v>3568</v>
      </c>
      <c r="C150" t="s">
        <v>3569</v>
      </c>
      <c r="D150" s="77">
        <v>0.51736111111111105</v>
      </c>
      <c r="E150" t="s">
        <v>3314</v>
      </c>
      <c r="F150">
        <v>45</v>
      </c>
      <c r="G150" t="s">
        <v>3315</v>
      </c>
      <c r="H150">
        <v>20000</v>
      </c>
      <c r="I150" t="s">
        <v>3316</v>
      </c>
      <c r="J150">
        <v>20000</v>
      </c>
      <c r="K150">
        <v>80000</v>
      </c>
      <c r="L150" t="s">
        <v>118</v>
      </c>
      <c r="M150" t="s">
        <v>90</v>
      </c>
      <c r="N150" t="s">
        <v>110</v>
      </c>
      <c r="O150" t="s">
        <v>3455</v>
      </c>
      <c r="P150" s="5" t="s">
        <v>3318</v>
      </c>
      <c r="Q150">
        <v>4</v>
      </c>
    </row>
    <row r="151" spans="1:17" x14ac:dyDescent="0.3">
      <c r="A151" s="4">
        <v>44613</v>
      </c>
      <c r="B151" t="s">
        <v>3570</v>
      </c>
      <c r="C151" t="s">
        <v>3569</v>
      </c>
      <c r="D151" s="77">
        <v>0.60069444444444442</v>
      </c>
      <c r="E151" t="s">
        <v>3314</v>
      </c>
      <c r="F151">
        <v>54</v>
      </c>
      <c r="G151" t="s">
        <v>3315</v>
      </c>
      <c r="H151">
        <v>30000</v>
      </c>
      <c r="I151" t="s">
        <v>3316</v>
      </c>
      <c r="J151">
        <v>30000</v>
      </c>
      <c r="K151">
        <v>120000</v>
      </c>
      <c r="L151" t="s">
        <v>118</v>
      </c>
      <c r="M151" t="s">
        <v>90</v>
      </c>
      <c r="N151" t="s">
        <v>110</v>
      </c>
      <c r="O151" t="s">
        <v>3455</v>
      </c>
      <c r="P151" s="5" t="s">
        <v>3318</v>
      </c>
      <c r="Q151">
        <v>4</v>
      </c>
    </row>
    <row r="152" spans="1:17" x14ac:dyDescent="0.3">
      <c r="A152" s="4">
        <v>44613</v>
      </c>
      <c r="B152" t="s">
        <v>3571</v>
      </c>
      <c r="C152" t="s">
        <v>3569</v>
      </c>
      <c r="D152" s="77">
        <v>0.61805555555555558</v>
      </c>
      <c r="E152" t="s">
        <v>3314</v>
      </c>
      <c r="F152">
        <v>43</v>
      </c>
      <c r="G152" t="s">
        <v>3315</v>
      </c>
      <c r="H152">
        <v>20000</v>
      </c>
      <c r="I152" t="s">
        <v>3316</v>
      </c>
      <c r="J152">
        <v>20000</v>
      </c>
      <c r="K152">
        <v>80000</v>
      </c>
      <c r="L152" t="s">
        <v>118</v>
      </c>
      <c r="M152" t="s">
        <v>90</v>
      </c>
      <c r="N152" t="s">
        <v>110</v>
      </c>
      <c r="O152" t="s">
        <v>3455</v>
      </c>
      <c r="P152" s="5" t="s">
        <v>3318</v>
      </c>
      <c r="Q152">
        <v>4</v>
      </c>
    </row>
    <row r="153" spans="1:17" x14ac:dyDescent="0.3">
      <c r="A153" s="4">
        <v>44613</v>
      </c>
      <c r="B153" t="s">
        <v>3572</v>
      </c>
      <c r="C153" t="s">
        <v>3569</v>
      </c>
      <c r="D153" s="77">
        <v>0.61805555555555558</v>
      </c>
      <c r="E153" t="s">
        <v>3314</v>
      </c>
      <c r="F153">
        <v>43</v>
      </c>
      <c r="G153" t="s">
        <v>3315</v>
      </c>
      <c r="H153">
        <v>20000</v>
      </c>
      <c r="I153" t="s">
        <v>3316</v>
      </c>
      <c r="J153">
        <v>20000</v>
      </c>
      <c r="K153">
        <v>80000</v>
      </c>
      <c r="L153" t="s">
        <v>118</v>
      </c>
      <c r="M153" t="s">
        <v>90</v>
      </c>
      <c r="N153" t="s">
        <v>110</v>
      </c>
      <c r="O153" t="s">
        <v>3455</v>
      </c>
      <c r="P153" s="5" t="s">
        <v>3318</v>
      </c>
      <c r="Q153">
        <v>4</v>
      </c>
    </row>
    <row r="154" spans="1:17" x14ac:dyDescent="0.3">
      <c r="A154" s="4">
        <v>44613</v>
      </c>
      <c r="B154" t="s">
        <v>3573</v>
      </c>
      <c r="C154" t="s">
        <v>3574</v>
      </c>
      <c r="D154" s="77">
        <v>0.62013888888888891</v>
      </c>
      <c r="E154" t="s">
        <v>3332</v>
      </c>
      <c r="F154">
        <v>24</v>
      </c>
      <c r="G154" t="s">
        <v>3575</v>
      </c>
      <c r="H154">
        <v>30000</v>
      </c>
      <c r="I154" t="s">
        <v>3575</v>
      </c>
      <c r="J154">
        <v>30000</v>
      </c>
      <c r="K154">
        <v>150000</v>
      </c>
      <c r="L154" t="s">
        <v>116</v>
      </c>
      <c r="M154" t="s">
        <v>111</v>
      </c>
      <c r="N154" t="s">
        <v>112</v>
      </c>
      <c r="O154" t="s">
        <v>3345</v>
      </c>
      <c r="P154" s="5" t="s">
        <v>3318</v>
      </c>
      <c r="Q154">
        <v>5</v>
      </c>
    </row>
    <row r="155" spans="1:17" x14ac:dyDescent="0.3">
      <c r="A155" s="4">
        <v>44613</v>
      </c>
      <c r="B155" t="s">
        <v>3576</v>
      </c>
      <c r="C155" t="s">
        <v>3577</v>
      </c>
      <c r="D155" s="77">
        <v>0.65208333333333335</v>
      </c>
      <c r="E155" t="s">
        <v>3314</v>
      </c>
      <c r="F155">
        <v>30</v>
      </c>
      <c r="G155" t="s">
        <v>3315</v>
      </c>
      <c r="H155">
        <v>30000</v>
      </c>
      <c r="I155" t="s">
        <v>3316</v>
      </c>
      <c r="J155">
        <v>30000</v>
      </c>
      <c r="K155">
        <v>135000</v>
      </c>
      <c r="L155" t="s">
        <v>114</v>
      </c>
      <c r="M155" t="s">
        <v>31</v>
      </c>
      <c r="N155" t="s">
        <v>105</v>
      </c>
      <c r="O155" t="s">
        <v>3339</v>
      </c>
      <c r="P155" s="5" t="s">
        <v>3318</v>
      </c>
      <c r="Q155">
        <v>4.5</v>
      </c>
    </row>
    <row r="156" spans="1:17" x14ac:dyDescent="0.3">
      <c r="A156" s="4">
        <v>44613</v>
      </c>
      <c r="B156" t="s">
        <v>3578</v>
      </c>
      <c r="C156" t="s">
        <v>3579</v>
      </c>
      <c r="D156" s="77">
        <v>0.65902777777777777</v>
      </c>
      <c r="E156" t="s">
        <v>3314</v>
      </c>
      <c r="F156">
        <v>62</v>
      </c>
      <c r="G156" t="s">
        <v>3315</v>
      </c>
      <c r="H156">
        <v>30000</v>
      </c>
      <c r="I156" t="s">
        <v>3316</v>
      </c>
      <c r="J156">
        <v>30000</v>
      </c>
      <c r="K156">
        <v>90000</v>
      </c>
      <c r="L156" t="s">
        <v>149</v>
      </c>
      <c r="M156" t="s">
        <v>3033</v>
      </c>
      <c r="N156" t="s">
        <v>3035</v>
      </c>
      <c r="O156" t="s">
        <v>3542</v>
      </c>
      <c r="P156" s="5" t="s">
        <v>3318</v>
      </c>
      <c r="Q156">
        <v>3</v>
      </c>
    </row>
    <row r="157" spans="1:17" x14ac:dyDescent="0.3">
      <c r="A157" s="4">
        <v>44613</v>
      </c>
      <c r="B157" t="s">
        <v>3580</v>
      </c>
      <c r="C157" t="s">
        <v>3574</v>
      </c>
      <c r="D157" s="77">
        <v>0.66111111111111109</v>
      </c>
      <c r="E157" t="s">
        <v>3332</v>
      </c>
      <c r="F157">
        <v>55</v>
      </c>
      <c r="G157" t="s">
        <v>3315</v>
      </c>
      <c r="H157">
        <v>30000</v>
      </c>
      <c r="I157" t="s">
        <v>3316</v>
      </c>
      <c r="J157">
        <v>30000</v>
      </c>
      <c r="K157">
        <v>120000</v>
      </c>
      <c r="L157" t="s">
        <v>118</v>
      </c>
      <c r="M157" t="s">
        <v>145</v>
      </c>
      <c r="N157" t="s">
        <v>146</v>
      </c>
      <c r="O157" t="s">
        <v>3333</v>
      </c>
      <c r="P157" s="5" t="s">
        <v>3318</v>
      </c>
      <c r="Q157">
        <v>4</v>
      </c>
    </row>
    <row r="158" spans="1:17" x14ac:dyDescent="0.3">
      <c r="A158" s="4">
        <v>44613</v>
      </c>
      <c r="B158" t="s">
        <v>3581</v>
      </c>
      <c r="C158" t="s">
        <v>3582</v>
      </c>
      <c r="D158" s="77">
        <v>0.67361111111111116</v>
      </c>
      <c r="E158" t="s">
        <v>3314</v>
      </c>
      <c r="F158">
        <v>51</v>
      </c>
      <c r="G158" t="s">
        <v>3315</v>
      </c>
      <c r="H158">
        <v>20000</v>
      </c>
      <c r="I158" t="s">
        <v>3316</v>
      </c>
      <c r="J158">
        <v>20000</v>
      </c>
      <c r="K158">
        <v>80000</v>
      </c>
      <c r="L158" t="s">
        <v>118</v>
      </c>
      <c r="M158" t="s">
        <v>85</v>
      </c>
      <c r="N158" t="s">
        <v>109</v>
      </c>
      <c r="O158" t="s">
        <v>3342</v>
      </c>
      <c r="P158" s="5" t="s">
        <v>3318</v>
      </c>
      <c r="Q158">
        <v>4</v>
      </c>
    </row>
    <row r="159" spans="1:17" x14ac:dyDescent="0.3">
      <c r="A159" s="4">
        <v>44613</v>
      </c>
      <c r="B159" t="s">
        <v>3583</v>
      </c>
      <c r="C159" t="s">
        <v>3584</v>
      </c>
      <c r="D159" s="77">
        <v>0.68402777777777779</v>
      </c>
      <c r="E159" t="s">
        <v>3314</v>
      </c>
      <c r="F159">
        <v>57</v>
      </c>
      <c r="G159" t="s">
        <v>3315</v>
      </c>
      <c r="H159">
        <v>30000</v>
      </c>
      <c r="I159" t="s">
        <v>3316</v>
      </c>
      <c r="J159">
        <v>30000</v>
      </c>
      <c r="K159">
        <v>120000</v>
      </c>
      <c r="L159" t="s">
        <v>118</v>
      </c>
      <c r="M159" t="s">
        <v>24</v>
      </c>
      <c r="N159" t="s">
        <v>103</v>
      </c>
      <c r="O159" t="s">
        <v>3585</v>
      </c>
      <c r="P159" s="5" t="s">
        <v>3318</v>
      </c>
      <c r="Q159">
        <v>4</v>
      </c>
    </row>
    <row r="160" spans="1:17" x14ac:dyDescent="0.3">
      <c r="A160" s="4">
        <v>44613</v>
      </c>
      <c r="B160" t="s">
        <v>3586</v>
      </c>
      <c r="C160" t="s">
        <v>3577</v>
      </c>
      <c r="D160" s="77">
        <v>0.69236111111111109</v>
      </c>
      <c r="E160" t="s">
        <v>3314</v>
      </c>
      <c r="F160">
        <v>59</v>
      </c>
      <c r="G160" t="s">
        <v>3315</v>
      </c>
      <c r="H160">
        <v>20000</v>
      </c>
      <c r="I160" t="s">
        <v>3316</v>
      </c>
      <c r="J160">
        <v>20000</v>
      </c>
      <c r="K160">
        <v>90000</v>
      </c>
      <c r="L160" t="s">
        <v>114</v>
      </c>
      <c r="M160" t="s">
        <v>31</v>
      </c>
      <c r="N160" t="s">
        <v>105</v>
      </c>
      <c r="O160" t="s">
        <v>3339</v>
      </c>
      <c r="P160" s="5" t="s">
        <v>3318</v>
      </c>
      <c r="Q160">
        <v>4.5</v>
      </c>
    </row>
    <row r="161" spans="1:17" x14ac:dyDescent="0.3">
      <c r="A161" s="4">
        <v>44613</v>
      </c>
      <c r="B161" t="s">
        <v>3587</v>
      </c>
      <c r="C161" t="s">
        <v>3577</v>
      </c>
      <c r="D161" s="77">
        <v>0.70347222222222217</v>
      </c>
      <c r="E161" t="s">
        <v>3314</v>
      </c>
      <c r="F161">
        <v>28</v>
      </c>
      <c r="G161" t="s">
        <v>3315</v>
      </c>
      <c r="H161">
        <v>20000</v>
      </c>
      <c r="I161" t="s">
        <v>3348</v>
      </c>
      <c r="J161">
        <v>20000</v>
      </c>
      <c r="K161">
        <v>90000</v>
      </c>
      <c r="L161" t="s">
        <v>114</v>
      </c>
      <c r="M161" t="s">
        <v>31</v>
      </c>
      <c r="N161" t="s">
        <v>105</v>
      </c>
      <c r="O161" t="s">
        <v>3339</v>
      </c>
      <c r="P161" s="5" t="s">
        <v>3318</v>
      </c>
      <c r="Q161">
        <v>4.5</v>
      </c>
    </row>
    <row r="162" spans="1:17" x14ac:dyDescent="0.3">
      <c r="A162" s="4">
        <v>44613</v>
      </c>
      <c r="B162" t="s">
        <v>3588</v>
      </c>
      <c r="C162" t="s">
        <v>3582</v>
      </c>
      <c r="D162" s="77">
        <v>0.70972222222222225</v>
      </c>
      <c r="E162" t="s">
        <v>3314</v>
      </c>
      <c r="F162">
        <v>64</v>
      </c>
      <c r="G162" t="s">
        <v>3315</v>
      </c>
      <c r="H162">
        <v>20000</v>
      </c>
      <c r="I162" t="s">
        <v>3316</v>
      </c>
      <c r="J162">
        <v>20000</v>
      </c>
      <c r="K162">
        <v>80000</v>
      </c>
      <c r="L162" t="s">
        <v>118</v>
      </c>
      <c r="M162" t="s">
        <v>91</v>
      </c>
      <c r="N162" t="s">
        <v>136</v>
      </c>
      <c r="O162" t="s">
        <v>3422</v>
      </c>
      <c r="P162" s="5" t="s">
        <v>3318</v>
      </c>
      <c r="Q162">
        <v>4</v>
      </c>
    </row>
    <row r="163" spans="1:17" x14ac:dyDescent="0.3">
      <c r="A163" s="4">
        <v>44613</v>
      </c>
      <c r="B163" t="s">
        <v>3589</v>
      </c>
      <c r="C163" t="s">
        <v>3577</v>
      </c>
      <c r="D163" s="77">
        <v>0.74305555555555547</v>
      </c>
      <c r="E163" t="s">
        <v>3314</v>
      </c>
      <c r="F163">
        <v>73</v>
      </c>
      <c r="G163" t="s">
        <v>3315</v>
      </c>
      <c r="H163">
        <v>20000</v>
      </c>
      <c r="I163" t="s">
        <v>3316</v>
      </c>
      <c r="J163">
        <v>20000</v>
      </c>
      <c r="K163">
        <v>80000</v>
      </c>
      <c r="L163" t="s">
        <v>118</v>
      </c>
      <c r="M163" t="s">
        <v>3023</v>
      </c>
      <c r="N163" t="s">
        <v>3025</v>
      </c>
      <c r="O163" t="s">
        <v>3481</v>
      </c>
      <c r="P163" s="5" t="s">
        <v>3318</v>
      </c>
      <c r="Q163">
        <v>4</v>
      </c>
    </row>
    <row r="164" spans="1:17" x14ac:dyDescent="0.3">
      <c r="A164" s="4">
        <v>44613</v>
      </c>
      <c r="B164" t="s">
        <v>3590</v>
      </c>
      <c r="C164" t="s">
        <v>3569</v>
      </c>
      <c r="D164" s="77">
        <v>0.74305555555555547</v>
      </c>
      <c r="E164" t="s">
        <v>3314</v>
      </c>
      <c r="F164">
        <v>46</v>
      </c>
      <c r="G164" t="s">
        <v>3315</v>
      </c>
      <c r="H164">
        <v>20000</v>
      </c>
      <c r="I164" t="s">
        <v>3316</v>
      </c>
      <c r="J164">
        <v>20000</v>
      </c>
      <c r="K164">
        <v>80000</v>
      </c>
      <c r="L164" t="s">
        <v>118</v>
      </c>
      <c r="M164" t="s">
        <v>90</v>
      </c>
      <c r="N164" t="s">
        <v>110</v>
      </c>
      <c r="O164" t="s">
        <v>3455</v>
      </c>
      <c r="P164" s="5" t="s">
        <v>3318</v>
      </c>
      <c r="Q164">
        <v>4</v>
      </c>
    </row>
    <row r="165" spans="1:17" x14ac:dyDescent="0.3">
      <c r="A165" s="4">
        <v>44613</v>
      </c>
      <c r="B165" t="s">
        <v>3591</v>
      </c>
      <c r="C165" t="s">
        <v>3592</v>
      </c>
      <c r="D165" s="77">
        <v>0.75347222222222221</v>
      </c>
      <c r="E165" t="s">
        <v>3314</v>
      </c>
      <c r="F165">
        <v>57</v>
      </c>
      <c r="G165" t="s">
        <v>3315</v>
      </c>
      <c r="H165">
        <v>20000</v>
      </c>
      <c r="I165" t="s">
        <v>3316</v>
      </c>
      <c r="J165">
        <v>20000</v>
      </c>
      <c r="K165">
        <v>80000</v>
      </c>
      <c r="L165" t="s">
        <v>118</v>
      </c>
      <c r="M165" t="s">
        <v>84</v>
      </c>
      <c r="N165" t="s">
        <v>108</v>
      </c>
      <c r="O165" t="s">
        <v>3366</v>
      </c>
      <c r="P165" s="5" t="s">
        <v>3318</v>
      </c>
      <c r="Q165">
        <v>4</v>
      </c>
    </row>
    <row r="166" spans="1:17" x14ac:dyDescent="0.3">
      <c r="A166" s="4">
        <v>44613</v>
      </c>
      <c r="B166" t="s">
        <v>3593</v>
      </c>
      <c r="C166" t="s">
        <v>3594</v>
      </c>
      <c r="D166" s="77">
        <v>0.79166666666666663</v>
      </c>
      <c r="E166" t="s">
        <v>3314</v>
      </c>
      <c r="F166">
        <v>43</v>
      </c>
      <c r="G166" t="s">
        <v>3315</v>
      </c>
      <c r="H166">
        <v>20000</v>
      </c>
      <c r="I166" t="s">
        <v>3488</v>
      </c>
      <c r="J166">
        <v>10000</v>
      </c>
      <c r="K166">
        <v>40000</v>
      </c>
      <c r="L166" t="s">
        <v>118</v>
      </c>
      <c r="M166" t="s">
        <v>28</v>
      </c>
      <c r="N166" t="s">
        <v>132</v>
      </c>
      <c r="O166" t="s">
        <v>3449</v>
      </c>
      <c r="P166" s="5" t="s">
        <v>3318</v>
      </c>
      <c r="Q166">
        <v>4</v>
      </c>
    </row>
    <row r="167" spans="1:17" x14ac:dyDescent="0.3">
      <c r="A167" s="4">
        <v>44613</v>
      </c>
      <c r="B167" t="s">
        <v>3595</v>
      </c>
      <c r="C167" t="s">
        <v>3592</v>
      </c>
      <c r="D167" s="77">
        <v>0.79375000000000007</v>
      </c>
      <c r="E167" t="s">
        <v>3314</v>
      </c>
      <c r="F167">
        <v>31</v>
      </c>
      <c r="G167" t="s">
        <v>3315</v>
      </c>
      <c r="H167">
        <v>50000</v>
      </c>
      <c r="I167" t="s">
        <v>3316</v>
      </c>
      <c r="J167">
        <v>50000</v>
      </c>
      <c r="K167">
        <v>200000</v>
      </c>
      <c r="L167" t="s">
        <v>118</v>
      </c>
      <c r="M167" t="s">
        <v>84</v>
      </c>
      <c r="N167" t="s">
        <v>108</v>
      </c>
      <c r="O167" t="s">
        <v>3366</v>
      </c>
      <c r="P167" s="5" t="s">
        <v>3318</v>
      </c>
      <c r="Q167">
        <v>4</v>
      </c>
    </row>
    <row r="168" spans="1:17" x14ac:dyDescent="0.3">
      <c r="A168" s="4">
        <v>44613</v>
      </c>
      <c r="B168" t="s">
        <v>3596</v>
      </c>
      <c r="C168" t="s">
        <v>3579</v>
      </c>
      <c r="D168" s="77">
        <v>0.7944444444444444</v>
      </c>
      <c r="E168" t="s">
        <v>3314</v>
      </c>
      <c r="F168">
        <v>40</v>
      </c>
      <c r="G168" t="s">
        <v>3315</v>
      </c>
      <c r="H168">
        <v>20000</v>
      </c>
      <c r="I168" t="s">
        <v>3316</v>
      </c>
      <c r="J168">
        <v>20000</v>
      </c>
      <c r="K168">
        <v>90000</v>
      </c>
      <c r="L168" t="s">
        <v>119</v>
      </c>
      <c r="M168" t="s">
        <v>29</v>
      </c>
      <c r="N168" t="s">
        <v>104</v>
      </c>
      <c r="O168" t="s">
        <v>3457</v>
      </c>
      <c r="P168" s="5" t="s">
        <v>3318</v>
      </c>
      <c r="Q168">
        <v>4.5</v>
      </c>
    </row>
    <row r="169" spans="1:17" x14ac:dyDescent="0.3">
      <c r="A169" s="4">
        <v>44613</v>
      </c>
      <c r="B169" t="s">
        <v>3597</v>
      </c>
      <c r="C169" t="s">
        <v>3582</v>
      </c>
      <c r="D169" s="77">
        <v>0.80902777777777779</v>
      </c>
      <c r="E169" t="s">
        <v>3314</v>
      </c>
      <c r="F169">
        <v>56</v>
      </c>
      <c r="G169" t="s">
        <v>3315</v>
      </c>
      <c r="H169">
        <v>20000</v>
      </c>
      <c r="I169" t="s">
        <v>3316</v>
      </c>
      <c r="J169">
        <v>20000</v>
      </c>
      <c r="K169">
        <v>80000</v>
      </c>
      <c r="L169" t="s">
        <v>118</v>
      </c>
      <c r="M169" t="s">
        <v>85</v>
      </c>
      <c r="N169" t="s">
        <v>109</v>
      </c>
      <c r="O169" t="s">
        <v>3342</v>
      </c>
      <c r="P169" s="5" t="s">
        <v>3318</v>
      </c>
      <c r="Q169">
        <v>4</v>
      </c>
    </row>
    <row r="170" spans="1:17" x14ac:dyDescent="0.3">
      <c r="A170" s="4">
        <v>44613</v>
      </c>
      <c r="B170" t="s">
        <v>3598</v>
      </c>
      <c r="C170" t="s">
        <v>3594</v>
      </c>
      <c r="D170" s="77">
        <v>0.8125</v>
      </c>
      <c r="E170" t="s">
        <v>3314</v>
      </c>
      <c r="F170">
        <v>58</v>
      </c>
      <c r="G170" t="s">
        <v>3315</v>
      </c>
      <c r="H170">
        <v>20000</v>
      </c>
      <c r="I170" t="s">
        <v>3316</v>
      </c>
      <c r="J170">
        <v>20000</v>
      </c>
      <c r="K170">
        <v>80000</v>
      </c>
      <c r="L170" t="s">
        <v>118</v>
      </c>
      <c r="M170" t="s">
        <v>28</v>
      </c>
      <c r="N170" t="s">
        <v>132</v>
      </c>
      <c r="O170" t="s">
        <v>3449</v>
      </c>
      <c r="P170" s="5" t="s">
        <v>3318</v>
      </c>
      <c r="Q170">
        <v>4</v>
      </c>
    </row>
    <row r="171" spans="1:17" x14ac:dyDescent="0.3">
      <c r="A171" s="4">
        <v>44613</v>
      </c>
      <c r="B171" t="s">
        <v>3599</v>
      </c>
      <c r="C171" t="s">
        <v>3600</v>
      </c>
      <c r="D171" s="77">
        <v>0.8256944444444444</v>
      </c>
      <c r="E171" t="s">
        <v>3314</v>
      </c>
      <c r="F171">
        <v>34</v>
      </c>
      <c r="G171" t="s">
        <v>3315</v>
      </c>
      <c r="H171">
        <v>20000</v>
      </c>
      <c r="I171" t="s">
        <v>3316</v>
      </c>
      <c r="J171">
        <v>20000</v>
      </c>
      <c r="K171">
        <v>80000</v>
      </c>
      <c r="L171" t="s">
        <v>118</v>
      </c>
      <c r="M171" t="s">
        <v>2729</v>
      </c>
      <c r="N171" t="s">
        <v>121</v>
      </c>
      <c r="O171" t="s">
        <v>3416</v>
      </c>
      <c r="P171" s="5" t="s">
        <v>3318</v>
      </c>
      <c r="Q171">
        <v>4</v>
      </c>
    </row>
    <row r="172" spans="1:17" x14ac:dyDescent="0.3">
      <c r="A172" s="4">
        <v>44613</v>
      </c>
      <c r="B172" t="s">
        <v>3601</v>
      </c>
      <c r="C172" t="s">
        <v>3582</v>
      </c>
      <c r="D172" s="77">
        <v>0.83680555555555547</v>
      </c>
      <c r="E172" t="s">
        <v>3314</v>
      </c>
      <c r="F172">
        <v>48</v>
      </c>
      <c r="G172" t="s">
        <v>3315</v>
      </c>
      <c r="H172">
        <v>20000</v>
      </c>
      <c r="I172" t="s">
        <v>3316</v>
      </c>
      <c r="J172">
        <v>20000</v>
      </c>
      <c r="K172">
        <v>80000</v>
      </c>
      <c r="L172" t="s">
        <v>118</v>
      </c>
      <c r="M172" t="s">
        <v>85</v>
      </c>
      <c r="N172" t="s">
        <v>109</v>
      </c>
      <c r="O172" t="s">
        <v>3342</v>
      </c>
      <c r="P172" s="5" t="s">
        <v>3318</v>
      </c>
      <c r="Q172">
        <v>4</v>
      </c>
    </row>
    <row r="173" spans="1:17" x14ac:dyDescent="0.3">
      <c r="A173" s="4">
        <v>44613</v>
      </c>
      <c r="B173" t="s">
        <v>3602</v>
      </c>
      <c r="C173" t="s">
        <v>3582</v>
      </c>
      <c r="D173" s="77">
        <v>0.84652777777777777</v>
      </c>
      <c r="E173" t="s">
        <v>3314</v>
      </c>
      <c r="F173">
        <v>53</v>
      </c>
      <c r="G173" t="s">
        <v>3315</v>
      </c>
      <c r="H173">
        <v>20000</v>
      </c>
      <c r="I173" t="s">
        <v>3348</v>
      </c>
      <c r="J173">
        <v>20000</v>
      </c>
      <c r="K173">
        <v>80000</v>
      </c>
      <c r="L173" t="s">
        <v>118</v>
      </c>
      <c r="M173" t="s">
        <v>91</v>
      </c>
      <c r="N173" t="s">
        <v>136</v>
      </c>
      <c r="O173" t="s">
        <v>3422</v>
      </c>
      <c r="P173" s="5" t="s">
        <v>3318</v>
      </c>
      <c r="Q173">
        <v>4</v>
      </c>
    </row>
    <row r="174" spans="1:17" x14ac:dyDescent="0.3">
      <c r="A174" s="4">
        <v>44613</v>
      </c>
      <c r="B174" t="s">
        <v>3603</v>
      </c>
      <c r="C174" t="s">
        <v>3604</v>
      </c>
      <c r="D174" s="77">
        <v>0.86319444444444438</v>
      </c>
      <c r="E174" t="s">
        <v>3314</v>
      </c>
      <c r="F174">
        <v>63</v>
      </c>
      <c r="G174" t="s">
        <v>3315</v>
      </c>
      <c r="H174">
        <v>20000</v>
      </c>
      <c r="I174" t="s">
        <v>3316</v>
      </c>
      <c r="J174">
        <v>20000</v>
      </c>
      <c r="K174">
        <v>80000</v>
      </c>
      <c r="L174" t="s">
        <v>118</v>
      </c>
      <c r="M174" t="s">
        <v>88</v>
      </c>
      <c r="N174" t="s">
        <v>117</v>
      </c>
      <c r="O174" t="s">
        <v>3494</v>
      </c>
      <c r="P174" s="5" t="s">
        <v>3318</v>
      </c>
      <c r="Q174">
        <v>4</v>
      </c>
    </row>
    <row r="175" spans="1:17" x14ac:dyDescent="0.3">
      <c r="A175" s="4">
        <v>44614</v>
      </c>
      <c r="B175" t="s">
        <v>3605</v>
      </c>
      <c r="C175" t="s">
        <v>3606</v>
      </c>
      <c r="D175" s="77">
        <v>0.4548611111111111</v>
      </c>
      <c r="E175" t="s">
        <v>3314</v>
      </c>
      <c r="F175">
        <v>57</v>
      </c>
      <c r="G175" t="s">
        <v>3315</v>
      </c>
      <c r="H175">
        <v>20000</v>
      </c>
      <c r="I175" t="s">
        <v>3316</v>
      </c>
      <c r="J175">
        <v>20000</v>
      </c>
      <c r="K175">
        <v>80000</v>
      </c>
      <c r="L175" t="s">
        <v>118</v>
      </c>
      <c r="M175" t="s">
        <v>24</v>
      </c>
      <c r="N175" t="s">
        <v>103</v>
      </c>
      <c r="O175" t="s">
        <v>3585</v>
      </c>
      <c r="P175" s="5" t="s">
        <v>3318</v>
      </c>
      <c r="Q175">
        <v>4</v>
      </c>
    </row>
    <row r="176" spans="1:17" x14ac:dyDescent="0.3">
      <c r="A176" s="4">
        <v>44614</v>
      </c>
      <c r="B176" t="s">
        <v>3607</v>
      </c>
      <c r="C176" t="s">
        <v>3608</v>
      </c>
      <c r="D176" s="77">
        <v>0.56944444444444442</v>
      </c>
      <c r="E176" t="s">
        <v>3332</v>
      </c>
      <c r="F176">
        <v>81</v>
      </c>
      <c r="G176" t="s">
        <v>3315</v>
      </c>
      <c r="H176">
        <v>20000</v>
      </c>
      <c r="I176" t="s">
        <v>3316</v>
      </c>
      <c r="J176">
        <v>20000</v>
      </c>
      <c r="K176">
        <v>100000</v>
      </c>
      <c r="L176" t="s">
        <v>114</v>
      </c>
      <c r="M176" t="s">
        <v>23</v>
      </c>
      <c r="N176" t="s">
        <v>99</v>
      </c>
      <c r="O176" t="s">
        <v>3358</v>
      </c>
      <c r="P176" s="5" t="s">
        <v>3318</v>
      </c>
      <c r="Q176">
        <v>5</v>
      </c>
    </row>
    <row r="177" spans="1:17" x14ac:dyDescent="0.3">
      <c r="A177" s="4">
        <v>44614</v>
      </c>
      <c r="B177" t="s">
        <v>3609</v>
      </c>
      <c r="C177" t="s">
        <v>3610</v>
      </c>
      <c r="D177" s="77">
        <v>0.59305555555555556</v>
      </c>
      <c r="E177" t="s">
        <v>3314</v>
      </c>
      <c r="F177">
        <v>43</v>
      </c>
      <c r="G177" t="s">
        <v>3315</v>
      </c>
      <c r="H177">
        <v>20000</v>
      </c>
      <c r="I177" t="s">
        <v>3316</v>
      </c>
      <c r="J177">
        <v>20000</v>
      </c>
      <c r="K177">
        <v>80000</v>
      </c>
      <c r="L177" t="s">
        <v>118</v>
      </c>
      <c r="M177" t="s">
        <v>86</v>
      </c>
      <c r="N177" t="s">
        <v>120</v>
      </c>
      <c r="O177" t="s">
        <v>3446</v>
      </c>
      <c r="P177" s="5" t="s">
        <v>3318</v>
      </c>
      <c r="Q177">
        <v>4</v>
      </c>
    </row>
    <row r="178" spans="1:17" x14ac:dyDescent="0.3">
      <c r="A178" s="4">
        <v>44614</v>
      </c>
      <c r="B178" t="s">
        <v>3611</v>
      </c>
      <c r="C178" t="s">
        <v>3612</v>
      </c>
      <c r="D178" s="77">
        <v>0.59375</v>
      </c>
      <c r="E178" t="s">
        <v>3314</v>
      </c>
      <c r="F178">
        <v>29</v>
      </c>
      <c r="G178" t="s">
        <v>3315</v>
      </c>
      <c r="H178">
        <v>30000</v>
      </c>
      <c r="I178" t="s">
        <v>3316</v>
      </c>
      <c r="J178">
        <v>30000</v>
      </c>
      <c r="K178">
        <v>135000</v>
      </c>
      <c r="L178" t="s">
        <v>114</v>
      </c>
      <c r="M178" t="s">
        <v>79</v>
      </c>
      <c r="N178" t="s">
        <v>131</v>
      </c>
      <c r="O178" t="s">
        <v>3465</v>
      </c>
      <c r="P178" s="5" t="s">
        <v>3318</v>
      </c>
      <c r="Q178">
        <v>4.5</v>
      </c>
    </row>
    <row r="179" spans="1:17" x14ac:dyDescent="0.3">
      <c r="A179" s="4">
        <v>44614</v>
      </c>
      <c r="B179" t="s">
        <v>3613</v>
      </c>
      <c r="C179" t="s">
        <v>3577</v>
      </c>
      <c r="D179" s="77">
        <v>0.60625000000000007</v>
      </c>
      <c r="E179" t="s">
        <v>3314</v>
      </c>
      <c r="F179">
        <v>33</v>
      </c>
      <c r="G179" t="s">
        <v>3315</v>
      </c>
      <c r="H179">
        <v>20000</v>
      </c>
      <c r="I179" t="s">
        <v>3488</v>
      </c>
      <c r="J179">
        <v>5000</v>
      </c>
      <c r="K179">
        <v>20000</v>
      </c>
      <c r="L179" t="s">
        <v>118</v>
      </c>
      <c r="M179" t="s">
        <v>92</v>
      </c>
      <c r="N179" t="s">
        <v>137</v>
      </c>
      <c r="O179" t="s">
        <v>3476</v>
      </c>
      <c r="P179" s="5" t="s">
        <v>3318</v>
      </c>
      <c r="Q179">
        <v>4</v>
      </c>
    </row>
    <row r="180" spans="1:17" x14ac:dyDescent="0.3">
      <c r="A180" s="4">
        <v>44614</v>
      </c>
      <c r="B180" t="s">
        <v>3614</v>
      </c>
      <c r="C180" t="s">
        <v>3608</v>
      </c>
      <c r="D180" s="77">
        <v>0.625</v>
      </c>
      <c r="E180" t="s">
        <v>3332</v>
      </c>
      <c r="F180">
        <v>59</v>
      </c>
      <c r="G180" t="s">
        <v>3315</v>
      </c>
      <c r="H180">
        <v>20000</v>
      </c>
      <c r="I180" t="s">
        <v>3316</v>
      </c>
      <c r="J180">
        <v>20000</v>
      </c>
      <c r="K180">
        <v>100000</v>
      </c>
      <c r="L180" t="s">
        <v>116</v>
      </c>
      <c r="M180" t="s">
        <v>73</v>
      </c>
      <c r="N180" t="s">
        <v>115</v>
      </c>
      <c r="O180" t="s">
        <v>3349</v>
      </c>
      <c r="P180" s="5" t="s">
        <v>3318</v>
      </c>
      <c r="Q180">
        <v>5</v>
      </c>
    </row>
    <row r="181" spans="1:17" x14ac:dyDescent="0.3">
      <c r="A181" s="4">
        <v>44614</v>
      </c>
      <c r="B181" t="s">
        <v>3615</v>
      </c>
      <c r="C181" t="s">
        <v>3608</v>
      </c>
      <c r="D181" s="77">
        <v>0.63194444444444442</v>
      </c>
      <c r="E181" t="s">
        <v>3332</v>
      </c>
      <c r="F181">
        <v>84</v>
      </c>
      <c r="G181" t="s">
        <v>3315</v>
      </c>
      <c r="H181">
        <v>20000</v>
      </c>
      <c r="I181" t="s">
        <v>3316</v>
      </c>
      <c r="J181">
        <v>20000</v>
      </c>
      <c r="K181">
        <v>100000</v>
      </c>
      <c r="L181" t="s">
        <v>114</v>
      </c>
      <c r="M181" t="s">
        <v>23</v>
      </c>
      <c r="N181" t="s">
        <v>99</v>
      </c>
      <c r="O181" t="s">
        <v>3358</v>
      </c>
      <c r="P181" s="5" t="s">
        <v>3318</v>
      </c>
      <c r="Q181">
        <v>5</v>
      </c>
    </row>
    <row r="182" spans="1:17" x14ac:dyDescent="0.3">
      <c r="A182" s="4">
        <v>44614</v>
      </c>
      <c r="B182" t="s">
        <v>3616</v>
      </c>
      <c r="C182" t="s">
        <v>3617</v>
      </c>
      <c r="D182" s="77">
        <v>0.64513888888888882</v>
      </c>
      <c r="E182" t="s">
        <v>3314</v>
      </c>
      <c r="F182">
        <v>25</v>
      </c>
      <c r="G182" t="s">
        <v>3315</v>
      </c>
      <c r="H182">
        <v>20000</v>
      </c>
      <c r="I182" t="s">
        <v>3316</v>
      </c>
      <c r="J182">
        <v>20000</v>
      </c>
      <c r="K182">
        <v>80000</v>
      </c>
      <c r="L182" t="s">
        <v>118</v>
      </c>
      <c r="M182" t="s">
        <v>84</v>
      </c>
      <c r="N182" t="s">
        <v>108</v>
      </c>
      <c r="O182" t="s">
        <v>3366</v>
      </c>
      <c r="P182" s="5" t="s">
        <v>3318</v>
      </c>
      <c r="Q182">
        <v>4</v>
      </c>
    </row>
    <row r="183" spans="1:17" x14ac:dyDescent="0.3">
      <c r="A183" s="4">
        <v>44614</v>
      </c>
      <c r="B183" t="s">
        <v>3618</v>
      </c>
      <c r="C183" t="s">
        <v>3610</v>
      </c>
      <c r="D183" s="77">
        <v>0.66527777777777775</v>
      </c>
      <c r="E183" t="s">
        <v>3314</v>
      </c>
      <c r="F183">
        <v>49</v>
      </c>
      <c r="G183" t="s">
        <v>3315</v>
      </c>
      <c r="H183">
        <v>20000</v>
      </c>
      <c r="I183" t="s">
        <v>3316</v>
      </c>
      <c r="J183">
        <v>20000</v>
      </c>
      <c r="K183">
        <v>90000</v>
      </c>
      <c r="L183" t="s">
        <v>116</v>
      </c>
      <c r="M183" t="s">
        <v>65</v>
      </c>
      <c r="N183" t="s">
        <v>102</v>
      </c>
      <c r="O183" t="s">
        <v>3506</v>
      </c>
      <c r="P183" s="5" t="s">
        <v>3318</v>
      </c>
      <c r="Q183">
        <v>4.5</v>
      </c>
    </row>
    <row r="184" spans="1:17" x14ac:dyDescent="0.3">
      <c r="A184" s="4">
        <v>44614</v>
      </c>
      <c r="B184" t="s">
        <v>3619</v>
      </c>
      <c r="C184" t="s">
        <v>3608</v>
      </c>
      <c r="D184" s="77">
        <v>0.67361111111111116</v>
      </c>
      <c r="E184" t="s">
        <v>3332</v>
      </c>
      <c r="F184">
        <v>47</v>
      </c>
      <c r="G184" t="s">
        <v>3315</v>
      </c>
      <c r="H184">
        <v>30000</v>
      </c>
      <c r="I184" t="s">
        <v>3316</v>
      </c>
      <c r="J184">
        <v>30000</v>
      </c>
      <c r="K184">
        <v>120000</v>
      </c>
      <c r="L184" t="s">
        <v>118</v>
      </c>
      <c r="M184" t="s">
        <v>812</v>
      </c>
      <c r="N184" t="s">
        <v>814</v>
      </c>
      <c r="O184" t="s">
        <v>3412</v>
      </c>
      <c r="P184" s="5" t="s">
        <v>3318</v>
      </c>
      <c r="Q184">
        <v>4</v>
      </c>
    </row>
    <row r="185" spans="1:17" x14ac:dyDescent="0.3">
      <c r="A185" s="4">
        <v>44614</v>
      </c>
      <c r="B185" t="s">
        <v>3620</v>
      </c>
      <c r="C185" t="s">
        <v>3577</v>
      </c>
      <c r="D185" s="77">
        <v>0.6743055555555556</v>
      </c>
      <c r="E185" t="s">
        <v>3314</v>
      </c>
      <c r="F185">
        <v>43</v>
      </c>
      <c r="G185" t="s">
        <v>3315</v>
      </c>
      <c r="H185">
        <v>20000</v>
      </c>
      <c r="I185" t="s">
        <v>3316</v>
      </c>
      <c r="J185">
        <v>20000</v>
      </c>
      <c r="K185">
        <v>80000</v>
      </c>
      <c r="L185" t="s">
        <v>118</v>
      </c>
      <c r="M185" t="s">
        <v>92</v>
      </c>
      <c r="N185" t="s">
        <v>137</v>
      </c>
      <c r="O185" t="s">
        <v>3476</v>
      </c>
      <c r="P185" s="5" t="s">
        <v>3318</v>
      </c>
      <c r="Q185">
        <v>4</v>
      </c>
    </row>
    <row r="186" spans="1:17" x14ac:dyDescent="0.3">
      <c r="A186" s="4">
        <v>44614</v>
      </c>
      <c r="B186" t="s">
        <v>3621</v>
      </c>
      <c r="C186" t="s">
        <v>3577</v>
      </c>
      <c r="D186" s="77">
        <v>0.69027777777777777</v>
      </c>
      <c r="E186" t="s">
        <v>3314</v>
      </c>
      <c r="F186">
        <v>28</v>
      </c>
      <c r="G186" t="s">
        <v>3315</v>
      </c>
      <c r="H186">
        <v>20000</v>
      </c>
      <c r="I186" t="s">
        <v>3316</v>
      </c>
      <c r="J186">
        <v>20000</v>
      </c>
      <c r="K186">
        <v>90000</v>
      </c>
      <c r="L186" t="s">
        <v>114</v>
      </c>
      <c r="M186" t="s">
        <v>31</v>
      </c>
      <c r="N186" t="s">
        <v>105</v>
      </c>
      <c r="O186" t="s">
        <v>3339</v>
      </c>
      <c r="P186" s="5" t="s">
        <v>3318</v>
      </c>
      <c r="Q186">
        <v>4.5</v>
      </c>
    </row>
    <row r="187" spans="1:17" x14ac:dyDescent="0.3">
      <c r="A187" s="4">
        <v>44614</v>
      </c>
      <c r="B187" t="s">
        <v>3622</v>
      </c>
      <c r="C187" t="s">
        <v>3623</v>
      </c>
      <c r="D187" s="77">
        <v>0.6958333333333333</v>
      </c>
      <c r="E187" t="s">
        <v>3314</v>
      </c>
      <c r="F187">
        <v>69</v>
      </c>
      <c r="G187" t="s">
        <v>3315</v>
      </c>
      <c r="H187">
        <v>20000</v>
      </c>
      <c r="I187" t="s">
        <v>3316</v>
      </c>
      <c r="J187">
        <v>20000</v>
      </c>
      <c r="K187">
        <v>80000</v>
      </c>
      <c r="L187" t="s">
        <v>118</v>
      </c>
      <c r="M187" t="s">
        <v>3023</v>
      </c>
      <c r="N187" t="s">
        <v>3025</v>
      </c>
      <c r="O187" t="s">
        <v>3481</v>
      </c>
      <c r="P187" s="5" t="s">
        <v>3318</v>
      </c>
      <c r="Q187">
        <v>4</v>
      </c>
    </row>
    <row r="188" spans="1:17" x14ac:dyDescent="0.3">
      <c r="A188" s="4">
        <v>44614</v>
      </c>
      <c r="B188" t="s">
        <v>3624</v>
      </c>
      <c r="C188" t="s">
        <v>3625</v>
      </c>
      <c r="D188" s="77">
        <v>0.70833333333333337</v>
      </c>
      <c r="E188" t="s">
        <v>3314</v>
      </c>
      <c r="F188">
        <v>52</v>
      </c>
      <c r="G188" t="s">
        <v>3315</v>
      </c>
      <c r="H188">
        <v>20000</v>
      </c>
      <c r="I188" t="s">
        <v>3316</v>
      </c>
      <c r="J188">
        <v>20000</v>
      </c>
      <c r="K188">
        <v>80000</v>
      </c>
      <c r="L188" t="s">
        <v>118</v>
      </c>
      <c r="M188" t="s">
        <v>28</v>
      </c>
      <c r="N188" t="s">
        <v>132</v>
      </c>
      <c r="O188" t="s">
        <v>3449</v>
      </c>
      <c r="P188" s="5" t="s">
        <v>3318</v>
      </c>
      <c r="Q188">
        <v>4</v>
      </c>
    </row>
    <row r="189" spans="1:17" x14ac:dyDescent="0.3">
      <c r="A189" s="4">
        <v>44614</v>
      </c>
      <c r="B189" t="s">
        <v>3626</v>
      </c>
      <c r="C189" t="s">
        <v>3627</v>
      </c>
      <c r="D189" s="77">
        <v>0.71180555555555547</v>
      </c>
      <c r="E189" t="s">
        <v>3314</v>
      </c>
      <c r="F189">
        <v>25</v>
      </c>
      <c r="G189" t="s">
        <v>3315</v>
      </c>
      <c r="H189">
        <v>20000</v>
      </c>
      <c r="I189" t="s">
        <v>3316</v>
      </c>
      <c r="J189">
        <v>20000</v>
      </c>
      <c r="K189">
        <v>80000</v>
      </c>
      <c r="L189" t="s">
        <v>118</v>
      </c>
      <c r="M189" t="s">
        <v>85</v>
      </c>
      <c r="N189" t="s">
        <v>109</v>
      </c>
      <c r="O189" t="s">
        <v>3342</v>
      </c>
      <c r="P189" s="5" t="s">
        <v>3318</v>
      </c>
      <c r="Q189">
        <v>4</v>
      </c>
    </row>
    <row r="190" spans="1:17" x14ac:dyDescent="0.3">
      <c r="A190" s="4">
        <v>44614</v>
      </c>
      <c r="B190" t="s">
        <v>3628</v>
      </c>
      <c r="C190" t="s">
        <v>3604</v>
      </c>
      <c r="D190" s="77">
        <v>0.76041666666666663</v>
      </c>
      <c r="E190" t="s">
        <v>3314</v>
      </c>
      <c r="F190">
        <v>51</v>
      </c>
      <c r="G190" t="s">
        <v>3315</v>
      </c>
      <c r="H190">
        <v>30000</v>
      </c>
      <c r="I190" t="s">
        <v>3316</v>
      </c>
      <c r="J190">
        <v>30000</v>
      </c>
      <c r="K190">
        <v>135000</v>
      </c>
      <c r="L190" t="s">
        <v>116</v>
      </c>
      <c r="M190" t="s">
        <v>78</v>
      </c>
      <c r="N190" t="s">
        <v>100</v>
      </c>
      <c r="O190" t="s">
        <v>3629</v>
      </c>
      <c r="P190" s="5" t="s">
        <v>3318</v>
      </c>
      <c r="Q190">
        <v>4.5</v>
      </c>
    </row>
    <row r="191" spans="1:17" x14ac:dyDescent="0.3">
      <c r="A191" s="4">
        <v>44614</v>
      </c>
      <c r="B191" t="s">
        <v>3630</v>
      </c>
      <c r="C191" t="s">
        <v>3623</v>
      </c>
      <c r="D191" s="77">
        <v>0.8027777777777777</v>
      </c>
      <c r="E191" t="s">
        <v>3314</v>
      </c>
      <c r="F191">
        <v>39</v>
      </c>
      <c r="G191" t="s">
        <v>3315</v>
      </c>
      <c r="H191">
        <v>20000</v>
      </c>
      <c r="I191" t="s">
        <v>3316</v>
      </c>
      <c r="J191">
        <v>20000</v>
      </c>
      <c r="K191">
        <v>90000</v>
      </c>
      <c r="L191" t="s">
        <v>116</v>
      </c>
      <c r="M191" t="s">
        <v>76</v>
      </c>
      <c r="N191" t="s">
        <v>107</v>
      </c>
      <c r="O191" t="s">
        <v>3321</v>
      </c>
      <c r="P191" s="5" t="s">
        <v>3318</v>
      </c>
      <c r="Q191">
        <v>4.5</v>
      </c>
    </row>
    <row r="192" spans="1:17" x14ac:dyDescent="0.3">
      <c r="A192" s="4">
        <v>44614</v>
      </c>
      <c r="B192" t="s">
        <v>3631</v>
      </c>
      <c r="C192" t="s">
        <v>3604</v>
      </c>
      <c r="D192" s="77">
        <v>0.8125</v>
      </c>
      <c r="E192" t="s">
        <v>3314</v>
      </c>
      <c r="F192">
        <v>49</v>
      </c>
      <c r="G192" t="s">
        <v>3315</v>
      </c>
      <c r="H192">
        <v>20000</v>
      </c>
      <c r="I192" t="s">
        <v>3316</v>
      </c>
      <c r="J192">
        <v>20000</v>
      </c>
      <c r="K192">
        <v>90000</v>
      </c>
      <c r="L192" t="s">
        <v>116</v>
      </c>
      <c r="M192" t="s">
        <v>78</v>
      </c>
      <c r="N192" t="s">
        <v>100</v>
      </c>
      <c r="O192" t="s">
        <v>3629</v>
      </c>
      <c r="P192" s="5" t="s">
        <v>3318</v>
      </c>
      <c r="Q192">
        <v>4.5</v>
      </c>
    </row>
    <row r="193" spans="1:17" x14ac:dyDescent="0.3">
      <c r="A193" s="4">
        <v>44614</v>
      </c>
      <c r="B193" t="s">
        <v>3632</v>
      </c>
      <c r="C193" t="s">
        <v>3604</v>
      </c>
      <c r="D193" s="77">
        <v>0.8652777777777777</v>
      </c>
      <c r="E193" t="s">
        <v>3314</v>
      </c>
      <c r="F193">
        <v>41</v>
      </c>
      <c r="G193" t="s">
        <v>3315</v>
      </c>
      <c r="H193">
        <v>30000</v>
      </c>
      <c r="I193" t="s">
        <v>3316</v>
      </c>
      <c r="J193">
        <v>30000</v>
      </c>
      <c r="K193">
        <v>135000</v>
      </c>
      <c r="L193" t="s">
        <v>116</v>
      </c>
      <c r="M193" t="s">
        <v>78</v>
      </c>
      <c r="N193" t="s">
        <v>100</v>
      </c>
      <c r="O193" t="s">
        <v>3629</v>
      </c>
      <c r="P193" s="5" t="s">
        <v>3318</v>
      </c>
      <c r="Q193">
        <v>4.5</v>
      </c>
    </row>
    <row r="194" spans="1:17" x14ac:dyDescent="0.3">
      <c r="A194" s="4">
        <v>44615</v>
      </c>
      <c r="B194" t="s">
        <v>3633</v>
      </c>
      <c r="C194" t="s">
        <v>3612</v>
      </c>
      <c r="D194" s="77">
        <v>0.46666666666666662</v>
      </c>
      <c r="E194" t="s">
        <v>3314</v>
      </c>
      <c r="F194">
        <v>40</v>
      </c>
      <c r="G194" t="s">
        <v>3315</v>
      </c>
      <c r="H194">
        <v>20000</v>
      </c>
      <c r="I194" t="s">
        <v>3316</v>
      </c>
      <c r="J194">
        <v>20000</v>
      </c>
      <c r="K194">
        <v>90000</v>
      </c>
      <c r="L194" t="s">
        <v>114</v>
      </c>
      <c r="M194" t="s">
        <v>79</v>
      </c>
      <c r="N194" t="s">
        <v>131</v>
      </c>
      <c r="O194" t="s">
        <v>3465</v>
      </c>
      <c r="P194" s="5" t="s">
        <v>3318</v>
      </c>
      <c r="Q194">
        <v>4.5</v>
      </c>
    </row>
    <row r="195" spans="1:17" x14ac:dyDescent="0.3">
      <c r="A195" s="4">
        <v>44615</v>
      </c>
      <c r="B195" t="s">
        <v>3634</v>
      </c>
      <c r="C195" t="s">
        <v>3612</v>
      </c>
      <c r="D195" s="77">
        <v>0.47291666666666665</v>
      </c>
      <c r="E195" t="s">
        <v>3314</v>
      </c>
      <c r="F195">
        <v>57</v>
      </c>
      <c r="G195" t="s">
        <v>3315</v>
      </c>
      <c r="H195">
        <v>20000</v>
      </c>
      <c r="I195" t="s">
        <v>3316</v>
      </c>
      <c r="J195">
        <v>20000</v>
      </c>
      <c r="K195">
        <v>90000</v>
      </c>
      <c r="L195" t="s">
        <v>114</v>
      </c>
      <c r="M195" t="s">
        <v>79</v>
      </c>
      <c r="N195" t="s">
        <v>131</v>
      </c>
      <c r="O195" t="s">
        <v>3465</v>
      </c>
      <c r="P195" s="5" t="s">
        <v>3318</v>
      </c>
      <c r="Q195">
        <v>4.5</v>
      </c>
    </row>
    <row r="196" spans="1:17" x14ac:dyDescent="0.3">
      <c r="A196" s="4">
        <v>44615</v>
      </c>
      <c r="B196" t="s">
        <v>3635</v>
      </c>
      <c r="C196" t="s">
        <v>3636</v>
      </c>
      <c r="D196" s="77">
        <v>0.47986111111111113</v>
      </c>
      <c r="E196" t="s">
        <v>3314</v>
      </c>
      <c r="F196">
        <v>53</v>
      </c>
      <c r="G196" t="s">
        <v>3315</v>
      </c>
      <c r="H196">
        <v>30000</v>
      </c>
      <c r="I196" t="s">
        <v>3316</v>
      </c>
      <c r="J196">
        <v>30000</v>
      </c>
      <c r="K196">
        <v>120000</v>
      </c>
      <c r="L196" t="s">
        <v>118</v>
      </c>
      <c r="M196" t="s">
        <v>86</v>
      </c>
      <c r="N196" t="s">
        <v>120</v>
      </c>
      <c r="O196" t="s">
        <v>3446</v>
      </c>
      <c r="P196" s="5" t="s">
        <v>3318</v>
      </c>
      <c r="Q196">
        <v>4</v>
      </c>
    </row>
    <row r="197" spans="1:17" x14ac:dyDescent="0.3">
      <c r="A197" s="4">
        <v>44615</v>
      </c>
      <c r="B197" t="s">
        <v>3637</v>
      </c>
      <c r="C197" t="s">
        <v>3638</v>
      </c>
      <c r="D197" s="77">
        <v>0.49652777777777773</v>
      </c>
      <c r="E197" t="s">
        <v>3314</v>
      </c>
      <c r="F197">
        <v>54</v>
      </c>
      <c r="G197" t="s">
        <v>3315</v>
      </c>
      <c r="H197">
        <v>30000</v>
      </c>
      <c r="I197" t="s">
        <v>3316</v>
      </c>
      <c r="J197">
        <v>30000</v>
      </c>
      <c r="K197">
        <v>120000</v>
      </c>
      <c r="L197" t="s">
        <v>118</v>
      </c>
      <c r="M197" t="s">
        <v>24</v>
      </c>
      <c r="N197" t="s">
        <v>103</v>
      </c>
      <c r="O197" t="s">
        <v>3585</v>
      </c>
      <c r="P197" s="5" t="s">
        <v>3318</v>
      </c>
      <c r="Q197">
        <v>4</v>
      </c>
    </row>
    <row r="198" spans="1:17" x14ac:dyDescent="0.3">
      <c r="A198" s="4">
        <v>44615</v>
      </c>
      <c r="B198" t="s">
        <v>3639</v>
      </c>
      <c r="C198" t="s">
        <v>3636</v>
      </c>
      <c r="D198" s="77">
        <v>0.50972222222222219</v>
      </c>
      <c r="E198" t="s">
        <v>3314</v>
      </c>
      <c r="F198">
        <v>47</v>
      </c>
      <c r="G198" t="s">
        <v>3315</v>
      </c>
      <c r="H198">
        <v>30000</v>
      </c>
      <c r="I198" t="s">
        <v>3316</v>
      </c>
      <c r="J198">
        <v>30000</v>
      </c>
      <c r="K198">
        <v>120000</v>
      </c>
      <c r="L198" t="s">
        <v>118</v>
      </c>
      <c r="M198" t="s">
        <v>86</v>
      </c>
      <c r="N198" t="s">
        <v>120</v>
      </c>
      <c r="O198" t="s">
        <v>3446</v>
      </c>
      <c r="P198" s="5" t="s">
        <v>3318</v>
      </c>
      <c r="Q198">
        <v>4</v>
      </c>
    </row>
    <row r="199" spans="1:17" x14ac:dyDescent="0.3">
      <c r="A199" s="4">
        <v>44615</v>
      </c>
      <c r="B199" t="s">
        <v>3640</v>
      </c>
      <c r="C199" t="s">
        <v>3641</v>
      </c>
      <c r="D199" s="77">
        <v>0.54166666666666663</v>
      </c>
      <c r="E199" t="s">
        <v>3314</v>
      </c>
      <c r="F199">
        <v>25</v>
      </c>
      <c r="G199" t="s">
        <v>3315</v>
      </c>
      <c r="H199">
        <v>20000</v>
      </c>
      <c r="I199" t="s">
        <v>3316</v>
      </c>
      <c r="J199">
        <v>20000</v>
      </c>
      <c r="K199">
        <v>80000</v>
      </c>
      <c r="L199" t="s">
        <v>118</v>
      </c>
      <c r="M199" t="s">
        <v>90</v>
      </c>
      <c r="N199" t="s">
        <v>110</v>
      </c>
      <c r="O199" t="s">
        <v>3455</v>
      </c>
      <c r="P199" s="5" t="s">
        <v>3318</v>
      </c>
      <c r="Q199">
        <v>4</v>
      </c>
    </row>
    <row r="200" spans="1:17" x14ac:dyDescent="0.3">
      <c r="A200" s="4">
        <v>44615</v>
      </c>
      <c r="B200" t="s">
        <v>3642</v>
      </c>
      <c r="C200" t="s">
        <v>3636</v>
      </c>
      <c r="D200" s="77">
        <v>0.57916666666666672</v>
      </c>
      <c r="E200" t="s">
        <v>3314</v>
      </c>
      <c r="F200">
        <v>79</v>
      </c>
      <c r="G200" t="s">
        <v>3315</v>
      </c>
      <c r="H200">
        <v>30000</v>
      </c>
      <c r="I200" t="s">
        <v>3348</v>
      </c>
      <c r="J200">
        <v>30000</v>
      </c>
      <c r="K200">
        <v>135000</v>
      </c>
      <c r="L200" t="s">
        <v>116</v>
      </c>
      <c r="M200" t="s">
        <v>65</v>
      </c>
      <c r="N200" t="s">
        <v>102</v>
      </c>
      <c r="O200" t="s">
        <v>3506</v>
      </c>
      <c r="P200" s="5" t="s">
        <v>3318</v>
      </c>
      <c r="Q200">
        <v>4.5</v>
      </c>
    </row>
    <row r="201" spans="1:17" x14ac:dyDescent="0.3">
      <c r="A201" s="4">
        <v>44615</v>
      </c>
      <c r="B201" t="s">
        <v>3643</v>
      </c>
      <c r="C201" t="s">
        <v>3644</v>
      </c>
      <c r="D201" s="77">
        <v>0.60555555555555551</v>
      </c>
      <c r="E201" t="s">
        <v>3314</v>
      </c>
      <c r="F201">
        <v>47</v>
      </c>
      <c r="G201" t="s">
        <v>3315</v>
      </c>
      <c r="H201">
        <v>20000</v>
      </c>
      <c r="I201" t="s">
        <v>3316</v>
      </c>
      <c r="J201">
        <v>20000</v>
      </c>
      <c r="K201">
        <v>90000</v>
      </c>
      <c r="L201" t="s">
        <v>114</v>
      </c>
      <c r="M201" t="s">
        <v>79</v>
      </c>
      <c r="N201" t="s">
        <v>131</v>
      </c>
      <c r="O201" t="s">
        <v>3465</v>
      </c>
      <c r="P201" s="5" t="s">
        <v>3318</v>
      </c>
      <c r="Q201">
        <v>4.5</v>
      </c>
    </row>
    <row r="202" spans="1:17" x14ac:dyDescent="0.3">
      <c r="A202" s="4">
        <v>44615</v>
      </c>
      <c r="B202" t="s">
        <v>3645</v>
      </c>
      <c r="C202" t="s">
        <v>3636</v>
      </c>
      <c r="D202" s="77">
        <v>0.61458333333333337</v>
      </c>
      <c r="E202" t="s">
        <v>3314</v>
      </c>
      <c r="F202">
        <v>41</v>
      </c>
      <c r="G202" t="s">
        <v>3315</v>
      </c>
      <c r="H202">
        <v>30000</v>
      </c>
      <c r="I202" t="s">
        <v>3316</v>
      </c>
      <c r="J202">
        <v>30000</v>
      </c>
      <c r="K202">
        <v>30000</v>
      </c>
      <c r="L202" t="s">
        <v>124</v>
      </c>
      <c r="M202" t="s">
        <v>93</v>
      </c>
      <c r="N202" t="s">
        <v>121</v>
      </c>
      <c r="O202" t="s">
        <v>3646</v>
      </c>
      <c r="P202" s="5" t="s">
        <v>3318</v>
      </c>
      <c r="Q202">
        <v>1</v>
      </c>
    </row>
    <row r="203" spans="1:17" x14ac:dyDescent="0.3">
      <c r="A203" s="4">
        <v>44615</v>
      </c>
      <c r="B203" t="s">
        <v>3647</v>
      </c>
      <c r="C203" t="s">
        <v>3648</v>
      </c>
      <c r="D203" s="77">
        <v>0.62361111111111112</v>
      </c>
      <c r="E203" t="s">
        <v>3314</v>
      </c>
      <c r="F203">
        <v>49</v>
      </c>
      <c r="G203" t="s">
        <v>3315</v>
      </c>
      <c r="H203">
        <v>20000</v>
      </c>
      <c r="I203" t="s">
        <v>3316</v>
      </c>
      <c r="J203">
        <v>20000</v>
      </c>
      <c r="K203">
        <v>90000</v>
      </c>
      <c r="L203" t="s">
        <v>114</v>
      </c>
      <c r="M203" t="s">
        <v>30</v>
      </c>
      <c r="N203" t="s">
        <v>106</v>
      </c>
      <c r="O203" t="s">
        <v>3379</v>
      </c>
      <c r="P203" s="5" t="s">
        <v>3318</v>
      </c>
      <c r="Q203">
        <v>4.5</v>
      </c>
    </row>
    <row r="204" spans="1:17" x14ac:dyDescent="0.3">
      <c r="A204" s="4">
        <v>44615</v>
      </c>
      <c r="B204" t="s">
        <v>3649</v>
      </c>
      <c r="C204" t="s">
        <v>3650</v>
      </c>
      <c r="D204" s="77">
        <v>0.63541666666666663</v>
      </c>
      <c r="E204" t="s">
        <v>3314</v>
      </c>
      <c r="F204">
        <v>55</v>
      </c>
      <c r="G204" t="s">
        <v>3315</v>
      </c>
      <c r="H204">
        <v>20000</v>
      </c>
      <c r="I204" t="s">
        <v>3316</v>
      </c>
      <c r="J204">
        <v>20000</v>
      </c>
      <c r="K204">
        <v>90000</v>
      </c>
      <c r="L204" t="s">
        <v>116</v>
      </c>
      <c r="M204" t="s">
        <v>76</v>
      </c>
      <c r="N204" t="s">
        <v>107</v>
      </c>
      <c r="O204" t="s">
        <v>3321</v>
      </c>
      <c r="P204" s="5" t="s">
        <v>3318</v>
      </c>
      <c r="Q204">
        <v>4.5</v>
      </c>
    </row>
    <row r="205" spans="1:17" x14ac:dyDescent="0.3">
      <c r="A205" s="4">
        <v>44615</v>
      </c>
      <c r="B205" t="s">
        <v>3651</v>
      </c>
      <c r="C205" t="s">
        <v>3652</v>
      </c>
      <c r="D205" s="77">
        <v>0.63541666666666663</v>
      </c>
      <c r="E205" t="s">
        <v>3314</v>
      </c>
      <c r="F205">
        <v>42</v>
      </c>
      <c r="G205" t="s">
        <v>3315</v>
      </c>
      <c r="H205">
        <v>50000</v>
      </c>
      <c r="I205" t="s">
        <v>3316</v>
      </c>
      <c r="J205">
        <v>50000</v>
      </c>
      <c r="K205">
        <v>225000</v>
      </c>
      <c r="L205" t="s">
        <v>116</v>
      </c>
      <c r="M205" t="s">
        <v>78</v>
      </c>
      <c r="N205" t="s">
        <v>100</v>
      </c>
      <c r="O205" t="s">
        <v>3629</v>
      </c>
      <c r="P205" s="5" t="s">
        <v>3318</v>
      </c>
      <c r="Q205">
        <v>4.5</v>
      </c>
    </row>
    <row r="206" spans="1:17" x14ac:dyDescent="0.3">
      <c r="A206" s="4">
        <v>44615</v>
      </c>
      <c r="B206" t="s">
        <v>3653</v>
      </c>
      <c r="C206" t="s">
        <v>3641</v>
      </c>
      <c r="D206" s="77">
        <v>0.64583333333333337</v>
      </c>
      <c r="E206" t="s">
        <v>3314</v>
      </c>
      <c r="F206">
        <v>48</v>
      </c>
      <c r="G206" t="s">
        <v>3315</v>
      </c>
      <c r="H206">
        <v>20000</v>
      </c>
      <c r="I206" t="s">
        <v>3316</v>
      </c>
      <c r="J206">
        <v>20000</v>
      </c>
      <c r="K206">
        <v>80000</v>
      </c>
      <c r="L206" t="s">
        <v>118</v>
      </c>
      <c r="M206" t="s">
        <v>90</v>
      </c>
      <c r="N206" t="s">
        <v>110</v>
      </c>
      <c r="O206" t="s">
        <v>3455</v>
      </c>
      <c r="P206" s="5" t="s">
        <v>3318</v>
      </c>
      <c r="Q206">
        <v>4</v>
      </c>
    </row>
    <row r="207" spans="1:17" x14ac:dyDescent="0.3">
      <c r="A207" s="4">
        <v>44615</v>
      </c>
      <c r="B207" t="s">
        <v>3654</v>
      </c>
      <c r="C207" t="s">
        <v>3648</v>
      </c>
      <c r="D207" s="77">
        <v>0.65069444444444446</v>
      </c>
      <c r="E207" t="s">
        <v>3314</v>
      </c>
      <c r="F207">
        <v>61</v>
      </c>
      <c r="G207" t="s">
        <v>3315</v>
      </c>
      <c r="H207">
        <v>20000</v>
      </c>
      <c r="I207" t="s">
        <v>3316</v>
      </c>
      <c r="J207">
        <v>20000</v>
      </c>
      <c r="K207">
        <v>20000</v>
      </c>
      <c r="L207" t="s">
        <v>124</v>
      </c>
      <c r="M207" t="s">
        <v>94</v>
      </c>
      <c r="N207" t="s">
        <v>138</v>
      </c>
      <c r="O207" t="s">
        <v>3655</v>
      </c>
      <c r="P207" s="5" t="s">
        <v>3318</v>
      </c>
      <c r="Q207">
        <v>1</v>
      </c>
    </row>
    <row r="208" spans="1:17" x14ac:dyDescent="0.3">
      <c r="A208" s="4">
        <v>44615</v>
      </c>
      <c r="B208" t="s">
        <v>3656</v>
      </c>
      <c r="C208" t="s">
        <v>3650</v>
      </c>
      <c r="D208" s="77">
        <v>0.65625</v>
      </c>
      <c r="E208" t="s">
        <v>3314</v>
      </c>
      <c r="F208">
        <v>65</v>
      </c>
      <c r="G208" t="s">
        <v>3315</v>
      </c>
      <c r="H208">
        <v>100000</v>
      </c>
      <c r="I208" t="s">
        <v>3316</v>
      </c>
      <c r="J208">
        <v>100000</v>
      </c>
      <c r="K208">
        <v>400000</v>
      </c>
      <c r="L208" t="s">
        <v>118</v>
      </c>
      <c r="M208" t="s">
        <v>87</v>
      </c>
      <c r="N208" t="s">
        <v>134</v>
      </c>
      <c r="O208" t="s">
        <v>3528</v>
      </c>
      <c r="P208" s="5" t="s">
        <v>3318</v>
      </c>
      <c r="Q208">
        <v>4</v>
      </c>
    </row>
    <row r="209" spans="1:17" x14ac:dyDescent="0.3">
      <c r="A209" s="4">
        <v>44615</v>
      </c>
      <c r="B209" t="s">
        <v>3657</v>
      </c>
      <c r="C209" t="s">
        <v>3658</v>
      </c>
      <c r="D209" s="77">
        <v>0.66736111111111107</v>
      </c>
      <c r="E209" t="s">
        <v>3314</v>
      </c>
      <c r="F209">
        <v>41</v>
      </c>
      <c r="G209" t="s">
        <v>3315</v>
      </c>
      <c r="H209">
        <v>20000</v>
      </c>
      <c r="I209" t="s">
        <v>3316</v>
      </c>
      <c r="J209">
        <v>20000</v>
      </c>
      <c r="K209">
        <v>80000</v>
      </c>
      <c r="L209" t="s">
        <v>118</v>
      </c>
      <c r="M209" t="s">
        <v>91</v>
      </c>
      <c r="N209" t="s">
        <v>136</v>
      </c>
      <c r="O209" t="s">
        <v>3422</v>
      </c>
      <c r="P209" s="5" t="s">
        <v>3318</v>
      </c>
      <c r="Q209">
        <v>4</v>
      </c>
    </row>
    <row r="210" spans="1:17" x14ac:dyDescent="0.3">
      <c r="A210" s="4">
        <v>44615</v>
      </c>
      <c r="B210" t="s">
        <v>3659</v>
      </c>
      <c r="C210" t="s">
        <v>3660</v>
      </c>
      <c r="D210" s="77">
        <v>0.67499999999999993</v>
      </c>
      <c r="E210" t="s">
        <v>3314</v>
      </c>
      <c r="F210">
        <v>27</v>
      </c>
      <c r="G210" t="s">
        <v>3315</v>
      </c>
      <c r="H210">
        <v>30000</v>
      </c>
      <c r="I210" t="s">
        <v>3316</v>
      </c>
      <c r="J210">
        <v>30000</v>
      </c>
      <c r="K210">
        <v>90000</v>
      </c>
      <c r="L210" t="s">
        <v>149</v>
      </c>
      <c r="M210" t="s">
        <v>3020</v>
      </c>
      <c r="N210" t="s">
        <v>2852</v>
      </c>
      <c r="O210" t="s">
        <v>3661</v>
      </c>
      <c r="P210" s="5" t="s">
        <v>3318</v>
      </c>
      <c r="Q210">
        <v>3</v>
      </c>
    </row>
    <row r="211" spans="1:17" x14ac:dyDescent="0.3">
      <c r="A211" s="4">
        <v>44615</v>
      </c>
      <c r="B211" t="s">
        <v>3662</v>
      </c>
      <c r="C211" t="s">
        <v>3648</v>
      </c>
      <c r="D211" s="77">
        <v>0.6777777777777777</v>
      </c>
      <c r="E211" t="s">
        <v>3314</v>
      </c>
      <c r="F211">
        <v>41</v>
      </c>
      <c r="G211" t="s">
        <v>3315</v>
      </c>
      <c r="H211">
        <v>20000</v>
      </c>
      <c r="I211" t="s">
        <v>3316</v>
      </c>
      <c r="J211">
        <v>20000</v>
      </c>
      <c r="K211">
        <v>20000</v>
      </c>
      <c r="L211" t="s">
        <v>124</v>
      </c>
      <c r="M211" t="s">
        <v>94</v>
      </c>
      <c r="N211" t="s">
        <v>138</v>
      </c>
      <c r="O211" t="s">
        <v>3655</v>
      </c>
      <c r="P211" s="5" t="s">
        <v>3318</v>
      </c>
      <c r="Q211">
        <v>1</v>
      </c>
    </row>
    <row r="212" spans="1:17" x14ac:dyDescent="0.3">
      <c r="A212" s="4">
        <v>44615</v>
      </c>
      <c r="B212" t="s">
        <v>3663</v>
      </c>
      <c r="C212" t="s">
        <v>3664</v>
      </c>
      <c r="D212" s="77">
        <v>0.68472222222222223</v>
      </c>
      <c r="E212" t="s">
        <v>3314</v>
      </c>
      <c r="F212">
        <v>62</v>
      </c>
      <c r="G212" t="s">
        <v>3315</v>
      </c>
      <c r="H212">
        <v>30000</v>
      </c>
      <c r="I212" t="s">
        <v>3316</v>
      </c>
      <c r="J212">
        <v>30000</v>
      </c>
      <c r="K212">
        <v>120000</v>
      </c>
      <c r="L212" t="s">
        <v>118</v>
      </c>
      <c r="M212" t="s">
        <v>92</v>
      </c>
      <c r="N212" t="s">
        <v>137</v>
      </c>
      <c r="O212" t="s">
        <v>3476</v>
      </c>
      <c r="P212" s="5" t="s">
        <v>3318</v>
      </c>
      <c r="Q212">
        <v>4</v>
      </c>
    </row>
    <row r="213" spans="1:17" x14ac:dyDescent="0.3">
      <c r="A213" s="4">
        <v>44615</v>
      </c>
      <c r="B213" t="s">
        <v>3665</v>
      </c>
      <c r="C213" t="s">
        <v>3636</v>
      </c>
      <c r="D213" s="77">
        <v>0.69652777777777775</v>
      </c>
      <c r="E213" t="s">
        <v>3314</v>
      </c>
      <c r="F213">
        <v>41</v>
      </c>
      <c r="G213" t="s">
        <v>3315</v>
      </c>
      <c r="H213">
        <v>20000</v>
      </c>
      <c r="I213" t="s">
        <v>3316</v>
      </c>
      <c r="J213">
        <v>20000</v>
      </c>
      <c r="K213">
        <v>80000</v>
      </c>
      <c r="L213" t="s">
        <v>118</v>
      </c>
      <c r="M213" t="s">
        <v>86</v>
      </c>
      <c r="N213" t="s">
        <v>120</v>
      </c>
      <c r="O213" t="s">
        <v>3446</v>
      </c>
      <c r="P213" s="5" t="s">
        <v>3318</v>
      </c>
      <c r="Q213">
        <v>4</v>
      </c>
    </row>
    <row r="214" spans="1:17" x14ac:dyDescent="0.3">
      <c r="A214" s="4">
        <v>44615</v>
      </c>
      <c r="B214" t="s">
        <v>3666</v>
      </c>
      <c r="C214" t="s">
        <v>3636</v>
      </c>
      <c r="D214" s="77">
        <v>0.70416666666666661</v>
      </c>
      <c r="E214" t="s">
        <v>3314</v>
      </c>
      <c r="F214">
        <v>53</v>
      </c>
      <c r="G214" t="s">
        <v>3315</v>
      </c>
      <c r="H214">
        <v>30000</v>
      </c>
      <c r="I214" t="s">
        <v>3316</v>
      </c>
      <c r="J214">
        <v>30000</v>
      </c>
      <c r="K214">
        <v>135000</v>
      </c>
      <c r="L214" t="s">
        <v>116</v>
      </c>
      <c r="M214" t="s">
        <v>65</v>
      </c>
      <c r="N214" t="s">
        <v>102</v>
      </c>
      <c r="O214" t="s">
        <v>3506</v>
      </c>
      <c r="P214" s="5" t="s">
        <v>3318</v>
      </c>
      <c r="Q214">
        <v>4.5</v>
      </c>
    </row>
    <row r="215" spans="1:17" x14ac:dyDescent="0.3">
      <c r="A215" s="4">
        <v>44615</v>
      </c>
      <c r="B215" t="s">
        <v>3667</v>
      </c>
      <c r="C215" t="s">
        <v>3641</v>
      </c>
      <c r="D215" s="77">
        <v>0.73263888888888884</v>
      </c>
      <c r="E215" t="s">
        <v>3314</v>
      </c>
      <c r="F215">
        <v>64</v>
      </c>
      <c r="G215" t="s">
        <v>3315</v>
      </c>
      <c r="H215">
        <v>30000</v>
      </c>
      <c r="I215" t="s">
        <v>3316</v>
      </c>
      <c r="J215">
        <v>30000</v>
      </c>
      <c r="K215">
        <v>120000</v>
      </c>
      <c r="L215" t="s">
        <v>118</v>
      </c>
      <c r="M215" t="s">
        <v>90</v>
      </c>
      <c r="N215" t="s">
        <v>110</v>
      </c>
      <c r="O215" t="s">
        <v>3455</v>
      </c>
      <c r="P215" s="5" t="s">
        <v>3318</v>
      </c>
      <c r="Q215">
        <v>4</v>
      </c>
    </row>
    <row r="216" spans="1:17" x14ac:dyDescent="0.3">
      <c r="A216" s="4">
        <v>44615</v>
      </c>
      <c r="B216" t="s">
        <v>3668</v>
      </c>
      <c r="C216" t="s">
        <v>3658</v>
      </c>
      <c r="D216" s="77">
        <v>0.73611111111111116</v>
      </c>
      <c r="E216" t="s">
        <v>3314</v>
      </c>
      <c r="F216">
        <v>51</v>
      </c>
      <c r="G216" t="s">
        <v>3315</v>
      </c>
      <c r="H216">
        <v>20000</v>
      </c>
      <c r="I216" t="s">
        <v>3316</v>
      </c>
      <c r="J216">
        <v>20000</v>
      </c>
      <c r="K216">
        <v>80000</v>
      </c>
      <c r="L216" t="s">
        <v>118</v>
      </c>
      <c r="M216" t="s">
        <v>85</v>
      </c>
      <c r="N216" t="s">
        <v>109</v>
      </c>
      <c r="O216" t="s">
        <v>3342</v>
      </c>
      <c r="P216" s="5" t="s">
        <v>3318</v>
      </c>
      <c r="Q216">
        <v>4</v>
      </c>
    </row>
    <row r="217" spans="1:17" x14ac:dyDescent="0.3">
      <c r="A217" s="4">
        <v>44615</v>
      </c>
      <c r="B217" t="s">
        <v>3669</v>
      </c>
      <c r="C217" t="s">
        <v>3650</v>
      </c>
      <c r="D217" s="77">
        <v>0.74722222222222223</v>
      </c>
      <c r="E217" t="s">
        <v>3314</v>
      </c>
      <c r="F217">
        <v>45</v>
      </c>
      <c r="G217" t="s">
        <v>3315</v>
      </c>
      <c r="H217">
        <v>20000</v>
      </c>
      <c r="I217" t="s">
        <v>3316</v>
      </c>
      <c r="J217">
        <v>20000</v>
      </c>
      <c r="K217">
        <v>90000</v>
      </c>
      <c r="L217" t="s">
        <v>116</v>
      </c>
      <c r="M217" t="s">
        <v>76</v>
      </c>
      <c r="N217" t="s">
        <v>107</v>
      </c>
      <c r="O217" t="s">
        <v>3321</v>
      </c>
      <c r="P217" s="5" t="s">
        <v>3318</v>
      </c>
      <c r="Q217">
        <v>4.5</v>
      </c>
    </row>
    <row r="218" spans="1:17" x14ac:dyDescent="0.3">
      <c r="A218" s="4">
        <v>44615</v>
      </c>
      <c r="B218" t="s">
        <v>3670</v>
      </c>
      <c r="C218" t="s">
        <v>3671</v>
      </c>
      <c r="D218" s="77">
        <v>0.74861111111111101</v>
      </c>
      <c r="E218" t="s">
        <v>3314</v>
      </c>
      <c r="F218">
        <v>39</v>
      </c>
      <c r="G218" t="s">
        <v>3315</v>
      </c>
      <c r="H218">
        <v>20000</v>
      </c>
      <c r="I218" t="s">
        <v>3316</v>
      </c>
      <c r="J218">
        <v>20000</v>
      </c>
      <c r="K218">
        <v>80000</v>
      </c>
      <c r="L218" t="s">
        <v>118</v>
      </c>
      <c r="M218" t="s">
        <v>2845</v>
      </c>
      <c r="N218" t="s">
        <v>2847</v>
      </c>
      <c r="O218" t="s">
        <v>3361</v>
      </c>
      <c r="P218" s="5" t="s">
        <v>3318</v>
      </c>
      <c r="Q218">
        <v>4</v>
      </c>
    </row>
    <row r="219" spans="1:17" x14ac:dyDescent="0.3">
      <c r="A219" s="4">
        <v>44615</v>
      </c>
      <c r="B219" t="s">
        <v>3672</v>
      </c>
      <c r="C219" t="s">
        <v>3641</v>
      </c>
      <c r="D219" s="77">
        <v>0.75</v>
      </c>
      <c r="E219" t="s">
        <v>3314</v>
      </c>
      <c r="F219">
        <v>50</v>
      </c>
      <c r="G219" t="s">
        <v>3315</v>
      </c>
      <c r="H219">
        <v>20000</v>
      </c>
      <c r="I219" t="s">
        <v>3316</v>
      </c>
      <c r="J219">
        <v>20000</v>
      </c>
      <c r="K219">
        <v>80000</v>
      </c>
      <c r="L219" t="s">
        <v>118</v>
      </c>
      <c r="M219" t="s">
        <v>90</v>
      </c>
      <c r="N219" t="s">
        <v>110</v>
      </c>
      <c r="O219" t="s">
        <v>3455</v>
      </c>
      <c r="P219" s="5" t="s">
        <v>3318</v>
      </c>
      <c r="Q219">
        <v>4</v>
      </c>
    </row>
    <row r="220" spans="1:17" x14ac:dyDescent="0.3">
      <c r="A220" s="4">
        <v>44615</v>
      </c>
      <c r="B220" t="s">
        <v>3673</v>
      </c>
      <c r="C220" t="s">
        <v>3652</v>
      </c>
      <c r="D220" s="77">
        <v>0.76388888888888884</v>
      </c>
      <c r="E220" t="s">
        <v>3314</v>
      </c>
      <c r="F220">
        <v>32</v>
      </c>
      <c r="G220" t="s">
        <v>3315</v>
      </c>
      <c r="H220">
        <v>20000</v>
      </c>
      <c r="I220" t="s">
        <v>3316</v>
      </c>
      <c r="J220">
        <v>20000</v>
      </c>
      <c r="K220">
        <v>80000</v>
      </c>
      <c r="L220" t="s">
        <v>118</v>
      </c>
      <c r="M220" t="s">
        <v>88</v>
      </c>
      <c r="N220" t="s">
        <v>117</v>
      </c>
      <c r="O220" t="s">
        <v>3494</v>
      </c>
      <c r="P220" s="5" t="s">
        <v>3318</v>
      </c>
      <c r="Q220">
        <v>4</v>
      </c>
    </row>
    <row r="221" spans="1:17" x14ac:dyDescent="0.3">
      <c r="A221" s="4">
        <v>44615</v>
      </c>
      <c r="B221" t="s">
        <v>3674</v>
      </c>
      <c r="C221" t="s">
        <v>3675</v>
      </c>
      <c r="D221" s="77">
        <v>0.80555555555555547</v>
      </c>
      <c r="E221" t="s">
        <v>3314</v>
      </c>
      <c r="F221">
        <v>27</v>
      </c>
      <c r="G221" t="s">
        <v>3315</v>
      </c>
      <c r="H221">
        <v>30000</v>
      </c>
      <c r="I221" t="s">
        <v>3316</v>
      </c>
      <c r="J221">
        <v>30000</v>
      </c>
      <c r="K221">
        <v>120000</v>
      </c>
      <c r="L221" t="s">
        <v>118</v>
      </c>
      <c r="M221" t="s">
        <v>3023</v>
      </c>
      <c r="N221" t="s">
        <v>3025</v>
      </c>
      <c r="O221" t="s">
        <v>3481</v>
      </c>
      <c r="P221" s="5" t="s">
        <v>3318</v>
      </c>
      <c r="Q221">
        <v>4</v>
      </c>
    </row>
    <row r="222" spans="1:17" x14ac:dyDescent="0.3">
      <c r="A222" s="4">
        <v>44616</v>
      </c>
      <c r="B222" t="s">
        <v>3676</v>
      </c>
      <c r="C222" t="s">
        <v>3677</v>
      </c>
      <c r="D222" s="77">
        <v>0.46875</v>
      </c>
      <c r="E222" t="s">
        <v>3314</v>
      </c>
      <c r="F222">
        <v>67</v>
      </c>
      <c r="G222" t="s">
        <v>3315</v>
      </c>
      <c r="H222">
        <v>20000</v>
      </c>
      <c r="I222" t="s">
        <v>3316</v>
      </c>
      <c r="J222">
        <v>20000</v>
      </c>
      <c r="K222">
        <v>90000</v>
      </c>
      <c r="L222" t="s">
        <v>113</v>
      </c>
      <c r="M222" t="s">
        <v>22</v>
      </c>
      <c r="N222" t="s">
        <v>98</v>
      </c>
      <c r="O222" t="s">
        <v>3437</v>
      </c>
      <c r="P222" s="5" t="s">
        <v>3318</v>
      </c>
      <c r="Q222">
        <v>4.5</v>
      </c>
    </row>
    <row r="223" spans="1:17" x14ac:dyDescent="0.3">
      <c r="A223" s="4">
        <v>44616</v>
      </c>
      <c r="B223" t="s">
        <v>3678</v>
      </c>
      <c r="C223" t="s">
        <v>3679</v>
      </c>
      <c r="D223" s="77">
        <v>0.52569444444444446</v>
      </c>
      <c r="E223" t="s">
        <v>3314</v>
      </c>
      <c r="F223">
        <v>63</v>
      </c>
      <c r="G223" t="s">
        <v>3315</v>
      </c>
      <c r="H223">
        <v>20000</v>
      </c>
      <c r="I223" t="s">
        <v>3316</v>
      </c>
      <c r="J223">
        <v>20000</v>
      </c>
      <c r="K223">
        <v>90000</v>
      </c>
      <c r="L223" t="s">
        <v>116</v>
      </c>
      <c r="M223" t="s">
        <v>65</v>
      </c>
      <c r="N223" t="s">
        <v>102</v>
      </c>
      <c r="O223" t="s">
        <v>3506</v>
      </c>
      <c r="P223" s="5" t="s">
        <v>3318</v>
      </c>
      <c r="Q223">
        <v>4.5</v>
      </c>
    </row>
    <row r="224" spans="1:17" x14ac:dyDescent="0.3">
      <c r="A224" s="4">
        <v>44616</v>
      </c>
      <c r="B224" t="s">
        <v>3680</v>
      </c>
      <c r="C224" t="s">
        <v>3675</v>
      </c>
      <c r="D224" s="77">
        <v>0.59444444444444444</v>
      </c>
      <c r="E224" t="s">
        <v>3314</v>
      </c>
      <c r="F224">
        <v>56</v>
      </c>
      <c r="G224" t="s">
        <v>3315</v>
      </c>
      <c r="H224">
        <v>30000</v>
      </c>
      <c r="I224" t="s">
        <v>3316</v>
      </c>
      <c r="J224">
        <v>30000</v>
      </c>
      <c r="K224">
        <v>120000</v>
      </c>
      <c r="L224" t="s">
        <v>118</v>
      </c>
      <c r="M224" t="s">
        <v>92</v>
      </c>
      <c r="N224" t="s">
        <v>137</v>
      </c>
      <c r="O224" t="s">
        <v>3476</v>
      </c>
      <c r="P224" s="5" t="s">
        <v>3318</v>
      </c>
      <c r="Q224">
        <v>4</v>
      </c>
    </row>
    <row r="225" spans="1:17" x14ac:dyDescent="0.3">
      <c r="A225" s="4">
        <v>44616</v>
      </c>
      <c r="B225" t="s">
        <v>3681</v>
      </c>
      <c r="C225" t="s">
        <v>3682</v>
      </c>
      <c r="D225" s="77">
        <v>0.59722222222222221</v>
      </c>
      <c r="E225" t="s">
        <v>3332</v>
      </c>
      <c r="F225">
        <v>51</v>
      </c>
      <c r="G225" t="s">
        <v>3315</v>
      </c>
      <c r="H225">
        <v>20000</v>
      </c>
      <c r="I225" t="s">
        <v>3316</v>
      </c>
      <c r="J225">
        <v>20000</v>
      </c>
      <c r="K225">
        <v>100000</v>
      </c>
      <c r="L225" t="s">
        <v>114</v>
      </c>
      <c r="M225" t="s">
        <v>23</v>
      </c>
      <c r="N225" t="s">
        <v>99</v>
      </c>
      <c r="O225" t="s">
        <v>3358</v>
      </c>
      <c r="P225" s="5" t="s">
        <v>3318</v>
      </c>
      <c r="Q225">
        <v>5</v>
      </c>
    </row>
    <row r="226" spans="1:17" x14ac:dyDescent="0.3">
      <c r="A226" s="4">
        <v>44616</v>
      </c>
      <c r="B226" t="s">
        <v>3683</v>
      </c>
      <c r="C226" t="s">
        <v>3682</v>
      </c>
      <c r="D226" s="77">
        <v>0.625</v>
      </c>
      <c r="E226" t="s">
        <v>3332</v>
      </c>
      <c r="F226">
        <v>57</v>
      </c>
      <c r="G226" t="s">
        <v>3315</v>
      </c>
      <c r="H226">
        <v>20000</v>
      </c>
      <c r="I226" t="s">
        <v>3316</v>
      </c>
      <c r="J226">
        <v>20000</v>
      </c>
      <c r="K226">
        <v>100000</v>
      </c>
      <c r="L226" t="s">
        <v>116</v>
      </c>
      <c r="M226" t="s">
        <v>73</v>
      </c>
      <c r="N226" t="s">
        <v>115</v>
      </c>
      <c r="O226" t="s">
        <v>3349</v>
      </c>
      <c r="P226" s="5" t="s">
        <v>3318</v>
      </c>
      <c r="Q226">
        <v>5</v>
      </c>
    </row>
    <row r="227" spans="1:17" x14ac:dyDescent="0.3">
      <c r="A227" s="4">
        <v>44616</v>
      </c>
      <c r="B227" t="s">
        <v>3684</v>
      </c>
      <c r="C227" t="s">
        <v>3685</v>
      </c>
      <c r="D227" s="77">
        <v>0.63541666666666663</v>
      </c>
      <c r="E227" t="s">
        <v>3314</v>
      </c>
      <c r="F227">
        <v>50</v>
      </c>
      <c r="G227" t="s">
        <v>3315</v>
      </c>
      <c r="H227">
        <v>20000</v>
      </c>
      <c r="I227" t="s">
        <v>3316</v>
      </c>
      <c r="J227">
        <v>20000</v>
      </c>
      <c r="K227">
        <v>80000</v>
      </c>
      <c r="L227" t="s">
        <v>118</v>
      </c>
      <c r="M227" t="s">
        <v>90</v>
      </c>
      <c r="N227" t="s">
        <v>110</v>
      </c>
      <c r="O227" t="s">
        <v>3455</v>
      </c>
      <c r="P227" s="5" t="s">
        <v>3318</v>
      </c>
      <c r="Q227">
        <v>4</v>
      </c>
    </row>
    <row r="228" spans="1:17" x14ac:dyDescent="0.3">
      <c r="A228" s="4">
        <v>44616</v>
      </c>
      <c r="B228" t="s">
        <v>3686</v>
      </c>
      <c r="C228" t="s">
        <v>3612</v>
      </c>
      <c r="D228" s="77">
        <v>0.64027777777777783</v>
      </c>
      <c r="E228" t="s">
        <v>3314</v>
      </c>
      <c r="F228">
        <v>58</v>
      </c>
      <c r="G228" t="s">
        <v>3315</v>
      </c>
      <c r="H228">
        <v>20000</v>
      </c>
      <c r="I228" t="s">
        <v>3316</v>
      </c>
      <c r="J228">
        <v>20000</v>
      </c>
      <c r="K228">
        <v>90000</v>
      </c>
      <c r="L228" t="s">
        <v>114</v>
      </c>
      <c r="M228" t="s">
        <v>79</v>
      </c>
      <c r="N228" t="s">
        <v>131</v>
      </c>
      <c r="O228" t="s">
        <v>3465</v>
      </c>
      <c r="P228" s="5" t="s">
        <v>3318</v>
      </c>
      <c r="Q228">
        <v>4.5</v>
      </c>
    </row>
    <row r="229" spans="1:17" x14ac:dyDescent="0.3">
      <c r="A229" s="4">
        <v>44616</v>
      </c>
      <c r="B229" t="s">
        <v>3687</v>
      </c>
      <c r="C229" t="s">
        <v>3688</v>
      </c>
      <c r="D229" s="77">
        <v>0.64236111111111105</v>
      </c>
      <c r="E229" t="s">
        <v>3314</v>
      </c>
      <c r="F229">
        <v>43</v>
      </c>
      <c r="G229" t="s">
        <v>3315</v>
      </c>
      <c r="H229">
        <v>20000</v>
      </c>
      <c r="I229" t="s">
        <v>3316</v>
      </c>
      <c r="J229">
        <v>20000</v>
      </c>
      <c r="K229">
        <v>80000</v>
      </c>
      <c r="L229" t="s">
        <v>118</v>
      </c>
      <c r="M229" t="s">
        <v>85</v>
      </c>
      <c r="N229" t="s">
        <v>109</v>
      </c>
      <c r="O229" t="s">
        <v>3342</v>
      </c>
      <c r="P229" s="5" t="s">
        <v>3318</v>
      </c>
      <c r="Q229">
        <v>4</v>
      </c>
    </row>
    <row r="230" spans="1:17" x14ac:dyDescent="0.3">
      <c r="A230" s="4">
        <v>44616</v>
      </c>
      <c r="B230" t="s">
        <v>3689</v>
      </c>
      <c r="C230" t="s">
        <v>3682</v>
      </c>
      <c r="D230" s="77">
        <v>0.64583333333333337</v>
      </c>
      <c r="E230" t="s">
        <v>3332</v>
      </c>
      <c r="F230">
        <v>71</v>
      </c>
      <c r="G230" t="s">
        <v>3315</v>
      </c>
      <c r="H230">
        <v>20000</v>
      </c>
      <c r="I230" t="s">
        <v>3348</v>
      </c>
      <c r="J230">
        <v>20000</v>
      </c>
      <c r="K230">
        <v>80000</v>
      </c>
      <c r="L230" t="s">
        <v>118</v>
      </c>
      <c r="M230" t="s">
        <v>812</v>
      </c>
      <c r="N230" t="s">
        <v>814</v>
      </c>
      <c r="O230" t="s">
        <v>3412</v>
      </c>
      <c r="P230" s="5" t="s">
        <v>3318</v>
      </c>
      <c r="Q230">
        <v>4</v>
      </c>
    </row>
    <row r="231" spans="1:17" x14ac:dyDescent="0.3">
      <c r="A231" s="4">
        <v>44616</v>
      </c>
      <c r="B231" t="s">
        <v>3690</v>
      </c>
      <c r="C231" t="s">
        <v>3679</v>
      </c>
      <c r="D231" s="77">
        <v>0.64722222222222225</v>
      </c>
      <c r="E231" t="s">
        <v>3314</v>
      </c>
      <c r="F231">
        <v>74</v>
      </c>
      <c r="G231" t="s">
        <v>3315</v>
      </c>
      <c r="H231">
        <v>30000</v>
      </c>
      <c r="I231" t="s">
        <v>3348</v>
      </c>
      <c r="J231">
        <v>30000</v>
      </c>
      <c r="K231">
        <v>30000</v>
      </c>
      <c r="L231" t="s">
        <v>124</v>
      </c>
      <c r="M231" t="s">
        <v>93</v>
      </c>
      <c r="N231" t="s">
        <v>121</v>
      </c>
      <c r="O231" t="s">
        <v>3646</v>
      </c>
      <c r="P231" s="5" t="s">
        <v>3318</v>
      </c>
      <c r="Q231">
        <v>1</v>
      </c>
    </row>
    <row r="232" spans="1:17" x14ac:dyDescent="0.3">
      <c r="A232" s="4">
        <v>44616</v>
      </c>
      <c r="B232" t="s">
        <v>3691</v>
      </c>
      <c r="C232" t="s">
        <v>3685</v>
      </c>
      <c r="D232" s="77">
        <v>0.65972222222222221</v>
      </c>
      <c r="E232" t="s">
        <v>3314</v>
      </c>
      <c r="F232">
        <v>27</v>
      </c>
      <c r="G232" t="s">
        <v>3315</v>
      </c>
      <c r="H232">
        <v>20000</v>
      </c>
      <c r="I232" t="s">
        <v>3316</v>
      </c>
      <c r="J232">
        <v>20000</v>
      </c>
      <c r="K232">
        <v>80000</v>
      </c>
      <c r="L232" t="s">
        <v>118</v>
      </c>
      <c r="M232" t="s">
        <v>90</v>
      </c>
      <c r="N232" t="s">
        <v>110</v>
      </c>
      <c r="O232" t="s">
        <v>3455</v>
      </c>
      <c r="P232" s="5" t="s">
        <v>3318</v>
      </c>
      <c r="Q232">
        <v>4</v>
      </c>
    </row>
    <row r="233" spans="1:17" x14ac:dyDescent="0.3">
      <c r="A233" s="4">
        <v>44616</v>
      </c>
      <c r="B233" t="s">
        <v>3692</v>
      </c>
      <c r="C233" t="s">
        <v>3679</v>
      </c>
      <c r="D233" s="77">
        <v>0.67361111111111116</v>
      </c>
      <c r="E233" t="s">
        <v>3314</v>
      </c>
      <c r="F233">
        <v>41</v>
      </c>
      <c r="G233" t="s">
        <v>3315</v>
      </c>
      <c r="H233">
        <v>20000</v>
      </c>
      <c r="I233" t="s">
        <v>3316</v>
      </c>
      <c r="J233">
        <v>20000</v>
      </c>
      <c r="K233">
        <v>90000</v>
      </c>
      <c r="L233" t="s">
        <v>116</v>
      </c>
      <c r="M233" t="s">
        <v>65</v>
      </c>
      <c r="N233" t="s">
        <v>102</v>
      </c>
      <c r="O233" t="s">
        <v>3506</v>
      </c>
      <c r="P233" s="5" t="s">
        <v>3318</v>
      </c>
      <c r="Q233">
        <v>4.5</v>
      </c>
    </row>
    <row r="234" spans="1:17" x14ac:dyDescent="0.3">
      <c r="A234" s="4">
        <v>44616</v>
      </c>
      <c r="B234" t="s">
        <v>3693</v>
      </c>
      <c r="C234" t="s">
        <v>3685</v>
      </c>
      <c r="D234" s="77">
        <v>0.71527777777777779</v>
      </c>
      <c r="E234" t="s">
        <v>3314</v>
      </c>
      <c r="F234">
        <v>52</v>
      </c>
      <c r="G234" t="s">
        <v>3315</v>
      </c>
      <c r="H234">
        <v>20000</v>
      </c>
      <c r="I234" t="s">
        <v>3316</v>
      </c>
      <c r="J234">
        <v>20000</v>
      </c>
      <c r="K234">
        <v>80000</v>
      </c>
      <c r="L234" t="s">
        <v>118</v>
      </c>
      <c r="M234" t="s">
        <v>90</v>
      </c>
      <c r="N234" t="s">
        <v>110</v>
      </c>
      <c r="O234" t="s">
        <v>3455</v>
      </c>
      <c r="P234" s="5" t="s">
        <v>3318</v>
      </c>
      <c r="Q234">
        <v>4</v>
      </c>
    </row>
    <row r="235" spans="1:17" x14ac:dyDescent="0.3">
      <c r="A235" s="4">
        <v>44616</v>
      </c>
      <c r="B235" t="s">
        <v>3694</v>
      </c>
      <c r="C235" t="s">
        <v>3695</v>
      </c>
      <c r="D235" s="77">
        <v>0.72569444444444453</v>
      </c>
      <c r="E235" t="s">
        <v>3314</v>
      </c>
      <c r="F235">
        <v>57</v>
      </c>
      <c r="G235" t="s">
        <v>3315</v>
      </c>
      <c r="H235">
        <v>30000</v>
      </c>
      <c r="I235" t="s">
        <v>3316</v>
      </c>
      <c r="J235">
        <v>30000</v>
      </c>
      <c r="K235">
        <v>135000</v>
      </c>
      <c r="L235" t="s">
        <v>116</v>
      </c>
      <c r="M235" t="s">
        <v>76</v>
      </c>
      <c r="N235" t="s">
        <v>107</v>
      </c>
      <c r="O235" t="s">
        <v>3321</v>
      </c>
      <c r="P235" s="5" t="s">
        <v>3318</v>
      </c>
      <c r="Q235">
        <v>4.5</v>
      </c>
    </row>
    <row r="236" spans="1:17" x14ac:dyDescent="0.3">
      <c r="A236" s="4">
        <v>44616</v>
      </c>
      <c r="B236" t="s">
        <v>3696</v>
      </c>
      <c r="C236" t="s">
        <v>3617</v>
      </c>
      <c r="D236" s="77">
        <v>0.7270833333333333</v>
      </c>
      <c r="E236" t="s">
        <v>3314</v>
      </c>
      <c r="F236">
        <v>54</v>
      </c>
      <c r="G236" t="s">
        <v>3315</v>
      </c>
      <c r="H236">
        <v>20000</v>
      </c>
      <c r="I236" t="s">
        <v>3316</v>
      </c>
      <c r="J236">
        <v>20000</v>
      </c>
      <c r="K236">
        <v>20000</v>
      </c>
      <c r="L236" t="s">
        <v>124</v>
      </c>
      <c r="M236" t="s">
        <v>94</v>
      </c>
      <c r="N236" t="s">
        <v>138</v>
      </c>
      <c r="O236" t="s">
        <v>3655</v>
      </c>
      <c r="P236" s="5" t="s">
        <v>3318</v>
      </c>
      <c r="Q236">
        <v>1</v>
      </c>
    </row>
    <row r="237" spans="1:17" x14ac:dyDescent="0.3">
      <c r="A237" s="4">
        <v>44616</v>
      </c>
      <c r="B237" t="s">
        <v>3697</v>
      </c>
      <c r="C237" t="s">
        <v>3677</v>
      </c>
      <c r="D237" s="77">
        <v>0.73749999999999993</v>
      </c>
      <c r="E237" t="s">
        <v>3314</v>
      </c>
      <c r="F237">
        <v>83</v>
      </c>
      <c r="G237" t="s">
        <v>3315</v>
      </c>
      <c r="H237">
        <v>20000</v>
      </c>
      <c r="I237" t="s">
        <v>3316</v>
      </c>
      <c r="J237">
        <v>20000</v>
      </c>
      <c r="K237">
        <v>80000</v>
      </c>
      <c r="L237" t="s">
        <v>118</v>
      </c>
      <c r="M237" t="s">
        <v>88</v>
      </c>
      <c r="N237" t="s">
        <v>117</v>
      </c>
      <c r="O237" t="s">
        <v>3494</v>
      </c>
      <c r="P237" s="5" t="s">
        <v>3318</v>
      </c>
      <c r="Q237">
        <v>4</v>
      </c>
    </row>
    <row r="238" spans="1:17" x14ac:dyDescent="0.3">
      <c r="A238" s="4">
        <v>44616</v>
      </c>
      <c r="B238" t="s">
        <v>3698</v>
      </c>
      <c r="C238" t="s">
        <v>3699</v>
      </c>
      <c r="D238" s="77">
        <v>0.73958333333333337</v>
      </c>
      <c r="E238" t="s">
        <v>3314</v>
      </c>
      <c r="F238">
        <v>45</v>
      </c>
      <c r="G238" t="s">
        <v>3315</v>
      </c>
      <c r="H238">
        <v>20000</v>
      </c>
      <c r="I238" t="s">
        <v>3316</v>
      </c>
      <c r="J238">
        <v>20000</v>
      </c>
      <c r="K238">
        <v>60000</v>
      </c>
      <c r="L238" t="s">
        <v>149</v>
      </c>
      <c r="M238" t="s">
        <v>3033</v>
      </c>
      <c r="N238" t="s">
        <v>3035</v>
      </c>
      <c r="O238" t="s">
        <v>3542</v>
      </c>
      <c r="P238" s="5" t="s">
        <v>3318</v>
      </c>
      <c r="Q238">
        <v>3</v>
      </c>
    </row>
    <row r="239" spans="1:17" x14ac:dyDescent="0.3">
      <c r="A239" s="4">
        <v>44616</v>
      </c>
      <c r="B239" t="s">
        <v>3700</v>
      </c>
      <c r="C239" t="s">
        <v>3675</v>
      </c>
      <c r="D239" s="77">
        <v>0.74305555555555547</v>
      </c>
      <c r="E239" t="s">
        <v>3314</v>
      </c>
      <c r="F239">
        <v>52</v>
      </c>
      <c r="G239" t="s">
        <v>3315</v>
      </c>
      <c r="H239">
        <v>20000</v>
      </c>
      <c r="I239" t="s">
        <v>3316</v>
      </c>
      <c r="J239">
        <v>20000</v>
      </c>
      <c r="K239">
        <v>80000</v>
      </c>
      <c r="L239" t="s">
        <v>118</v>
      </c>
      <c r="M239" t="s">
        <v>3023</v>
      </c>
      <c r="N239" t="s">
        <v>3025</v>
      </c>
      <c r="O239" t="s">
        <v>3481</v>
      </c>
      <c r="P239" s="5" t="s">
        <v>3318</v>
      </c>
      <c r="Q239">
        <v>4</v>
      </c>
    </row>
    <row r="240" spans="1:17" x14ac:dyDescent="0.3">
      <c r="A240" s="4">
        <v>44616</v>
      </c>
      <c r="B240" t="s">
        <v>3701</v>
      </c>
      <c r="C240" t="s">
        <v>3677</v>
      </c>
      <c r="D240" s="77">
        <v>0.75208333333333333</v>
      </c>
      <c r="E240" t="s">
        <v>3314</v>
      </c>
      <c r="F240">
        <v>60</v>
      </c>
      <c r="G240" t="s">
        <v>3315</v>
      </c>
      <c r="H240">
        <v>20000</v>
      </c>
      <c r="I240" t="s">
        <v>3316</v>
      </c>
      <c r="J240">
        <v>20000</v>
      </c>
      <c r="K240">
        <v>90000</v>
      </c>
      <c r="L240" t="s">
        <v>116</v>
      </c>
      <c r="M240" t="s">
        <v>78</v>
      </c>
      <c r="N240" t="s">
        <v>100</v>
      </c>
      <c r="O240" t="s">
        <v>3629</v>
      </c>
      <c r="P240" s="5" t="s">
        <v>3318</v>
      </c>
      <c r="Q240">
        <v>4.5</v>
      </c>
    </row>
    <row r="241" spans="1:17" x14ac:dyDescent="0.3">
      <c r="A241" s="4">
        <v>44616</v>
      </c>
      <c r="B241" t="s">
        <v>3702</v>
      </c>
      <c r="C241" t="s">
        <v>3675</v>
      </c>
      <c r="D241" s="77">
        <v>0.75486111111111109</v>
      </c>
      <c r="E241" t="s">
        <v>3314</v>
      </c>
      <c r="F241">
        <v>54</v>
      </c>
      <c r="G241" t="s">
        <v>3315</v>
      </c>
      <c r="H241">
        <v>20000</v>
      </c>
      <c r="I241" t="s">
        <v>3316</v>
      </c>
      <c r="J241">
        <v>20000</v>
      </c>
      <c r="K241">
        <v>80000</v>
      </c>
      <c r="L241" t="s">
        <v>118</v>
      </c>
      <c r="M241" t="s">
        <v>92</v>
      </c>
      <c r="N241" t="s">
        <v>137</v>
      </c>
      <c r="O241" t="s">
        <v>3476</v>
      </c>
      <c r="P241" s="5" t="s">
        <v>3318</v>
      </c>
      <c r="Q241">
        <v>4</v>
      </c>
    </row>
    <row r="242" spans="1:17" x14ac:dyDescent="0.3">
      <c r="A242" s="4">
        <v>44616</v>
      </c>
      <c r="B242" t="s">
        <v>3703</v>
      </c>
      <c r="C242" t="s">
        <v>3685</v>
      </c>
      <c r="D242" s="77">
        <v>0.76041666666666663</v>
      </c>
      <c r="E242" t="s">
        <v>3314</v>
      </c>
      <c r="F242">
        <v>62</v>
      </c>
      <c r="G242" t="s">
        <v>3315</v>
      </c>
      <c r="H242">
        <v>20000</v>
      </c>
      <c r="I242" t="s">
        <v>3316</v>
      </c>
      <c r="J242">
        <v>20000</v>
      </c>
      <c r="K242">
        <v>80000</v>
      </c>
      <c r="L242" t="s">
        <v>118</v>
      </c>
      <c r="M242" t="s">
        <v>90</v>
      </c>
      <c r="N242" t="s">
        <v>110</v>
      </c>
      <c r="O242" t="s">
        <v>3455</v>
      </c>
      <c r="P242" s="5" t="s">
        <v>3318</v>
      </c>
      <c r="Q242">
        <v>4</v>
      </c>
    </row>
    <row r="243" spans="1:17" x14ac:dyDescent="0.3">
      <c r="A243" s="4">
        <v>44616</v>
      </c>
      <c r="B243" t="s">
        <v>3704</v>
      </c>
      <c r="C243" t="s">
        <v>3695</v>
      </c>
      <c r="D243" s="77">
        <v>0.78333333333333333</v>
      </c>
      <c r="E243" t="s">
        <v>3314</v>
      </c>
      <c r="F243">
        <v>46</v>
      </c>
      <c r="G243" t="s">
        <v>3315</v>
      </c>
      <c r="H243">
        <v>30000</v>
      </c>
      <c r="I243" t="s">
        <v>3316</v>
      </c>
      <c r="J243">
        <v>30000</v>
      </c>
      <c r="K243">
        <v>120000</v>
      </c>
      <c r="L243" t="s">
        <v>118</v>
      </c>
      <c r="M243" t="s">
        <v>87</v>
      </c>
      <c r="N243" t="s">
        <v>134</v>
      </c>
      <c r="O243" t="s">
        <v>3528</v>
      </c>
      <c r="P243" s="5" t="s">
        <v>3318</v>
      </c>
      <c r="Q243">
        <v>4</v>
      </c>
    </row>
    <row r="244" spans="1:17" x14ac:dyDescent="0.3">
      <c r="A244" s="4">
        <v>44616</v>
      </c>
      <c r="B244" t="s">
        <v>3705</v>
      </c>
      <c r="C244" t="s">
        <v>3677</v>
      </c>
      <c r="D244" s="77">
        <v>0.79791666666666661</v>
      </c>
      <c r="E244" t="s">
        <v>3314</v>
      </c>
      <c r="F244">
        <v>55</v>
      </c>
      <c r="G244" t="s">
        <v>3315</v>
      </c>
      <c r="H244">
        <v>20000</v>
      </c>
      <c r="I244" t="s">
        <v>3316</v>
      </c>
      <c r="J244">
        <v>20000</v>
      </c>
      <c r="K244">
        <v>90000</v>
      </c>
      <c r="L244" t="s">
        <v>116</v>
      </c>
      <c r="M244" t="s">
        <v>78</v>
      </c>
      <c r="N244" t="s">
        <v>100</v>
      </c>
      <c r="O244" t="s">
        <v>3629</v>
      </c>
      <c r="P244" s="5" t="s">
        <v>3318</v>
      </c>
      <c r="Q244">
        <v>4.5</v>
      </c>
    </row>
    <row r="245" spans="1:17" x14ac:dyDescent="0.3">
      <c r="A245" s="4">
        <v>44616</v>
      </c>
      <c r="B245" t="s">
        <v>3706</v>
      </c>
      <c r="C245" t="s">
        <v>3688</v>
      </c>
      <c r="D245" s="77">
        <v>0.79861111111111116</v>
      </c>
      <c r="E245" t="s">
        <v>3314</v>
      </c>
      <c r="F245">
        <v>47</v>
      </c>
      <c r="G245" t="s">
        <v>3315</v>
      </c>
      <c r="H245">
        <v>20000</v>
      </c>
      <c r="I245" t="s">
        <v>3316</v>
      </c>
      <c r="J245">
        <v>20000</v>
      </c>
      <c r="K245">
        <v>80000</v>
      </c>
      <c r="L245" t="s">
        <v>118</v>
      </c>
      <c r="M245" t="s">
        <v>91</v>
      </c>
      <c r="N245" t="s">
        <v>136</v>
      </c>
      <c r="O245" t="s">
        <v>3422</v>
      </c>
      <c r="P245" s="5" t="s">
        <v>3318</v>
      </c>
      <c r="Q245">
        <v>4</v>
      </c>
    </row>
    <row r="246" spans="1:17" x14ac:dyDescent="0.3">
      <c r="A246" s="4">
        <v>44616</v>
      </c>
      <c r="B246" t="s">
        <v>3707</v>
      </c>
      <c r="C246" t="s">
        <v>3685</v>
      </c>
      <c r="D246" s="77">
        <v>0.80555555555555547</v>
      </c>
      <c r="E246" t="s">
        <v>3314</v>
      </c>
      <c r="F246">
        <v>34</v>
      </c>
      <c r="G246" t="s">
        <v>3315</v>
      </c>
      <c r="H246">
        <v>20000</v>
      </c>
      <c r="I246" t="s">
        <v>3316</v>
      </c>
      <c r="J246">
        <v>20000</v>
      </c>
      <c r="K246">
        <v>80000</v>
      </c>
      <c r="L246" t="s">
        <v>118</v>
      </c>
      <c r="M246" t="s">
        <v>90</v>
      </c>
      <c r="N246" t="s">
        <v>110</v>
      </c>
      <c r="O246" t="s">
        <v>3455</v>
      </c>
      <c r="P246" s="5" t="s">
        <v>3318</v>
      </c>
      <c r="Q246">
        <v>4</v>
      </c>
    </row>
    <row r="247" spans="1:17" x14ac:dyDescent="0.3">
      <c r="A247" s="4">
        <v>44616</v>
      </c>
      <c r="B247" t="s">
        <v>3708</v>
      </c>
      <c r="C247" t="s">
        <v>3709</v>
      </c>
      <c r="D247" s="77">
        <v>0.83333333333333337</v>
      </c>
      <c r="E247" t="s">
        <v>3314</v>
      </c>
      <c r="F247">
        <v>47</v>
      </c>
      <c r="G247" t="s">
        <v>3315</v>
      </c>
      <c r="H247">
        <v>20000</v>
      </c>
      <c r="I247" t="s">
        <v>3316</v>
      </c>
      <c r="J247">
        <v>20000</v>
      </c>
      <c r="K247">
        <v>80000</v>
      </c>
      <c r="L247" t="s">
        <v>118</v>
      </c>
      <c r="M247" t="s">
        <v>28</v>
      </c>
      <c r="N247" t="s">
        <v>132</v>
      </c>
      <c r="O247" t="s">
        <v>3449</v>
      </c>
      <c r="P247" s="5" t="s">
        <v>3318</v>
      </c>
      <c r="Q247">
        <v>4</v>
      </c>
    </row>
    <row r="248" spans="1:17" x14ac:dyDescent="0.3">
      <c r="A248" s="4">
        <v>44616</v>
      </c>
      <c r="B248" t="s">
        <v>3710</v>
      </c>
      <c r="C248" t="s">
        <v>3709</v>
      </c>
      <c r="D248" s="77">
        <v>0.875</v>
      </c>
      <c r="E248" t="s">
        <v>3314</v>
      </c>
      <c r="F248">
        <v>50</v>
      </c>
      <c r="G248" t="s">
        <v>3315</v>
      </c>
      <c r="H248">
        <v>20000</v>
      </c>
      <c r="I248" t="s">
        <v>3316</v>
      </c>
      <c r="J248">
        <v>20000</v>
      </c>
      <c r="K248">
        <v>80000</v>
      </c>
      <c r="L248" t="s">
        <v>118</v>
      </c>
      <c r="M248" t="s">
        <v>28</v>
      </c>
      <c r="N248" t="s">
        <v>132</v>
      </c>
      <c r="O248" t="s">
        <v>3449</v>
      </c>
      <c r="P248" s="5" t="s">
        <v>3318</v>
      </c>
      <c r="Q248">
        <v>4</v>
      </c>
    </row>
    <row r="249" spans="1:17" x14ac:dyDescent="0.3">
      <c r="A249" s="4">
        <v>44617</v>
      </c>
      <c r="B249" t="s">
        <v>3711</v>
      </c>
      <c r="C249" t="s">
        <v>3712</v>
      </c>
      <c r="D249" s="77">
        <v>0.44791666666666669</v>
      </c>
      <c r="E249" t="s">
        <v>3314</v>
      </c>
      <c r="F249">
        <v>44</v>
      </c>
      <c r="G249" t="s">
        <v>3315</v>
      </c>
      <c r="H249">
        <v>20000</v>
      </c>
      <c r="I249" t="s">
        <v>3316</v>
      </c>
      <c r="J249">
        <v>20000</v>
      </c>
      <c r="K249">
        <v>80000</v>
      </c>
      <c r="L249" t="s">
        <v>118</v>
      </c>
      <c r="M249" t="s">
        <v>24</v>
      </c>
      <c r="N249" t="s">
        <v>103</v>
      </c>
      <c r="O249" t="s">
        <v>3585</v>
      </c>
      <c r="P249" s="5" t="s">
        <v>3318</v>
      </c>
      <c r="Q249">
        <v>4</v>
      </c>
    </row>
    <row r="250" spans="1:17" x14ac:dyDescent="0.3">
      <c r="A250" s="4">
        <v>44617</v>
      </c>
      <c r="B250" t="s">
        <v>3713</v>
      </c>
      <c r="C250" t="s">
        <v>3712</v>
      </c>
      <c r="D250" s="77">
        <v>0.4513888888888889</v>
      </c>
      <c r="E250" t="s">
        <v>3314</v>
      </c>
      <c r="F250">
        <v>56</v>
      </c>
      <c r="G250" t="s">
        <v>3315</v>
      </c>
      <c r="H250">
        <v>50000</v>
      </c>
      <c r="I250" t="s">
        <v>3316</v>
      </c>
      <c r="J250">
        <v>50000</v>
      </c>
      <c r="K250">
        <v>200000</v>
      </c>
      <c r="L250" t="s">
        <v>118</v>
      </c>
      <c r="M250" t="s">
        <v>25</v>
      </c>
      <c r="N250" t="s">
        <v>129</v>
      </c>
      <c r="O250" t="s">
        <v>3714</v>
      </c>
      <c r="P250" s="5" t="s">
        <v>3318</v>
      </c>
      <c r="Q250">
        <v>4</v>
      </c>
    </row>
    <row r="251" spans="1:17" x14ac:dyDescent="0.3">
      <c r="A251" s="4">
        <v>44617</v>
      </c>
      <c r="B251" t="s">
        <v>3715</v>
      </c>
      <c r="C251" t="s">
        <v>3636</v>
      </c>
      <c r="D251" s="77">
        <v>0.48333333333333334</v>
      </c>
      <c r="E251" t="s">
        <v>3314</v>
      </c>
      <c r="F251">
        <v>52</v>
      </c>
      <c r="G251" t="s">
        <v>3315</v>
      </c>
      <c r="H251">
        <v>30000</v>
      </c>
      <c r="I251" t="s">
        <v>3316</v>
      </c>
      <c r="J251">
        <v>30000</v>
      </c>
      <c r="K251">
        <v>120000</v>
      </c>
      <c r="L251" t="s">
        <v>118</v>
      </c>
      <c r="M251" t="s">
        <v>86</v>
      </c>
      <c r="N251" t="s">
        <v>120</v>
      </c>
      <c r="O251" t="s">
        <v>3446</v>
      </c>
      <c r="P251" s="5" t="s">
        <v>3318</v>
      </c>
      <c r="Q251">
        <v>4</v>
      </c>
    </row>
    <row r="252" spans="1:17" x14ac:dyDescent="0.3">
      <c r="A252" s="4">
        <v>44617</v>
      </c>
      <c r="B252" t="s">
        <v>3716</v>
      </c>
      <c r="C252" t="s">
        <v>3717</v>
      </c>
      <c r="D252" s="77">
        <v>0.54166666666666663</v>
      </c>
      <c r="E252" t="s">
        <v>3314</v>
      </c>
      <c r="F252">
        <v>44</v>
      </c>
      <c r="G252" t="s">
        <v>3315</v>
      </c>
      <c r="H252">
        <v>20000</v>
      </c>
      <c r="I252" t="s">
        <v>3316</v>
      </c>
      <c r="J252">
        <v>20000</v>
      </c>
      <c r="K252">
        <v>80000</v>
      </c>
      <c r="L252" t="s">
        <v>118</v>
      </c>
      <c r="M252" t="s">
        <v>28</v>
      </c>
      <c r="N252" t="s">
        <v>132</v>
      </c>
      <c r="O252" t="s">
        <v>3449</v>
      </c>
      <c r="P252" s="5" t="s">
        <v>3318</v>
      </c>
      <c r="Q252">
        <v>4</v>
      </c>
    </row>
    <row r="253" spans="1:17" x14ac:dyDescent="0.3">
      <c r="A253" s="4">
        <v>44617</v>
      </c>
      <c r="B253" t="s">
        <v>3718</v>
      </c>
      <c r="C253" t="s">
        <v>3717</v>
      </c>
      <c r="D253" s="77">
        <v>0.56666666666666665</v>
      </c>
      <c r="E253" t="s">
        <v>3314</v>
      </c>
      <c r="F253">
        <v>52</v>
      </c>
      <c r="G253" t="s">
        <v>3315</v>
      </c>
      <c r="H253">
        <v>20000</v>
      </c>
      <c r="I253" t="s">
        <v>3316</v>
      </c>
      <c r="J253">
        <v>20000</v>
      </c>
      <c r="K253">
        <v>80000</v>
      </c>
      <c r="L253" t="s">
        <v>118</v>
      </c>
      <c r="M253" t="s">
        <v>28</v>
      </c>
      <c r="N253" t="s">
        <v>132</v>
      </c>
      <c r="O253" t="s">
        <v>3449</v>
      </c>
      <c r="P253" s="5" t="s">
        <v>3318</v>
      </c>
      <c r="Q253">
        <v>4</v>
      </c>
    </row>
    <row r="254" spans="1:17" x14ac:dyDescent="0.3">
      <c r="A254" s="4">
        <v>44617</v>
      </c>
      <c r="B254" t="s">
        <v>3719</v>
      </c>
      <c r="C254" t="s">
        <v>3720</v>
      </c>
      <c r="D254" s="77">
        <v>0.57430555555555551</v>
      </c>
      <c r="E254" t="s">
        <v>3314</v>
      </c>
      <c r="F254">
        <v>70</v>
      </c>
      <c r="G254" t="s">
        <v>3315</v>
      </c>
      <c r="H254">
        <v>20000</v>
      </c>
      <c r="I254" t="s">
        <v>3316</v>
      </c>
      <c r="J254">
        <v>20000</v>
      </c>
      <c r="K254">
        <v>80000</v>
      </c>
      <c r="L254" t="s">
        <v>118</v>
      </c>
      <c r="M254" t="s">
        <v>91</v>
      </c>
      <c r="N254" t="s">
        <v>136</v>
      </c>
      <c r="O254" t="s">
        <v>3422</v>
      </c>
      <c r="P254" s="5" t="s">
        <v>3318</v>
      </c>
      <c r="Q254">
        <v>4</v>
      </c>
    </row>
    <row r="255" spans="1:17" x14ac:dyDescent="0.3">
      <c r="A255" s="4">
        <v>44617</v>
      </c>
      <c r="B255" t="s">
        <v>3721</v>
      </c>
      <c r="C255" t="s">
        <v>3717</v>
      </c>
      <c r="D255" s="77">
        <v>0.58333333333333337</v>
      </c>
      <c r="E255" t="s">
        <v>3314</v>
      </c>
      <c r="F255">
        <v>61</v>
      </c>
      <c r="G255" t="s">
        <v>3315</v>
      </c>
      <c r="H255">
        <v>20000</v>
      </c>
      <c r="I255" t="s">
        <v>3316</v>
      </c>
      <c r="J255">
        <v>20000</v>
      </c>
      <c r="K255">
        <v>80000</v>
      </c>
      <c r="L255" t="s">
        <v>118</v>
      </c>
      <c r="M255" t="s">
        <v>28</v>
      </c>
      <c r="N255" t="s">
        <v>132</v>
      </c>
      <c r="O255" t="s">
        <v>3449</v>
      </c>
      <c r="P255" s="5" t="s">
        <v>3318</v>
      </c>
      <c r="Q255">
        <v>4</v>
      </c>
    </row>
    <row r="256" spans="1:17" x14ac:dyDescent="0.3">
      <c r="A256" s="4">
        <v>44617</v>
      </c>
      <c r="B256" t="s">
        <v>3722</v>
      </c>
      <c r="C256" t="s">
        <v>3636</v>
      </c>
      <c r="D256" s="77">
        <v>0.58680555555555558</v>
      </c>
      <c r="E256" t="s">
        <v>3314</v>
      </c>
      <c r="F256">
        <v>75</v>
      </c>
      <c r="G256" t="s">
        <v>3315</v>
      </c>
      <c r="H256">
        <v>20000</v>
      </c>
      <c r="I256" t="s">
        <v>3316</v>
      </c>
      <c r="J256">
        <v>20000</v>
      </c>
      <c r="K256">
        <v>20000</v>
      </c>
      <c r="L256" t="s">
        <v>124</v>
      </c>
      <c r="M256" t="s">
        <v>93</v>
      </c>
      <c r="N256" t="s">
        <v>121</v>
      </c>
      <c r="O256" t="s">
        <v>3646</v>
      </c>
      <c r="P256" s="5" t="s">
        <v>3318</v>
      </c>
      <c r="Q256">
        <v>1</v>
      </c>
    </row>
    <row r="257" spans="1:17" x14ac:dyDescent="0.3">
      <c r="A257" s="4">
        <v>44617</v>
      </c>
      <c r="B257" t="s">
        <v>3723</v>
      </c>
      <c r="C257" t="s">
        <v>3724</v>
      </c>
      <c r="D257" s="77">
        <v>0.59652777777777777</v>
      </c>
      <c r="E257" t="s">
        <v>3314</v>
      </c>
      <c r="F257">
        <v>52</v>
      </c>
      <c r="G257" t="s">
        <v>3315</v>
      </c>
      <c r="H257">
        <v>30000</v>
      </c>
      <c r="I257" t="s">
        <v>3348</v>
      </c>
      <c r="J257">
        <v>30000</v>
      </c>
      <c r="K257">
        <v>90000</v>
      </c>
      <c r="L257" t="s">
        <v>149</v>
      </c>
      <c r="M257" t="s">
        <v>3020</v>
      </c>
      <c r="N257" t="s">
        <v>2852</v>
      </c>
      <c r="O257" t="s">
        <v>3661</v>
      </c>
      <c r="P257" s="5" t="s">
        <v>3318</v>
      </c>
      <c r="Q257">
        <v>3</v>
      </c>
    </row>
    <row r="258" spans="1:17" x14ac:dyDescent="0.3">
      <c r="A258" s="4">
        <v>44617</v>
      </c>
      <c r="B258" t="s">
        <v>3725</v>
      </c>
      <c r="C258" t="s">
        <v>3726</v>
      </c>
      <c r="D258" s="77">
        <v>0.6118055555555556</v>
      </c>
      <c r="E258" t="s">
        <v>3332</v>
      </c>
      <c r="F258">
        <v>25</v>
      </c>
      <c r="G258" t="s">
        <v>3315</v>
      </c>
      <c r="H258">
        <v>20000</v>
      </c>
      <c r="I258" t="s">
        <v>3316</v>
      </c>
      <c r="J258">
        <v>20000</v>
      </c>
      <c r="K258">
        <v>100000</v>
      </c>
      <c r="L258" t="s">
        <v>116</v>
      </c>
      <c r="M258" t="s">
        <v>111</v>
      </c>
      <c r="N258" t="s">
        <v>112</v>
      </c>
      <c r="O258" t="s">
        <v>3345</v>
      </c>
      <c r="P258" s="5" t="s">
        <v>3318</v>
      </c>
      <c r="Q258">
        <v>5</v>
      </c>
    </row>
    <row r="259" spans="1:17" x14ac:dyDescent="0.3">
      <c r="A259" s="4">
        <v>44617</v>
      </c>
      <c r="B259" t="s">
        <v>3727</v>
      </c>
      <c r="C259" t="s">
        <v>3724</v>
      </c>
      <c r="D259" s="77">
        <v>0.62777777777777777</v>
      </c>
      <c r="E259" t="s">
        <v>3314</v>
      </c>
      <c r="F259">
        <v>40</v>
      </c>
      <c r="G259" t="s">
        <v>3315</v>
      </c>
      <c r="H259">
        <v>20000</v>
      </c>
      <c r="I259" t="s">
        <v>3316</v>
      </c>
      <c r="J259">
        <v>20000</v>
      </c>
      <c r="K259">
        <v>60000</v>
      </c>
      <c r="L259" t="s">
        <v>149</v>
      </c>
      <c r="M259" t="s">
        <v>3020</v>
      </c>
      <c r="N259" t="s">
        <v>2852</v>
      </c>
      <c r="O259" t="s">
        <v>3661</v>
      </c>
      <c r="P259" s="5" t="s">
        <v>3318</v>
      </c>
      <c r="Q259">
        <v>3</v>
      </c>
    </row>
    <row r="260" spans="1:17" x14ac:dyDescent="0.3">
      <c r="A260" s="4">
        <v>44617</v>
      </c>
      <c r="B260" t="s">
        <v>3728</v>
      </c>
      <c r="C260" t="s">
        <v>3729</v>
      </c>
      <c r="D260" s="77">
        <v>0.62916666666666665</v>
      </c>
      <c r="E260" t="s">
        <v>3314</v>
      </c>
      <c r="F260">
        <v>54</v>
      </c>
      <c r="G260" t="s">
        <v>3315</v>
      </c>
      <c r="H260">
        <v>20000</v>
      </c>
      <c r="I260" t="s">
        <v>3316</v>
      </c>
      <c r="J260">
        <v>20000</v>
      </c>
      <c r="K260">
        <v>90000</v>
      </c>
      <c r="L260" t="s">
        <v>116</v>
      </c>
      <c r="M260" t="s">
        <v>76</v>
      </c>
      <c r="N260" t="s">
        <v>107</v>
      </c>
      <c r="O260" t="s">
        <v>3321</v>
      </c>
      <c r="P260" s="5" t="s">
        <v>3318</v>
      </c>
      <c r="Q260">
        <v>4.5</v>
      </c>
    </row>
    <row r="261" spans="1:17" x14ac:dyDescent="0.3">
      <c r="A261" s="4">
        <v>44617</v>
      </c>
      <c r="B261" t="s">
        <v>3730</v>
      </c>
      <c r="C261" t="s">
        <v>3386</v>
      </c>
      <c r="D261" s="77">
        <v>0.63194444444444442</v>
      </c>
      <c r="E261" t="s">
        <v>3332</v>
      </c>
      <c r="F261">
        <v>44</v>
      </c>
      <c r="G261" t="s">
        <v>3315</v>
      </c>
      <c r="H261">
        <v>30000</v>
      </c>
      <c r="I261" t="s">
        <v>3316</v>
      </c>
      <c r="J261">
        <v>30000</v>
      </c>
      <c r="K261">
        <v>150000</v>
      </c>
      <c r="L261" t="s">
        <v>114</v>
      </c>
      <c r="M261" t="s">
        <v>23</v>
      </c>
      <c r="N261" t="s">
        <v>99</v>
      </c>
      <c r="O261" t="s">
        <v>3358</v>
      </c>
      <c r="P261" s="5" t="s">
        <v>3318</v>
      </c>
      <c r="Q261">
        <v>5</v>
      </c>
    </row>
    <row r="262" spans="1:17" x14ac:dyDescent="0.3">
      <c r="A262" s="4">
        <v>44617</v>
      </c>
      <c r="B262" t="s">
        <v>3731</v>
      </c>
      <c r="C262" t="s">
        <v>3612</v>
      </c>
      <c r="D262" s="77">
        <v>0.6333333333333333</v>
      </c>
      <c r="E262" t="s">
        <v>3314</v>
      </c>
      <c r="F262">
        <v>31</v>
      </c>
      <c r="G262" t="s">
        <v>3315</v>
      </c>
      <c r="H262">
        <v>20000</v>
      </c>
      <c r="I262" t="s">
        <v>3348</v>
      </c>
      <c r="J262">
        <v>20000</v>
      </c>
      <c r="K262">
        <v>90000</v>
      </c>
      <c r="L262" t="s">
        <v>114</v>
      </c>
      <c r="M262" t="s">
        <v>79</v>
      </c>
      <c r="N262" t="s">
        <v>131</v>
      </c>
      <c r="O262" t="s">
        <v>3465</v>
      </c>
      <c r="P262" s="5" t="s">
        <v>3318</v>
      </c>
      <c r="Q262">
        <v>4.5</v>
      </c>
    </row>
    <row r="263" spans="1:17" x14ac:dyDescent="0.3">
      <c r="A263" s="4">
        <v>44617</v>
      </c>
      <c r="B263" t="s">
        <v>3732</v>
      </c>
      <c r="C263" t="s">
        <v>3636</v>
      </c>
      <c r="D263" s="77">
        <v>0.63750000000000007</v>
      </c>
      <c r="E263" t="s">
        <v>3314</v>
      </c>
      <c r="F263">
        <v>61</v>
      </c>
      <c r="G263" t="s">
        <v>3315</v>
      </c>
      <c r="H263">
        <v>20000</v>
      </c>
      <c r="I263" t="s">
        <v>3316</v>
      </c>
      <c r="J263">
        <v>20000</v>
      </c>
      <c r="K263">
        <v>80000</v>
      </c>
      <c r="L263" t="s">
        <v>118</v>
      </c>
      <c r="M263" t="s">
        <v>86</v>
      </c>
      <c r="N263" t="s">
        <v>120</v>
      </c>
      <c r="O263" t="s">
        <v>3446</v>
      </c>
      <c r="P263" s="5" t="s">
        <v>3318</v>
      </c>
      <c r="Q263">
        <v>4</v>
      </c>
    </row>
    <row r="264" spans="1:17" x14ac:dyDescent="0.3">
      <c r="A264" s="4">
        <v>44617</v>
      </c>
      <c r="B264" t="s">
        <v>3733</v>
      </c>
      <c r="C264" t="s">
        <v>3695</v>
      </c>
      <c r="D264" s="77">
        <v>0.63750000000000007</v>
      </c>
      <c r="E264" t="s">
        <v>3314</v>
      </c>
      <c r="F264">
        <v>61</v>
      </c>
      <c r="G264" t="s">
        <v>3315</v>
      </c>
      <c r="H264">
        <v>30000</v>
      </c>
      <c r="I264" t="s">
        <v>3316</v>
      </c>
      <c r="J264">
        <v>30000</v>
      </c>
      <c r="K264">
        <v>120000</v>
      </c>
      <c r="L264" t="s">
        <v>118</v>
      </c>
      <c r="M264" t="s">
        <v>2729</v>
      </c>
      <c r="N264" t="s">
        <v>121</v>
      </c>
      <c r="O264" t="s">
        <v>3416</v>
      </c>
      <c r="P264" s="5" t="s">
        <v>3318</v>
      </c>
      <c r="Q264">
        <v>4</v>
      </c>
    </row>
    <row r="265" spans="1:17" x14ac:dyDescent="0.3">
      <c r="A265" s="4">
        <v>44617</v>
      </c>
      <c r="B265" t="s">
        <v>3734</v>
      </c>
      <c r="C265" t="s">
        <v>3724</v>
      </c>
      <c r="D265" s="77">
        <v>0.64097222222222217</v>
      </c>
      <c r="E265" t="s">
        <v>3314</v>
      </c>
      <c r="F265">
        <v>42</v>
      </c>
      <c r="G265" t="s">
        <v>3315</v>
      </c>
      <c r="H265">
        <v>20000</v>
      </c>
      <c r="I265" t="s">
        <v>3316</v>
      </c>
      <c r="J265">
        <v>20000</v>
      </c>
      <c r="K265">
        <v>60000</v>
      </c>
      <c r="L265" t="s">
        <v>149</v>
      </c>
      <c r="M265" t="s">
        <v>3020</v>
      </c>
      <c r="N265" t="s">
        <v>2852</v>
      </c>
      <c r="O265" t="s">
        <v>3661</v>
      </c>
      <c r="P265" s="5" t="s">
        <v>3318</v>
      </c>
      <c r="Q265">
        <v>3</v>
      </c>
    </row>
    <row r="266" spans="1:17" x14ac:dyDescent="0.3">
      <c r="A266" s="4">
        <v>44617</v>
      </c>
      <c r="B266" t="s">
        <v>3735</v>
      </c>
      <c r="C266" t="s">
        <v>3720</v>
      </c>
      <c r="D266" s="77">
        <v>0.65277777777777779</v>
      </c>
      <c r="E266" t="s">
        <v>3314</v>
      </c>
      <c r="F266">
        <v>53</v>
      </c>
      <c r="G266" t="s">
        <v>3315</v>
      </c>
      <c r="H266">
        <v>20000</v>
      </c>
      <c r="I266" t="s">
        <v>3316</v>
      </c>
      <c r="J266">
        <v>20000</v>
      </c>
      <c r="K266">
        <v>80000</v>
      </c>
      <c r="L266" t="s">
        <v>118</v>
      </c>
      <c r="M266" t="s">
        <v>85</v>
      </c>
      <c r="N266" t="s">
        <v>109</v>
      </c>
      <c r="O266" t="s">
        <v>3342</v>
      </c>
      <c r="P266" s="5" t="s">
        <v>3318</v>
      </c>
      <c r="Q266">
        <v>4</v>
      </c>
    </row>
    <row r="267" spans="1:17" x14ac:dyDescent="0.3">
      <c r="A267" s="4">
        <v>44617</v>
      </c>
      <c r="B267" t="s">
        <v>3736</v>
      </c>
      <c r="C267" t="s">
        <v>3729</v>
      </c>
      <c r="D267" s="77">
        <v>0.65555555555555556</v>
      </c>
      <c r="E267" t="s">
        <v>3314</v>
      </c>
      <c r="F267">
        <v>38</v>
      </c>
      <c r="G267" t="s">
        <v>3315</v>
      </c>
      <c r="H267">
        <v>20000</v>
      </c>
      <c r="I267" t="s">
        <v>3316</v>
      </c>
      <c r="J267">
        <v>20000</v>
      </c>
      <c r="K267">
        <v>90000</v>
      </c>
      <c r="L267" t="s">
        <v>116</v>
      </c>
      <c r="M267" t="s">
        <v>76</v>
      </c>
      <c r="N267" t="s">
        <v>107</v>
      </c>
      <c r="O267" t="s">
        <v>3321</v>
      </c>
      <c r="P267" s="5" t="s">
        <v>3318</v>
      </c>
      <c r="Q267">
        <v>4.5</v>
      </c>
    </row>
    <row r="268" spans="1:17" x14ac:dyDescent="0.3">
      <c r="A268" s="4">
        <v>44617</v>
      </c>
      <c r="B268" t="s">
        <v>3737</v>
      </c>
      <c r="C268" t="s">
        <v>3612</v>
      </c>
      <c r="D268" s="77">
        <v>0.66597222222222219</v>
      </c>
      <c r="E268" t="s">
        <v>3314</v>
      </c>
      <c r="F268">
        <v>42</v>
      </c>
      <c r="G268" t="s">
        <v>3315</v>
      </c>
      <c r="H268">
        <v>20000</v>
      </c>
      <c r="I268" t="s">
        <v>3316</v>
      </c>
      <c r="J268">
        <v>20000</v>
      </c>
      <c r="K268">
        <v>90000</v>
      </c>
      <c r="L268" t="s">
        <v>114</v>
      </c>
      <c r="M268" t="s">
        <v>79</v>
      </c>
      <c r="N268" t="s">
        <v>131</v>
      </c>
      <c r="O268" t="s">
        <v>3465</v>
      </c>
      <c r="P268" s="5" t="s">
        <v>3318</v>
      </c>
      <c r="Q268">
        <v>4.5</v>
      </c>
    </row>
    <row r="269" spans="1:17" x14ac:dyDescent="0.3">
      <c r="A269" s="4">
        <v>44617</v>
      </c>
      <c r="B269" t="s">
        <v>3738</v>
      </c>
      <c r="C269" t="s">
        <v>3388</v>
      </c>
      <c r="D269" s="77">
        <v>0.67499999999999993</v>
      </c>
      <c r="E269" t="s">
        <v>3314</v>
      </c>
      <c r="F269">
        <v>53</v>
      </c>
      <c r="G269" t="s">
        <v>3315</v>
      </c>
      <c r="H269">
        <v>20000</v>
      </c>
      <c r="I269" t="s">
        <v>3316</v>
      </c>
      <c r="J269">
        <v>20000</v>
      </c>
      <c r="K269">
        <v>80000</v>
      </c>
      <c r="L269" t="s">
        <v>118</v>
      </c>
      <c r="M269" t="s">
        <v>92</v>
      </c>
      <c r="N269" t="s">
        <v>137</v>
      </c>
      <c r="O269" t="s">
        <v>3476</v>
      </c>
      <c r="P269" s="5" t="s">
        <v>3318</v>
      </c>
      <c r="Q269">
        <v>4</v>
      </c>
    </row>
    <row r="270" spans="1:17" x14ac:dyDescent="0.3">
      <c r="A270" s="4">
        <v>44617</v>
      </c>
      <c r="B270" t="s">
        <v>3739</v>
      </c>
      <c r="C270" t="s">
        <v>3695</v>
      </c>
      <c r="D270" s="77">
        <v>0.6777777777777777</v>
      </c>
      <c r="E270" t="s">
        <v>3314</v>
      </c>
      <c r="F270">
        <v>52</v>
      </c>
      <c r="G270" t="s">
        <v>3315</v>
      </c>
      <c r="H270">
        <v>20000</v>
      </c>
      <c r="I270" t="s">
        <v>3316</v>
      </c>
      <c r="J270">
        <v>20000</v>
      </c>
      <c r="K270">
        <v>80000</v>
      </c>
      <c r="L270" t="s">
        <v>118</v>
      </c>
      <c r="M270" t="s">
        <v>2729</v>
      </c>
      <c r="N270" t="s">
        <v>121</v>
      </c>
      <c r="O270" t="s">
        <v>3416</v>
      </c>
      <c r="P270" s="5" t="s">
        <v>3318</v>
      </c>
      <c r="Q270">
        <v>4</v>
      </c>
    </row>
    <row r="271" spans="1:17" x14ac:dyDescent="0.3">
      <c r="A271" s="4">
        <v>44617</v>
      </c>
      <c r="B271" t="s">
        <v>3740</v>
      </c>
      <c r="C271" t="s">
        <v>3454</v>
      </c>
      <c r="D271" s="77">
        <v>0.6791666666666667</v>
      </c>
      <c r="E271" t="s">
        <v>3314</v>
      </c>
      <c r="F271">
        <v>38</v>
      </c>
      <c r="G271" t="s">
        <v>3315</v>
      </c>
      <c r="H271">
        <v>20000</v>
      </c>
      <c r="I271" t="s">
        <v>3316</v>
      </c>
      <c r="J271">
        <v>20000</v>
      </c>
      <c r="K271">
        <v>60000</v>
      </c>
      <c r="L271" t="s">
        <v>149</v>
      </c>
      <c r="M271" t="s">
        <v>3033</v>
      </c>
      <c r="N271" t="s">
        <v>3035</v>
      </c>
      <c r="O271" t="s">
        <v>3542</v>
      </c>
      <c r="P271" s="5" t="s">
        <v>3318</v>
      </c>
      <c r="Q271">
        <v>3</v>
      </c>
    </row>
    <row r="272" spans="1:17" x14ac:dyDescent="0.3">
      <c r="A272" s="4">
        <v>44617</v>
      </c>
      <c r="B272" t="s">
        <v>3741</v>
      </c>
      <c r="C272" t="s">
        <v>3724</v>
      </c>
      <c r="D272" s="77">
        <v>0.68402777777777779</v>
      </c>
      <c r="E272" t="s">
        <v>3314</v>
      </c>
      <c r="F272">
        <v>54</v>
      </c>
      <c r="G272" t="s">
        <v>3315</v>
      </c>
      <c r="H272">
        <v>20000</v>
      </c>
      <c r="I272" t="s">
        <v>3316</v>
      </c>
      <c r="J272">
        <v>20000</v>
      </c>
      <c r="K272">
        <v>90000</v>
      </c>
      <c r="L272" t="s">
        <v>114</v>
      </c>
      <c r="M272" t="s">
        <v>30</v>
      </c>
      <c r="N272" t="s">
        <v>106</v>
      </c>
      <c r="O272" t="s">
        <v>3379</v>
      </c>
      <c r="P272" s="5" t="s">
        <v>3318</v>
      </c>
      <c r="Q272">
        <v>4.5</v>
      </c>
    </row>
    <row r="273" spans="1:17" x14ac:dyDescent="0.3">
      <c r="A273" s="4">
        <v>44617</v>
      </c>
      <c r="B273" t="s">
        <v>3742</v>
      </c>
      <c r="C273" t="s">
        <v>3388</v>
      </c>
      <c r="D273" s="77">
        <v>0.7090277777777777</v>
      </c>
      <c r="E273" t="s">
        <v>3314</v>
      </c>
      <c r="F273">
        <v>44</v>
      </c>
      <c r="G273" t="s">
        <v>3315</v>
      </c>
      <c r="H273">
        <v>20000</v>
      </c>
      <c r="I273" t="s">
        <v>3316</v>
      </c>
      <c r="J273">
        <v>20000</v>
      </c>
      <c r="K273">
        <v>80000</v>
      </c>
      <c r="L273" t="s">
        <v>118</v>
      </c>
      <c r="M273" t="s">
        <v>3023</v>
      </c>
      <c r="N273" t="s">
        <v>3025</v>
      </c>
      <c r="O273" t="s">
        <v>3481</v>
      </c>
      <c r="P273" s="5" t="s">
        <v>3318</v>
      </c>
      <c r="Q273">
        <v>4</v>
      </c>
    </row>
    <row r="274" spans="1:17" x14ac:dyDescent="0.3">
      <c r="A274" s="4">
        <v>44617</v>
      </c>
      <c r="B274" t="s">
        <v>3743</v>
      </c>
      <c r="C274" t="s">
        <v>3636</v>
      </c>
      <c r="D274" s="77">
        <v>0.72569444444444453</v>
      </c>
      <c r="E274" t="s">
        <v>3314</v>
      </c>
      <c r="F274">
        <v>54</v>
      </c>
      <c r="G274" t="s">
        <v>3315</v>
      </c>
      <c r="H274">
        <v>20000</v>
      </c>
      <c r="I274" t="s">
        <v>3316</v>
      </c>
      <c r="J274">
        <v>20000</v>
      </c>
      <c r="K274">
        <v>80000</v>
      </c>
      <c r="L274" t="s">
        <v>118</v>
      </c>
      <c r="M274" t="s">
        <v>86</v>
      </c>
      <c r="N274" t="s">
        <v>120</v>
      </c>
      <c r="O274" t="s">
        <v>3446</v>
      </c>
      <c r="P274" s="5" t="s">
        <v>3318</v>
      </c>
      <c r="Q274">
        <v>4</v>
      </c>
    </row>
    <row r="275" spans="1:17" x14ac:dyDescent="0.3">
      <c r="A275" s="4">
        <v>44617</v>
      </c>
      <c r="B275" t="s">
        <v>3744</v>
      </c>
      <c r="C275" t="s">
        <v>3724</v>
      </c>
      <c r="D275" s="77">
        <v>0.74375000000000002</v>
      </c>
      <c r="E275" t="s">
        <v>3314</v>
      </c>
      <c r="F275">
        <v>48</v>
      </c>
      <c r="G275" t="s">
        <v>3315</v>
      </c>
      <c r="H275">
        <v>20000</v>
      </c>
      <c r="I275" t="s">
        <v>3316</v>
      </c>
      <c r="J275">
        <v>20000</v>
      </c>
      <c r="K275">
        <v>60000</v>
      </c>
      <c r="L275" t="s">
        <v>149</v>
      </c>
      <c r="M275" t="s">
        <v>3020</v>
      </c>
      <c r="N275" t="s">
        <v>2852</v>
      </c>
      <c r="O275" t="s">
        <v>3661</v>
      </c>
      <c r="P275" s="5" t="s">
        <v>3318</v>
      </c>
      <c r="Q275">
        <v>3</v>
      </c>
    </row>
    <row r="276" spans="1:17" x14ac:dyDescent="0.3">
      <c r="A276" s="4">
        <v>44617</v>
      </c>
      <c r="B276" t="s">
        <v>3745</v>
      </c>
      <c r="C276" t="s">
        <v>3454</v>
      </c>
      <c r="D276" s="77">
        <v>0.78819444444444453</v>
      </c>
      <c r="E276" t="s">
        <v>3314</v>
      </c>
      <c r="F276">
        <v>50</v>
      </c>
      <c r="G276" t="s">
        <v>3315</v>
      </c>
      <c r="H276">
        <v>30000</v>
      </c>
      <c r="I276" t="s">
        <v>3316</v>
      </c>
      <c r="J276">
        <v>30000</v>
      </c>
      <c r="K276">
        <v>90000</v>
      </c>
      <c r="L276" t="s">
        <v>149</v>
      </c>
      <c r="M276" t="s">
        <v>3033</v>
      </c>
      <c r="N276" t="s">
        <v>3035</v>
      </c>
      <c r="O276" t="s">
        <v>3542</v>
      </c>
      <c r="P276" s="5" t="s">
        <v>3318</v>
      </c>
      <c r="Q276">
        <v>3</v>
      </c>
    </row>
    <row r="277" spans="1:17" x14ac:dyDescent="0.3">
      <c r="A277" s="4">
        <v>44617</v>
      </c>
      <c r="B277" t="s">
        <v>3746</v>
      </c>
      <c r="C277" t="s">
        <v>3454</v>
      </c>
      <c r="D277" s="77">
        <v>0.78819444444444453</v>
      </c>
      <c r="E277" t="s">
        <v>3314</v>
      </c>
      <c r="F277">
        <v>32</v>
      </c>
      <c r="G277" t="s">
        <v>3315</v>
      </c>
      <c r="H277">
        <v>20000</v>
      </c>
      <c r="I277" t="s">
        <v>3316</v>
      </c>
      <c r="J277">
        <v>20000</v>
      </c>
      <c r="K277">
        <v>80000</v>
      </c>
      <c r="L277" t="s">
        <v>118</v>
      </c>
      <c r="M277" t="s">
        <v>90</v>
      </c>
      <c r="N277" t="s">
        <v>110</v>
      </c>
      <c r="O277" t="s">
        <v>3455</v>
      </c>
      <c r="P277" s="5" t="s">
        <v>3318</v>
      </c>
      <c r="Q277">
        <v>4</v>
      </c>
    </row>
    <row r="278" spans="1:17" x14ac:dyDescent="0.3">
      <c r="A278" s="4">
        <v>44617</v>
      </c>
      <c r="B278" t="s">
        <v>3747</v>
      </c>
      <c r="C278" t="s">
        <v>3454</v>
      </c>
      <c r="D278" s="77">
        <v>0.78819444444444453</v>
      </c>
      <c r="E278" t="s">
        <v>3314</v>
      </c>
      <c r="F278">
        <v>50</v>
      </c>
      <c r="G278" t="s">
        <v>3315</v>
      </c>
      <c r="H278">
        <v>30000</v>
      </c>
      <c r="I278" t="s">
        <v>3316</v>
      </c>
      <c r="J278">
        <v>30000</v>
      </c>
      <c r="K278">
        <v>90000</v>
      </c>
      <c r="L278" t="s">
        <v>149</v>
      </c>
      <c r="M278" t="s">
        <v>3033</v>
      </c>
      <c r="N278" t="s">
        <v>3035</v>
      </c>
      <c r="O278" t="s">
        <v>3542</v>
      </c>
      <c r="P278" s="5" t="s">
        <v>3318</v>
      </c>
      <c r="Q278">
        <v>3</v>
      </c>
    </row>
    <row r="279" spans="1:17" x14ac:dyDescent="0.3">
      <c r="A279" s="4">
        <v>44617</v>
      </c>
      <c r="B279" t="s">
        <v>3748</v>
      </c>
      <c r="C279" t="s">
        <v>3724</v>
      </c>
      <c r="D279" s="77">
        <v>0.79513888888888884</v>
      </c>
      <c r="E279" t="s">
        <v>3314</v>
      </c>
      <c r="F279">
        <v>40</v>
      </c>
      <c r="G279" t="s">
        <v>3315</v>
      </c>
      <c r="H279">
        <v>20000</v>
      </c>
      <c r="I279" t="s">
        <v>3316</v>
      </c>
      <c r="J279">
        <v>20000</v>
      </c>
      <c r="K279">
        <v>90000</v>
      </c>
      <c r="L279" t="s">
        <v>119</v>
      </c>
      <c r="M279" t="s">
        <v>29</v>
      </c>
      <c r="N279" t="s">
        <v>104</v>
      </c>
      <c r="O279" t="s">
        <v>3457</v>
      </c>
      <c r="P279" s="5" t="s">
        <v>3318</v>
      </c>
      <c r="Q279">
        <v>4.5</v>
      </c>
    </row>
    <row r="280" spans="1:17" x14ac:dyDescent="0.3">
      <c r="A280" s="4">
        <v>44617</v>
      </c>
      <c r="B280" t="s">
        <v>3749</v>
      </c>
      <c r="C280" t="s">
        <v>3454</v>
      </c>
      <c r="D280" s="77">
        <v>0.80902777777777779</v>
      </c>
      <c r="E280" t="s">
        <v>3314</v>
      </c>
      <c r="F280">
        <v>37</v>
      </c>
      <c r="G280" t="s">
        <v>3315</v>
      </c>
      <c r="H280">
        <v>20000</v>
      </c>
      <c r="I280" t="s">
        <v>3316</v>
      </c>
      <c r="J280">
        <v>20000</v>
      </c>
      <c r="K280">
        <v>80000</v>
      </c>
      <c r="L280" t="s">
        <v>118</v>
      </c>
      <c r="M280" t="s">
        <v>90</v>
      </c>
      <c r="N280" t="s">
        <v>110</v>
      </c>
      <c r="O280" t="s">
        <v>3455</v>
      </c>
      <c r="P280" s="5" t="s">
        <v>3318</v>
      </c>
      <c r="Q280">
        <v>4</v>
      </c>
    </row>
    <row r="281" spans="1:17" x14ac:dyDescent="0.3">
      <c r="A281" s="4">
        <v>44618</v>
      </c>
      <c r="B281" t="s">
        <v>3750</v>
      </c>
      <c r="C281" t="s">
        <v>3751</v>
      </c>
      <c r="D281" s="77">
        <v>0.48402777777777778</v>
      </c>
      <c r="E281" t="s">
        <v>3332</v>
      </c>
      <c r="F281">
        <v>60</v>
      </c>
      <c r="G281" t="s">
        <v>3315</v>
      </c>
      <c r="H281">
        <v>20000</v>
      </c>
      <c r="I281" t="s">
        <v>3316</v>
      </c>
      <c r="J281">
        <v>20000</v>
      </c>
      <c r="K281">
        <v>100000</v>
      </c>
      <c r="L281" t="s">
        <v>116</v>
      </c>
      <c r="M281" t="s">
        <v>111</v>
      </c>
      <c r="N281" t="s">
        <v>112</v>
      </c>
      <c r="O281" t="s">
        <v>3345</v>
      </c>
      <c r="P281" s="5" t="s">
        <v>3318</v>
      </c>
      <c r="Q281">
        <v>5</v>
      </c>
    </row>
    <row r="282" spans="1:17" x14ac:dyDescent="0.3">
      <c r="A282" s="4">
        <v>44618</v>
      </c>
      <c r="B282" t="s">
        <v>3752</v>
      </c>
      <c r="C282" t="s">
        <v>3753</v>
      </c>
      <c r="D282" s="77">
        <v>0.52986111111111112</v>
      </c>
      <c r="E282" t="s">
        <v>3314</v>
      </c>
      <c r="F282">
        <v>51</v>
      </c>
      <c r="G282" t="s">
        <v>3315</v>
      </c>
      <c r="H282">
        <v>20000</v>
      </c>
      <c r="I282" t="s">
        <v>3316</v>
      </c>
      <c r="J282">
        <v>20000</v>
      </c>
      <c r="K282">
        <v>80000</v>
      </c>
      <c r="L282" t="s">
        <v>118</v>
      </c>
      <c r="M282" t="s">
        <v>91</v>
      </c>
      <c r="N282" t="s">
        <v>136</v>
      </c>
      <c r="O282" t="s">
        <v>3422</v>
      </c>
      <c r="P282" s="5" t="s">
        <v>3318</v>
      </c>
      <c r="Q282">
        <v>4</v>
      </c>
    </row>
    <row r="283" spans="1:17" x14ac:dyDescent="0.3">
      <c r="A283" s="4">
        <v>44618</v>
      </c>
      <c r="B283" t="s">
        <v>3754</v>
      </c>
      <c r="C283" t="s">
        <v>3753</v>
      </c>
      <c r="D283" s="77">
        <v>0.54861111111111105</v>
      </c>
      <c r="E283" t="s">
        <v>3314</v>
      </c>
      <c r="F283">
        <v>60</v>
      </c>
      <c r="G283" t="s">
        <v>3315</v>
      </c>
      <c r="H283">
        <v>20000</v>
      </c>
      <c r="I283" t="s">
        <v>3316</v>
      </c>
      <c r="J283">
        <v>20000</v>
      </c>
      <c r="K283">
        <v>80000</v>
      </c>
      <c r="L283" t="s">
        <v>118</v>
      </c>
      <c r="M283" t="s">
        <v>85</v>
      </c>
      <c r="N283" t="s">
        <v>109</v>
      </c>
      <c r="O283" t="s">
        <v>3342</v>
      </c>
      <c r="P283" s="5" t="s">
        <v>3318</v>
      </c>
      <c r="Q283">
        <v>4</v>
      </c>
    </row>
    <row r="284" spans="1:17" x14ac:dyDescent="0.3">
      <c r="A284" s="4">
        <v>44618</v>
      </c>
      <c r="B284" t="s">
        <v>3755</v>
      </c>
      <c r="C284" t="s">
        <v>3751</v>
      </c>
      <c r="D284" s="77">
        <v>0.58611111111111114</v>
      </c>
      <c r="E284" t="s">
        <v>3332</v>
      </c>
      <c r="F284">
        <v>51</v>
      </c>
      <c r="G284" t="s">
        <v>3315</v>
      </c>
      <c r="H284">
        <v>30000</v>
      </c>
      <c r="I284" t="s">
        <v>3348</v>
      </c>
      <c r="J284">
        <v>30000</v>
      </c>
      <c r="K284">
        <v>120000</v>
      </c>
      <c r="L284" t="s">
        <v>118</v>
      </c>
      <c r="M284" t="s">
        <v>145</v>
      </c>
      <c r="N284" t="s">
        <v>146</v>
      </c>
      <c r="O284" t="s">
        <v>3333</v>
      </c>
      <c r="P284" s="5" t="s">
        <v>3318</v>
      </c>
      <c r="Q284">
        <v>4</v>
      </c>
    </row>
    <row r="285" spans="1:17" x14ac:dyDescent="0.3">
      <c r="A285" s="4">
        <v>44618</v>
      </c>
      <c r="B285" t="s">
        <v>3756</v>
      </c>
      <c r="C285" t="s">
        <v>3695</v>
      </c>
      <c r="D285" s="77">
        <v>0.62083333333333335</v>
      </c>
      <c r="E285" t="s">
        <v>3314</v>
      </c>
      <c r="F285">
        <v>58</v>
      </c>
      <c r="G285" t="s">
        <v>3315</v>
      </c>
      <c r="H285">
        <v>20000</v>
      </c>
      <c r="I285" t="s">
        <v>3316</v>
      </c>
      <c r="J285">
        <v>20000</v>
      </c>
      <c r="K285">
        <v>90000</v>
      </c>
      <c r="L285" t="s">
        <v>116</v>
      </c>
      <c r="M285" t="s">
        <v>76</v>
      </c>
      <c r="N285" t="s">
        <v>107</v>
      </c>
      <c r="O285" t="s">
        <v>3321</v>
      </c>
      <c r="P285" s="5" t="s">
        <v>3318</v>
      </c>
      <c r="Q285">
        <v>4.5</v>
      </c>
    </row>
    <row r="286" spans="1:17" x14ac:dyDescent="0.3">
      <c r="A286" s="4">
        <v>44618</v>
      </c>
      <c r="B286" t="s">
        <v>3757</v>
      </c>
      <c r="C286" t="s">
        <v>3462</v>
      </c>
      <c r="D286" s="77">
        <v>0.62916666666666665</v>
      </c>
      <c r="E286" t="s">
        <v>3314</v>
      </c>
      <c r="F286">
        <v>53</v>
      </c>
      <c r="G286" t="s">
        <v>3315</v>
      </c>
      <c r="H286">
        <v>20000</v>
      </c>
      <c r="I286" t="s">
        <v>3316</v>
      </c>
      <c r="J286">
        <v>20000</v>
      </c>
      <c r="K286">
        <v>90000</v>
      </c>
      <c r="L286" t="s">
        <v>114</v>
      </c>
      <c r="M286" t="s">
        <v>31</v>
      </c>
      <c r="N286" t="s">
        <v>105</v>
      </c>
      <c r="O286" t="s">
        <v>3339</v>
      </c>
      <c r="P286" s="5" t="s">
        <v>3318</v>
      </c>
      <c r="Q286">
        <v>4.5</v>
      </c>
    </row>
    <row r="287" spans="1:17" x14ac:dyDescent="0.3">
      <c r="A287" s="4">
        <v>44618</v>
      </c>
      <c r="B287" t="s">
        <v>3758</v>
      </c>
      <c r="C287" t="s">
        <v>3695</v>
      </c>
      <c r="D287" s="77">
        <v>0.64583333333333337</v>
      </c>
      <c r="E287" t="s">
        <v>3314</v>
      </c>
      <c r="F287">
        <v>46</v>
      </c>
      <c r="G287" t="s">
        <v>3315</v>
      </c>
      <c r="H287">
        <v>20000</v>
      </c>
      <c r="I287" t="s">
        <v>3316</v>
      </c>
      <c r="J287">
        <v>20000</v>
      </c>
      <c r="K287">
        <v>80000</v>
      </c>
      <c r="L287" t="s">
        <v>118</v>
      </c>
      <c r="M287" t="s">
        <v>2845</v>
      </c>
      <c r="N287" t="s">
        <v>2847</v>
      </c>
      <c r="O287" t="s">
        <v>3361</v>
      </c>
      <c r="P287" s="5" t="s">
        <v>3318</v>
      </c>
      <c r="Q287">
        <v>4</v>
      </c>
    </row>
    <row r="288" spans="1:17" x14ac:dyDescent="0.3">
      <c r="A288" s="4">
        <v>44618</v>
      </c>
      <c r="B288" t="s">
        <v>3759</v>
      </c>
      <c r="C288" t="s">
        <v>3753</v>
      </c>
      <c r="D288" s="77">
        <v>0.65277777777777779</v>
      </c>
      <c r="E288" t="s">
        <v>3314</v>
      </c>
      <c r="F288">
        <v>64</v>
      </c>
      <c r="G288" t="s">
        <v>3315</v>
      </c>
      <c r="H288">
        <v>20000</v>
      </c>
      <c r="I288" t="s">
        <v>3316</v>
      </c>
      <c r="J288">
        <v>20000</v>
      </c>
      <c r="K288">
        <v>80000</v>
      </c>
      <c r="L288" t="s">
        <v>118</v>
      </c>
      <c r="M288" t="s">
        <v>85</v>
      </c>
      <c r="N288" t="s">
        <v>109</v>
      </c>
      <c r="O288" t="s">
        <v>3342</v>
      </c>
      <c r="P288" s="5" t="s">
        <v>3318</v>
      </c>
      <c r="Q288">
        <v>4</v>
      </c>
    </row>
    <row r="289" spans="1:17" x14ac:dyDescent="0.3">
      <c r="A289" s="4">
        <v>44618</v>
      </c>
      <c r="B289" t="s">
        <v>3760</v>
      </c>
      <c r="C289" t="s">
        <v>3761</v>
      </c>
      <c r="D289" s="77">
        <v>0.66666666666666663</v>
      </c>
      <c r="E289" t="s">
        <v>3314</v>
      </c>
      <c r="F289">
        <v>38</v>
      </c>
      <c r="G289" t="s">
        <v>3315</v>
      </c>
      <c r="H289">
        <v>30000</v>
      </c>
      <c r="I289" t="s">
        <v>3316</v>
      </c>
      <c r="J289">
        <v>30000</v>
      </c>
      <c r="K289">
        <v>120000</v>
      </c>
      <c r="L289" t="s">
        <v>118</v>
      </c>
      <c r="M289" t="s">
        <v>28</v>
      </c>
      <c r="N289" t="s">
        <v>132</v>
      </c>
      <c r="O289" t="s">
        <v>3449</v>
      </c>
      <c r="P289" s="5" t="s">
        <v>3318</v>
      </c>
      <c r="Q289">
        <v>4</v>
      </c>
    </row>
    <row r="290" spans="1:17" x14ac:dyDescent="0.3">
      <c r="A290" s="4">
        <v>44618</v>
      </c>
      <c r="B290" t="s">
        <v>3762</v>
      </c>
      <c r="C290" t="s">
        <v>3695</v>
      </c>
      <c r="D290" s="77">
        <v>0.71527777777777779</v>
      </c>
      <c r="E290" t="s">
        <v>3314</v>
      </c>
      <c r="F290">
        <v>42</v>
      </c>
      <c r="G290" t="s">
        <v>3315</v>
      </c>
      <c r="H290">
        <v>20000</v>
      </c>
      <c r="I290" t="s">
        <v>3316</v>
      </c>
      <c r="J290">
        <v>20000</v>
      </c>
      <c r="K290">
        <v>80000</v>
      </c>
      <c r="L290" t="s">
        <v>118</v>
      </c>
      <c r="M290" t="s">
        <v>2845</v>
      </c>
      <c r="N290" t="s">
        <v>2847</v>
      </c>
      <c r="O290" t="s">
        <v>3361</v>
      </c>
      <c r="P290" s="5" t="s">
        <v>3318</v>
      </c>
      <c r="Q290">
        <v>4</v>
      </c>
    </row>
    <row r="291" spans="1:17" x14ac:dyDescent="0.3">
      <c r="A291" s="4">
        <v>44618</v>
      </c>
      <c r="B291" t="s">
        <v>3763</v>
      </c>
      <c r="C291" t="s">
        <v>3462</v>
      </c>
      <c r="D291" s="77">
        <v>0.72916666666666663</v>
      </c>
      <c r="E291" t="s">
        <v>3314</v>
      </c>
      <c r="F291">
        <v>56</v>
      </c>
      <c r="G291" t="s">
        <v>3315</v>
      </c>
      <c r="H291">
        <v>20000</v>
      </c>
      <c r="I291" t="s">
        <v>3316</v>
      </c>
      <c r="J291">
        <v>20000</v>
      </c>
      <c r="K291">
        <v>80000</v>
      </c>
      <c r="L291" t="s">
        <v>118</v>
      </c>
      <c r="M291" t="s">
        <v>2729</v>
      </c>
      <c r="N291" t="s">
        <v>121</v>
      </c>
      <c r="O291" t="s">
        <v>3416</v>
      </c>
      <c r="P291" s="5" t="s">
        <v>3318</v>
      </c>
      <c r="Q291">
        <v>4</v>
      </c>
    </row>
    <row r="292" spans="1:17" x14ac:dyDescent="0.3">
      <c r="A292" s="4">
        <v>44618</v>
      </c>
      <c r="B292" t="s">
        <v>3764</v>
      </c>
      <c r="C292" t="s">
        <v>3388</v>
      </c>
      <c r="D292" s="77">
        <v>0.76388888888888884</v>
      </c>
      <c r="E292" t="s">
        <v>3314</v>
      </c>
      <c r="F292">
        <v>62</v>
      </c>
      <c r="G292" t="s">
        <v>3315</v>
      </c>
      <c r="H292">
        <v>20000</v>
      </c>
      <c r="I292" t="s">
        <v>3316</v>
      </c>
      <c r="J292">
        <v>20000</v>
      </c>
      <c r="K292">
        <v>60000</v>
      </c>
      <c r="L292" t="s">
        <v>149</v>
      </c>
      <c r="M292" t="s">
        <v>3033</v>
      </c>
      <c r="N292" t="s">
        <v>3035</v>
      </c>
      <c r="O292" t="s">
        <v>3542</v>
      </c>
      <c r="P292" s="5" t="s">
        <v>3318</v>
      </c>
      <c r="Q292">
        <v>3</v>
      </c>
    </row>
    <row r="293" spans="1:17" x14ac:dyDescent="0.3">
      <c r="A293" s="4">
        <v>44618</v>
      </c>
      <c r="B293" t="s">
        <v>3765</v>
      </c>
      <c r="C293" t="s">
        <v>3695</v>
      </c>
      <c r="D293" s="77">
        <v>0.80555555555555547</v>
      </c>
      <c r="E293" t="s">
        <v>3314</v>
      </c>
      <c r="F293">
        <v>67</v>
      </c>
      <c r="G293" t="s">
        <v>3315</v>
      </c>
      <c r="H293">
        <v>20000</v>
      </c>
      <c r="I293" t="s">
        <v>3348</v>
      </c>
      <c r="J293">
        <v>20000</v>
      </c>
      <c r="K293">
        <v>90000</v>
      </c>
      <c r="L293" t="s">
        <v>116</v>
      </c>
      <c r="M293" t="s">
        <v>76</v>
      </c>
      <c r="N293" t="s">
        <v>107</v>
      </c>
      <c r="O293" t="s">
        <v>3321</v>
      </c>
      <c r="P293" s="5" t="s">
        <v>3318</v>
      </c>
      <c r="Q293">
        <v>4.5</v>
      </c>
    </row>
    <row r="294" spans="1:17" x14ac:dyDescent="0.3">
      <c r="A294" s="4">
        <v>44618</v>
      </c>
      <c r="B294" t="s">
        <v>3766</v>
      </c>
      <c r="C294" t="s">
        <v>3462</v>
      </c>
      <c r="D294" s="77">
        <v>0.80555555555555547</v>
      </c>
      <c r="E294" t="s">
        <v>3314</v>
      </c>
      <c r="F294">
        <v>43</v>
      </c>
      <c r="G294" t="s">
        <v>3315</v>
      </c>
      <c r="H294">
        <v>20000</v>
      </c>
      <c r="I294" t="s">
        <v>3316</v>
      </c>
      <c r="J294">
        <v>20000</v>
      </c>
      <c r="K294">
        <v>80000</v>
      </c>
      <c r="L294" t="s">
        <v>118</v>
      </c>
      <c r="M294" t="s">
        <v>2729</v>
      </c>
      <c r="N294" t="s">
        <v>121</v>
      </c>
      <c r="O294" t="s">
        <v>3416</v>
      </c>
      <c r="P294" s="5" t="s">
        <v>3318</v>
      </c>
      <c r="Q294">
        <v>4</v>
      </c>
    </row>
    <row r="295" spans="1:17" x14ac:dyDescent="0.3">
      <c r="A295" s="4">
        <v>44618</v>
      </c>
      <c r="B295" t="s">
        <v>3767</v>
      </c>
      <c r="C295" t="s">
        <v>3388</v>
      </c>
      <c r="D295" s="77">
        <v>0.89097222222222217</v>
      </c>
      <c r="E295" t="s">
        <v>3314</v>
      </c>
      <c r="F295">
        <v>64</v>
      </c>
      <c r="G295" t="s">
        <v>3315</v>
      </c>
      <c r="H295">
        <v>20000</v>
      </c>
      <c r="I295" t="s">
        <v>3316</v>
      </c>
      <c r="J295">
        <v>20000</v>
      </c>
      <c r="K295">
        <v>60000</v>
      </c>
      <c r="L295" t="s">
        <v>149</v>
      </c>
      <c r="M295" t="s">
        <v>3033</v>
      </c>
      <c r="N295" t="s">
        <v>3035</v>
      </c>
      <c r="O295" t="s">
        <v>3542</v>
      </c>
      <c r="P295" s="5" t="s">
        <v>3318</v>
      </c>
      <c r="Q295">
        <v>3</v>
      </c>
    </row>
    <row r="296" spans="1:17" x14ac:dyDescent="0.3">
      <c r="A296" s="4">
        <v>44619</v>
      </c>
      <c r="B296" t="s">
        <v>3768</v>
      </c>
      <c r="C296" t="s">
        <v>3769</v>
      </c>
      <c r="D296" s="77">
        <v>0.73749999999999993</v>
      </c>
      <c r="E296" t="s">
        <v>3314</v>
      </c>
      <c r="F296">
        <v>57</v>
      </c>
      <c r="G296" t="s">
        <v>3315</v>
      </c>
      <c r="H296">
        <v>30000</v>
      </c>
      <c r="I296" t="s">
        <v>3316</v>
      </c>
      <c r="J296">
        <v>30000</v>
      </c>
      <c r="K296">
        <v>135000</v>
      </c>
      <c r="L296" t="s">
        <v>114</v>
      </c>
      <c r="M296" t="s">
        <v>31</v>
      </c>
      <c r="N296" t="s">
        <v>105</v>
      </c>
      <c r="O296" t="s">
        <v>3339</v>
      </c>
      <c r="P296" s="5" t="s">
        <v>3318</v>
      </c>
      <c r="Q296">
        <v>4.5</v>
      </c>
    </row>
    <row r="297" spans="1:17" x14ac:dyDescent="0.3">
      <c r="A297" s="4">
        <v>44619</v>
      </c>
      <c r="B297" t="s">
        <v>3770</v>
      </c>
      <c r="C297" t="s">
        <v>3771</v>
      </c>
      <c r="D297" s="77">
        <v>0.75</v>
      </c>
      <c r="E297" t="s">
        <v>3314</v>
      </c>
      <c r="F297">
        <v>59</v>
      </c>
      <c r="G297" t="s">
        <v>3315</v>
      </c>
      <c r="H297">
        <v>30000</v>
      </c>
      <c r="I297" t="s">
        <v>3316</v>
      </c>
      <c r="J297">
        <v>30000</v>
      </c>
      <c r="K297">
        <v>120000</v>
      </c>
      <c r="L297" t="s">
        <v>118</v>
      </c>
      <c r="M297" t="s">
        <v>28</v>
      </c>
      <c r="N297" t="s">
        <v>132</v>
      </c>
      <c r="O297" t="s">
        <v>3449</v>
      </c>
      <c r="P297" s="5" t="s">
        <v>3318</v>
      </c>
      <c r="Q297">
        <v>4</v>
      </c>
    </row>
    <row r="298" spans="1:17" x14ac:dyDescent="0.3">
      <c r="A298" s="4">
        <v>44620</v>
      </c>
      <c r="B298" t="s">
        <v>3772</v>
      </c>
      <c r="C298" t="s">
        <v>3636</v>
      </c>
      <c r="D298" s="77">
        <v>0.45763888888888887</v>
      </c>
      <c r="E298" t="s">
        <v>3314</v>
      </c>
      <c r="F298">
        <v>41</v>
      </c>
      <c r="G298" t="s">
        <v>3315</v>
      </c>
      <c r="H298">
        <v>20000</v>
      </c>
      <c r="I298" t="s">
        <v>3316</v>
      </c>
      <c r="J298">
        <v>20000</v>
      </c>
      <c r="K298">
        <v>90000</v>
      </c>
      <c r="L298" t="s">
        <v>116</v>
      </c>
      <c r="M298" t="s">
        <v>65</v>
      </c>
      <c r="N298" t="s">
        <v>102</v>
      </c>
      <c r="O298" t="s">
        <v>3506</v>
      </c>
      <c r="P298" s="5" t="s">
        <v>3318</v>
      </c>
      <c r="Q298">
        <v>4.5</v>
      </c>
    </row>
    <row r="299" spans="1:17" x14ac:dyDescent="0.3">
      <c r="A299" s="4">
        <v>44620</v>
      </c>
      <c r="B299" t="s">
        <v>3773</v>
      </c>
      <c r="C299" t="s">
        <v>3774</v>
      </c>
      <c r="D299" s="77">
        <v>0.47500000000000003</v>
      </c>
      <c r="E299" t="s">
        <v>3314</v>
      </c>
      <c r="F299">
        <v>32</v>
      </c>
      <c r="G299" t="s">
        <v>3315</v>
      </c>
      <c r="H299">
        <v>20000</v>
      </c>
      <c r="I299" t="s">
        <v>3316</v>
      </c>
      <c r="J299">
        <v>20000</v>
      </c>
      <c r="K299">
        <v>60000</v>
      </c>
      <c r="L299" t="s">
        <v>149</v>
      </c>
      <c r="M299" t="s">
        <v>94</v>
      </c>
      <c r="N299" t="s">
        <v>138</v>
      </c>
      <c r="O299" t="s">
        <v>3775</v>
      </c>
      <c r="P299" s="5" t="s">
        <v>3318</v>
      </c>
      <c r="Q299">
        <v>3</v>
      </c>
    </row>
    <row r="300" spans="1:17" x14ac:dyDescent="0.3">
      <c r="A300" s="4">
        <v>44620</v>
      </c>
      <c r="B300" t="s">
        <v>3776</v>
      </c>
      <c r="C300" t="s">
        <v>3636</v>
      </c>
      <c r="D300" s="77">
        <v>0.48749999999999999</v>
      </c>
      <c r="E300" t="s">
        <v>3314</v>
      </c>
      <c r="F300">
        <v>48</v>
      </c>
      <c r="G300" t="s">
        <v>3315</v>
      </c>
      <c r="H300">
        <v>20000</v>
      </c>
      <c r="I300" t="s">
        <v>3316</v>
      </c>
      <c r="J300">
        <v>20000</v>
      </c>
      <c r="K300">
        <v>80000</v>
      </c>
      <c r="L300" t="s">
        <v>118</v>
      </c>
      <c r="M300" t="s">
        <v>86</v>
      </c>
      <c r="N300" t="s">
        <v>120</v>
      </c>
      <c r="O300" t="s">
        <v>3446</v>
      </c>
      <c r="P300" s="5" t="s">
        <v>3318</v>
      </c>
      <c r="Q300">
        <v>4</v>
      </c>
    </row>
    <row r="301" spans="1:17" x14ac:dyDescent="0.3">
      <c r="A301" s="4">
        <v>44620</v>
      </c>
      <c r="B301" t="s">
        <v>3777</v>
      </c>
      <c r="C301" t="s">
        <v>3778</v>
      </c>
      <c r="D301" s="77">
        <v>0.54166666666666663</v>
      </c>
      <c r="E301" t="s">
        <v>3314</v>
      </c>
      <c r="F301">
        <v>54</v>
      </c>
      <c r="G301" t="s">
        <v>3315</v>
      </c>
      <c r="H301">
        <v>20000</v>
      </c>
      <c r="I301" t="s">
        <v>3316</v>
      </c>
      <c r="J301">
        <v>20000</v>
      </c>
      <c r="K301">
        <v>80000</v>
      </c>
      <c r="L301" t="s">
        <v>118</v>
      </c>
      <c r="M301" t="s">
        <v>28</v>
      </c>
      <c r="N301" t="s">
        <v>132</v>
      </c>
      <c r="O301" t="s">
        <v>3449</v>
      </c>
      <c r="P301" s="5" t="s">
        <v>3318</v>
      </c>
      <c r="Q301">
        <v>4</v>
      </c>
    </row>
    <row r="302" spans="1:17" x14ac:dyDescent="0.3">
      <c r="A302" s="4">
        <v>44620</v>
      </c>
      <c r="B302" t="s">
        <v>3779</v>
      </c>
      <c r="C302" t="s">
        <v>3778</v>
      </c>
      <c r="D302" s="77">
        <v>0.58333333333333337</v>
      </c>
      <c r="E302" t="s">
        <v>3314</v>
      </c>
      <c r="F302">
        <v>69</v>
      </c>
      <c r="G302" t="s">
        <v>3315</v>
      </c>
      <c r="H302">
        <v>20000</v>
      </c>
      <c r="I302" t="s">
        <v>3316</v>
      </c>
      <c r="J302">
        <v>20000</v>
      </c>
      <c r="K302">
        <v>80000</v>
      </c>
      <c r="L302" t="s">
        <v>118</v>
      </c>
      <c r="M302" t="s">
        <v>28</v>
      </c>
      <c r="N302" t="s">
        <v>132</v>
      </c>
      <c r="O302" t="s">
        <v>3449</v>
      </c>
      <c r="P302" s="5" t="s">
        <v>3318</v>
      </c>
      <c r="Q302">
        <v>4</v>
      </c>
    </row>
    <row r="303" spans="1:17" x14ac:dyDescent="0.3">
      <c r="A303" s="4">
        <v>44620</v>
      </c>
      <c r="B303" t="s">
        <v>3780</v>
      </c>
      <c r="C303" t="s">
        <v>3636</v>
      </c>
      <c r="D303" s="77">
        <v>0.58958333333333335</v>
      </c>
      <c r="E303" t="s">
        <v>3314</v>
      </c>
      <c r="F303">
        <v>25</v>
      </c>
      <c r="G303" t="s">
        <v>3315</v>
      </c>
      <c r="H303">
        <v>20000</v>
      </c>
      <c r="I303" t="s">
        <v>3316</v>
      </c>
      <c r="J303">
        <v>20000</v>
      </c>
      <c r="K303">
        <v>60000</v>
      </c>
      <c r="L303" t="s">
        <v>149</v>
      </c>
      <c r="M303" t="s">
        <v>93</v>
      </c>
      <c r="N303" t="s">
        <v>121</v>
      </c>
      <c r="O303" t="s">
        <v>3781</v>
      </c>
      <c r="P303" s="5" t="s">
        <v>3318</v>
      </c>
      <c r="Q303">
        <v>3</v>
      </c>
    </row>
    <row r="304" spans="1:17" x14ac:dyDescent="0.3">
      <c r="A304" s="4">
        <v>44620</v>
      </c>
      <c r="B304" t="s">
        <v>3782</v>
      </c>
      <c r="C304" t="s">
        <v>3636</v>
      </c>
      <c r="D304" s="77">
        <v>0.59652777777777777</v>
      </c>
      <c r="E304" t="s">
        <v>3314</v>
      </c>
      <c r="F304">
        <v>60</v>
      </c>
      <c r="G304" t="s">
        <v>3315</v>
      </c>
      <c r="H304">
        <v>20000</v>
      </c>
      <c r="I304" t="s">
        <v>3316</v>
      </c>
      <c r="J304">
        <v>20000</v>
      </c>
      <c r="K304">
        <v>80000</v>
      </c>
      <c r="L304" t="s">
        <v>118</v>
      </c>
      <c r="M304" t="s">
        <v>86</v>
      </c>
      <c r="N304" t="s">
        <v>120</v>
      </c>
      <c r="O304" t="s">
        <v>3446</v>
      </c>
      <c r="P304" s="5" t="s">
        <v>3318</v>
      </c>
      <c r="Q304">
        <v>4</v>
      </c>
    </row>
    <row r="305" spans="1:17" x14ac:dyDescent="0.3">
      <c r="A305" s="4">
        <v>44620</v>
      </c>
      <c r="B305" t="s">
        <v>3783</v>
      </c>
      <c r="C305" t="s">
        <v>3784</v>
      </c>
      <c r="D305" s="77">
        <v>0.60138888888888886</v>
      </c>
      <c r="E305" t="s">
        <v>3314</v>
      </c>
      <c r="F305">
        <v>55</v>
      </c>
      <c r="G305" t="s">
        <v>3315</v>
      </c>
      <c r="H305">
        <v>20000</v>
      </c>
      <c r="I305" t="s">
        <v>3316</v>
      </c>
      <c r="J305">
        <v>20000</v>
      </c>
      <c r="K305">
        <v>90000</v>
      </c>
      <c r="L305" t="s">
        <v>116</v>
      </c>
      <c r="M305" t="s">
        <v>76</v>
      </c>
      <c r="N305" t="s">
        <v>107</v>
      </c>
      <c r="O305" t="s">
        <v>3321</v>
      </c>
      <c r="P305" s="5" t="s">
        <v>3318</v>
      </c>
      <c r="Q305">
        <v>4.5</v>
      </c>
    </row>
    <row r="306" spans="1:17" x14ac:dyDescent="0.3">
      <c r="A306" s="4">
        <v>44620</v>
      </c>
      <c r="B306" t="s">
        <v>3785</v>
      </c>
      <c r="C306" t="s">
        <v>3636</v>
      </c>
      <c r="D306" s="77">
        <v>0.60347222222222219</v>
      </c>
      <c r="E306" t="s">
        <v>3314</v>
      </c>
      <c r="F306">
        <v>54</v>
      </c>
      <c r="G306" t="s">
        <v>3315</v>
      </c>
      <c r="H306">
        <v>20000</v>
      </c>
      <c r="I306" t="s">
        <v>3316</v>
      </c>
      <c r="J306">
        <v>20000</v>
      </c>
      <c r="K306">
        <v>90000</v>
      </c>
      <c r="L306" t="s">
        <v>116</v>
      </c>
      <c r="M306" t="s">
        <v>65</v>
      </c>
      <c r="N306" t="s">
        <v>102</v>
      </c>
      <c r="O306" t="s">
        <v>3506</v>
      </c>
      <c r="P306" s="5" t="s">
        <v>3318</v>
      </c>
      <c r="Q306">
        <v>4.5</v>
      </c>
    </row>
    <row r="307" spans="1:17" x14ac:dyDescent="0.3">
      <c r="A307" s="4">
        <v>44620</v>
      </c>
      <c r="B307" t="s">
        <v>3786</v>
      </c>
      <c r="C307" t="s">
        <v>3778</v>
      </c>
      <c r="D307" s="77">
        <v>0.625</v>
      </c>
      <c r="E307" t="s">
        <v>3314</v>
      </c>
      <c r="F307">
        <v>57</v>
      </c>
      <c r="G307" t="s">
        <v>3315</v>
      </c>
      <c r="H307">
        <v>20000</v>
      </c>
      <c r="I307" t="s">
        <v>3316</v>
      </c>
      <c r="J307">
        <v>20000</v>
      </c>
      <c r="K307">
        <v>80000</v>
      </c>
      <c r="L307" t="s">
        <v>118</v>
      </c>
      <c r="M307" t="s">
        <v>28</v>
      </c>
      <c r="N307" t="s">
        <v>132</v>
      </c>
      <c r="O307" t="s">
        <v>3449</v>
      </c>
      <c r="P307" s="5" t="s">
        <v>3318</v>
      </c>
      <c r="Q307">
        <v>4</v>
      </c>
    </row>
    <row r="308" spans="1:17" x14ac:dyDescent="0.3">
      <c r="A308" s="4">
        <v>44620</v>
      </c>
      <c r="B308" t="s">
        <v>3787</v>
      </c>
      <c r="C308" t="s">
        <v>3788</v>
      </c>
      <c r="D308" s="77">
        <v>0.63194444444444442</v>
      </c>
      <c r="E308" t="s">
        <v>3314</v>
      </c>
      <c r="F308">
        <v>56</v>
      </c>
      <c r="G308" t="s">
        <v>3315</v>
      </c>
      <c r="H308">
        <v>20000</v>
      </c>
      <c r="I308" t="s">
        <v>3316</v>
      </c>
      <c r="J308">
        <v>20000</v>
      </c>
      <c r="K308">
        <v>60000</v>
      </c>
      <c r="L308" t="s">
        <v>149</v>
      </c>
      <c r="M308" t="s">
        <v>3020</v>
      </c>
      <c r="N308" t="s">
        <v>2852</v>
      </c>
      <c r="O308" t="s">
        <v>3661</v>
      </c>
      <c r="P308" s="5" t="s">
        <v>3318</v>
      </c>
      <c r="Q308">
        <v>3</v>
      </c>
    </row>
    <row r="309" spans="1:17" x14ac:dyDescent="0.3">
      <c r="A309" s="4">
        <v>44620</v>
      </c>
      <c r="B309" t="s">
        <v>3789</v>
      </c>
      <c r="C309" t="s">
        <v>3790</v>
      </c>
      <c r="D309" s="77">
        <v>0.63888888888888895</v>
      </c>
      <c r="E309" t="s">
        <v>3314</v>
      </c>
      <c r="F309">
        <v>56</v>
      </c>
      <c r="G309" t="s">
        <v>3315</v>
      </c>
      <c r="H309">
        <v>20000</v>
      </c>
      <c r="I309" t="s">
        <v>3316</v>
      </c>
      <c r="J309">
        <v>20000</v>
      </c>
      <c r="K309">
        <v>80000</v>
      </c>
      <c r="L309" t="s">
        <v>118</v>
      </c>
      <c r="M309" t="s">
        <v>92</v>
      </c>
      <c r="N309" t="s">
        <v>137</v>
      </c>
      <c r="O309" t="s">
        <v>3476</v>
      </c>
      <c r="P309" s="5" t="s">
        <v>3318</v>
      </c>
      <c r="Q309">
        <v>4</v>
      </c>
    </row>
    <row r="310" spans="1:17" x14ac:dyDescent="0.3">
      <c r="A310" s="4">
        <v>44620</v>
      </c>
      <c r="B310" t="s">
        <v>3791</v>
      </c>
      <c r="C310" t="s">
        <v>3792</v>
      </c>
      <c r="D310" s="77">
        <v>0.63888888888888895</v>
      </c>
      <c r="E310" t="s">
        <v>3332</v>
      </c>
      <c r="F310">
        <v>41</v>
      </c>
      <c r="G310" t="s">
        <v>3315</v>
      </c>
      <c r="H310">
        <v>20000</v>
      </c>
      <c r="I310" t="s">
        <v>3348</v>
      </c>
      <c r="J310">
        <v>20000</v>
      </c>
      <c r="K310">
        <v>100000</v>
      </c>
      <c r="L310" t="s">
        <v>114</v>
      </c>
      <c r="M310" t="s">
        <v>23</v>
      </c>
      <c r="N310" t="s">
        <v>99</v>
      </c>
      <c r="O310" t="s">
        <v>3358</v>
      </c>
      <c r="P310" s="5" t="s">
        <v>3318</v>
      </c>
      <c r="Q310">
        <v>5</v>
      </c>
    </row>
    <row r="311" spans="1:17" x14ac:dyDescent="0.3">
      <c r="A311" s="4">
        <v>44620</v>
      </c>
      <c r="B311" t="s">
        <v>3793</v>
      </c>
      <c r="C311" t="s">
        <v>3636</v>
      </c>
      <c r="D311" s="77">
        <v>0.64166666666666672</v>
      </c>
      <c r="E311" t="s">
        <v>3314</v>
      </c>
      <c r="F311">
        <v>79</v>
      </c>
      <c r="G311" t="s">
        <v>3315</v>
      </c>
      <c r="H311">
        <v>20000</v>
      </c>
      <c r="I311" t="s">
        <v>3316</v>
      </c>
      <c r="J311">
        <v>20000</v>
      </c>
      <c r="K311">
        <v>60000</v>
      </c>
      <c r="L311" t="s">
        <v>149</v>
      </c>
      <c r="M311" t="s">
        <v>93</v>
      </c>
      <c r="N311" t="s">
        <v>121</v>
      </c>
      <c r="O311" t="s">
        <v>3781</v>
      </c>
      <c r="P311" s="5" t="s">
        <v>3318</v>
      </c>
      <c r="Q311">
        <v>3</v>
      </c>
    </row>
    <row r="312" spans="1:17" x14ac:dyDescent="0.3">
      <c r="A312" s="4">
        <v>44620</v>
      </c>
      <c r="B312" t="s">
        <v>3794</v>
      </c>
      <c r="C312" t="s">
        <v>3774</v>
      </c>
      <c r="D312" s="77">
        <v>0.64444444444444449</v>
      </c>
      <c r="E312" t="s">
        <v>3314</v>
      </c>
      <c r="F312">
        <v>29</v>
      </c>
      <c r="G312" t="s">
        <v>3315</v>
      </c>
      <c r="H312">
        <v>20000</v>
      </c>
      <c r="I312" t="s">
        <v>3316</v>
      </c>
      <c r="J312">
        <v>20000</v>
      </c>
      <c r="K312">
        <v>80000</v>
      </c>
      <c r="L312" t="s">
        <v>118</v>
      </c>
      <c r="M312" t="s">
        <v>84</v>
      </c>
      <c r="N312" t="s">
        <v>108</v>
      </c>
      <c r="O312" t="s">
        <v>3366</v>
      </c>
      <c r="P312" s="5" t="s">
        <v>3318</v>
      </c>
      <c r="Q312">
        <v>4</v>
      </c>
    </row>
    <row r="313" spans="1:17" x14ac:dyDescent="0.3">
      <c r="A313" s="4">
        <v>44620</v>
      </c>
      <c r="B313" t="s">
        <v>3795</v>
      </c>
      <c r="C313" t="s">
        <v>3796</v>
      </c>
      <c r="D313" s="77">
        <v>0.65277777777777779</v>
      </c>
      <c r="E313" t="s">
        <v>3314</v>
      </c>
      <c r="F313">
        <v>50</v>
      </c>
      <c r="G313" t="s">
        <v>3315</v>
      </c>
      <c r="H313">
        <v>20000</v>
      </c>
      <c r="I313" t="s">
        <v>3316</v>
      </c>
      <c r="J313">
        <v>20000</v>
      </c>
      <c r="K313">
        <v>80000</v>
      </c>
      <c r="L313" t="s">
        <v>118</v>
      </c>
      <c r="M313" t="s">
        <v>3023</v>
      </c>
      <c r="N313" t="s">
        <v>3025</v>
      </c>
      <c r="O313" t="s">
        <v>3481</v>
      </c>
      <c r="P313" s="5" t="s">
        <v>3318</v>
      </c>
      <c r="Q313">
        <v>4</v>
      </c>
    </row>
    <row r="314" spans="1:17" x14ac:dyDescent="0.3">
      <c r="A314" s="4">
        <v>44620</v>
      </c>
      <c r="B314" t="s">
        <v>3797</v>
      </c>
      <c r="C314" t="s">
        <v>3636</v>
      </c>
      <c r="D314" s="77">
        <v>0.65902777777777777</v>
      </c>
      <c r="E314" t="s">
        <v>3314</v>
      </c>
      <c r="F314">
        <v>52</v>
      </c>
      <c r="G314" t="s">
        <v>3315</v>
      </c>
      <c r="H314">
        <v>20000</v>
      </c>
      <c r="I314" t="s">
        <v>3316</v>
      </c>
      <c r="J314">
        <v>20000</v>
      </c>
      <c r="K314">
        <v>80000</v>
      </c>
      <c r="L314" t="s">
        <v>118</v>
      </c>
      <c r="M314" t="s">
        <v>86</v>
      </c>
      <c r="N314" t="s">
        <v>120</v>
      </c>
      <c r="O314" t="s">
        <v>3446</v>
      </c>
      <c r="P314" s="5" t="s">
        <v>3318</v>
      </c>
      <c r="Q314">
        <v>4</v>
      </c>
    </row>
    <row r="315" spans="1:17" x14ac:dyDescent="0.3">
      <c r="A315" s="4">
        <v>44620</v>
      </c>
      <c r="B315" t="s">
        <v>3798</v>
      </c>
      <c r="C315" t="s">
        <v>3790</v>
      </c>
      <c r="D315" s="77">
        <v>0.67986111111111114</v>
      </c>
      <c r="E315" t="s">
        <v>3314</v>
      </c>
      <c r="F315">
        <v>37</v>
      </c>
      <c r="G315" t="s">
        <v>3315</v>
      </c>
      <c r="H315">
        <v>20000</v>
      </c>
      <c r="I315" t="s">
        <v>3316</v>
      </c>
      <c r="J315">
        <v>20000</v>
      </c>
      <c r="K315">
        <v>80000</v>
      </c>
      <c r="L315" t="s">
        <v>118</v>
      </c>
      <c r="M315" t="s">
        <v>92</v>
      </c>
      <c r="N315" t="s">
        <v>137</v>
      </c>
      <c r="O315" t="s">
        <v>3476</v>
      </c>
      <c r="P315" s="5" t="s">
        <v>3318</v>
      </c>
      <c r="Q315">
        <v>4</v>
      </c>
    </row>
    <row r="316" spans="1:17" x14ac:dyDescent="0.3">
      <c r="A316" s="4">
        <v>44620</v>
      </c>
      <c r="B316" t="s">
        <v>3799</v>
      </c>
      <c r="C316" t="s">
        <v>3800</v>
      </c>
      <c r="D316" s="77">
        <v>0.68055555555555547</v>
      </c>
      <c r="E316" t="s">
        <v>3332</v>
      </c>
      <c r="F316">
        <v>48</v>
      </c>
      <c r="G316" t="s">
        <v>3315</v>
      </c>
      <c r="H316">
        <v>20000</v>
      </c>
      <c r="I316" t="s">
        <v>3316</v>
      </c>
      <c r="J316">
        <v>20000</v>
      </c>
      <c r="K316">
        <v>80000</v>
      </c>
      <c r="L316" t="s">
        <v>118</v>
      </c>
      <c r="M316" t="s">
        <v>145</v>
      </c>
      <c r="N316" t="s">
        <v>146</v>
      </c>
      <c r="O316" t="s">
        <v>3333</v>
      </c>
      <c r="P316" s="5" t="s">
        <v>3318</v>
      </c>
      <c r="Q316">
        <v>4</v>
      </c>
    </row>
    <row r="317" spans="1:17" x14ac:dyDescent="0.3">
      <c r="A317" s="4">
        <v>44620</v>
      </c>
      <c r="B317" t="s">
        <v>3801</v>
      </c>
      <c r="C317" t="s">
        <v>3802</v>
      </c>
      <c r="D317" s="77">
        <v>0.68819444444444444</v>
      </c>
      <c r="E317" t="s">
        <v>3314</v>
      </c>
      <c r="F317">
        <v>53</v>
      </c>
      <c r="G317" t="s">
        <v>3315</v>
      </c>
      <c r="H317">
        <v>30000</v>
      </c>
      <c r="I317" t="s">
        <v>3316</v>
      </c>
      <c r="J317">
        <v>30000</v>
      </c>
      <c r="K317">
        <v>135000</v>
      </c>
      <c r="L317" t="s">
        <v>119</v>
      </c>
      <c r="M317" t="s">
        <v>27</v>
      </c>
      <c r="N317" t="s">
        <v>101</v>
      </c>
      <c r="O317" t="s">
        <v>3803</v>
      </c>
      <c r="P317" s="5" t="s">
        <v>3318</v>
      </c>
      <c r="Q317">
        <v>4.5</v>
      </c>
    </row>
    <row r="318" spans="1:17" x14ac:dyDescent="0.3">
      <c r="A318" s="4">
        <v>44620</v>
      </c>
      <c r="B318" t="s">
        <v>3804</v>
      </c>
      <c r="C318" t="s">
        <v>3636</v>
      </c>
      <c r="D318" s="77">
        <v>0.69861111111111107</v>
      </c>
      <c r="E318" t="s">
        <v>3314</v>
      </c>
      <c r="F318">
        <v>35</v>
      </c>
      <c r="G318" t="s">
        <v>3315</v>
      </c>
      <c r="H318">
        <v>20000</v>
      </c>
      <c r="I318" t="s">
        <v>3316</v>
      </c>
      <c r="J318">
        <v>20000</v>
      </c>
      <c r="K318">
        <v>90000</v>
      </c>
      <c r="L318" t="s">
        <v>116</v>
      </c>
      <c r="M318" t="s">
        <v>65</v>
      </c>
      <c r="N318" t="s">
        <v>102</v>
      </c>
      <c r="O318" t="s">
        <v>3506</v>
      </c>
      <c r="P318" s="5" t="s">
        <v>3318</v>
      </c>
      <c r="Q318">
        <v>4.5</v>
      </c>
    </row>
    <row r="319" spans="1:17" x14ac:dyDescent="0.3">
      <c r="A319" s="4">
        <v>44620</v>
      </c>
      <c r="B319" t="s">
        <v>3805</v>
      </c>
      <c r="C319" t="s">
        <v>3774</v>
      </c>
      <c r="D319" s="77">
        <v>0.70833333333333337</v>
      </c>
      <c r="E319" t="s">
        <v>3314</v>
      </c>
      <c r="F319">
        <v>54</v>
      </c>
      <c r="G319" t="s">
        <v>3315</v>
      </c>
      <c r="H319">
        <v>20000</v>
      </c>
      <c r="I319" t="s">
        <v>3316</v>
      </c>
      <c r="J319">
        <v>20000</v>
      </c>
      <c r="K319">
        <v>60000</v>
      </c>
      <c r="L319" t="s">
        <v>149</v>
      </c>
      <c r="M319" t="s">
        <v>94</v>
      </c>
      <c r="N319" t="s">
        <v>138</v>
      </c>
      <c r="O319" t="s">
        <v>3775</v>
      </c>
      <c r="P319" s="5" t="s">
        <v>3318</v>
      </c>
      <c r="Q319">
        <v>3</v>
      </c>
    </row>
    <row r="320" spans="1:17" x14ac:dyDescent="0.3">
      <c r="A320" s="4">
        <v>44620</v>
      </c>
      <c r="B320" t="s">
        <v>3806</v>
      </c>
      <c r="C320" t="s">
        <v>3807</v>
      </c>
      <c r="D320" s="77">
        <v>0.70833333333333337</v>
      </c>
      <c r="E320" t="s">
        <v>3314</v>
      </c>
      <c r="F320">
        <v>65</v>
      </c>
      <c r="G320" t="s">
        <v>3315</v>
      </c>
      <c r="H320">
        <v>20000</v>
      </c>
      <c r="I320" t="s">
        <v>3316</v>
      </c>
      <c r="J320">
        <v>20000</v>
      </c>
      <c r="K320">
        <v>80000</v>
      </c>
      <c r="L320" t="s">
        <v>118</v>
      </c>
      <c r="M320" t="s">
        <v>3033</v>
      </c>
      <c r="N320" t="s">
        <v>3035</v>
      </c>
      <c r="O320" t="s">
        <v>3542</v>
      </c>
      <c r="P320" s="5" t="s">
        <v>3318</v>
      </c>
      <c r="Q320">
        <v>4</v>
      </c>
    </row>
    <row r="321" spans="1:17" x14ac:dyDescent="0.3">
      <c r="A321" s="4">
        <v>44620</v>
      </c>
      <c r="B321" t="s">
        <v>3808</v>
      </c>
      <c r="C321" t="s">
        <v>3774</v>
      </c>
      <c r="D321" s="77">
        <v>0.70833333333333337</v>
      </c>
      <c r="E321" t="s">
        <v>3314</v>
      </c>
      <c r="F321">
        <v>56</v>
      </c>
      <c r="G321" t="s">
        <v>3315</v>
      </c>
      <c r="H321">
        <v>20000</v>
      </c>
      <c r="I321" t="s">
        <v>3316</v>
      </c>
      <c r="J321">
        <v>20000</v>
      </c>
      <c r="K321">
        <v>80000</v>
      </c>
      <c r="L321" t="s">
        <v>118</v>
      </c>
      <c r="M321" t="s">
        <v>84</v>
      </c>
      <c r="N321" t="s">
        <v>108</v>
      </c>
      <c r="O321" t="s">
        <v>3366</v>
      </c>
      <c r="P321" s="5" t="s">
        <v>3318</v>
      </c>
      <c r="Q321">
        <v>4</v>
      </c>
    </row>
    <row r="322" spans="1:17" x14ac:dyDescent="0.3">
      <c r="A322" s="4">
        <v>44620</v>
      </c>
      <c r="B322" t="s">
        <v>3809</v>
      </c>
      <c r="C322" t="s">
        <v>3774</v>
      </c>
      <c r="D322" s="77">
        <v>0.71319444444444446</v>
      </c>
      <c r="E322" t="s">
        <v>3314</v>
      </c>
      <c r="F322">
        <v>46</v>
      </c>
      <c r="G322" t="s">
        <v>3315</v>
      </c>
      <c r="H322">
        <v>20000</v>
      </c>
      <c r="I322" t="s">
        <v>3316</v>
      </c>
      <c r="J322">
        <v>20000</v>
      </c>
      <c r="K322">
        <v>80000</v>
      </c>
      <c r="L322" t="s">
        <v>118</v>
      </c>
      <c r="M322" t="s">
        <v>84</v>
      </c>
      <c r="N322" t="s">
        <v>108</v>
      </c>
      <c r="O322" t="s">
        <v>3366</v>
      </c>
      <c r="P322" s="5" t="s">
        <v>3318</v>
      </c>
      <c r="Q322">
        <v>4</v>
      </c>
    </row>
    <row r="323" spans="1:17" x14ac:dyDescent="0.3">
      <c r="A323" s="4">
        <v>44620</v>
      </c>
      <c r="B323" t="s">
        <v>3810</v>
      </c>
      <c r="C323" t="s">
        <v>3800</v>
      </c>
      <c r="D323" s="77">
        <v>0.71388888888888891</v>
      </c>
      <c r="E323" t="s">
        <v>3332</v>
      </c>
      <c r="F323">
        <v>28</v>
      </c>
      <c r="G323" t="s">
        <v>3315</v>
      </c>
      <c r="H323">
        <v>30000</v>
      </c>
      <c r="I323" t="s">
        <v>3336</v>
      </c>
      <c r="J323">
        <v>30000</v>
      </c>
      <c r="K323">
        <v>120000</v>
      </c>
      <c r="L323" t="s">
        <v>118</v>
      </c>
      <c r="M323" t="s">
        <v>145</v>
      </c>
      <c r="N323" t="s">
        <v>146</v>
      </c>
      <c r="O323" t="s">
        <v>3333</v>
      </c>
      <c r="P323" s="5" t="s">
        <v>3318</v>
      </c>
      <c r="Q323">
        <v>4</v>
      </c>
    </row>
    <row r="324" spans="1:17" x14ac:dyDescent="0.3">
      <c r="A324" s="4">
        <v>44620</v>
      </c>
      <c r="B324" t="s">
        <v>3811</v>
      </c>
      <c r="C324" t="s">
        <v>3812</v>
      </c>
      <c r="D324" s="77">
        <v>0.72013888888888899</v>
      </c>
      <c r="E324" t="s">
        <v>3314</v>
      </c>
      <c r="F324">
        <v>47</v>
      </c>
      <c r="G324" t="s">
        <v>3315</v>
      </c>
      <c r="H324">
        <v>20000</v>
      </c>
      <c r="I324" t="s">
        <v>3316</v>
      </c>
      <c r="J324">
        <v>20000</v>
      </c>
      <c r="K324">
        <v>90000</v>
      </c>
      <c r="L324" t="s">
        <v>116</v>
      </c>
      <c r="M324" t="s">
        <v>78</v>
      </c>
      <c r="N324" t="s">
        <v>100</v>
      </c>
      <c r="O324" t="s">
        <v>3629</v>
      </c>
      <c r="P324" s="5" t="s">
        <v>3318</v>
      </c>
      <c r="Q324">
        <v>4.5</v>
      </c>
    </row>
    <row r="325" spans="1:17" x14ac:dyDescent="0.3">
      <c r="A325" s="4">
        <v>44620</v>
      </c>
      <c r="B325" t="s">
        <v>3813</v>
      </c>
      <c r="C325" t="s">
        <v>3807</v>
      </c>
      <c r="D325" s="77">
        <v>0.72916666666666663</v>
      </c>
      <c r="E325" t="s">
        <v>3314</v>
      </c>
      <c r="F325">
        <v>65</v>
      </c>
      <c r="G325" t="s">
        <v>3315</v>
      </c>
      <c r="H325">
        <v>20000</v>
      </c>
      <c r="I325" t="s">
        <v>3316</v>
      </c>
      <c r="J325">
        <v>20000</v>
      </c>
      <c r="K325">
        <v>90000</v>
      </c>
      <c r="L325" t="s">
        <v>119</v>
      </c>
      <c r="M325" t="s">
        <v>29</v>
      </c>
      <c r="N325" t="s">
        <v>104</v>
      </c>
      <c r="O325" t="s">
        <v>3457</v>
      </c>
      <c r="P325" s="5" t="s">
        <v>3318</v>
      </c>
      <c r="Q325">
        <v>4.5</v>
      </c>
    </row>
    <row r="326" spans="1:17" x14ac:dyDescent="0.3">
      <c r="A326" s="4">
        <v>44620</v>
      </c>
      <c r="B326" t="s">
        <v>3814</v>
      </c>
      <c r="C326" t="s">
        <v>3815</v>
      </c>
      <c r="D326" s="77">
        <v>0.73263888888888884</v>
      </c>
      <c r="E326" t="s">
        <v>3314</v>
      </c>
      <c r="F326">
        <v>51</v>
      </c>
      <c r="G326" t="s">
        <v>3315</v>
      </c>
      <c r="H326">
        <v>30000</v>
      </c>
      <c r="I326" t="s">
        <v>3316</v>
      </c>
      <c r="J326">
        <v>30000</v>
      </c>
      <c r="K326">
        <v>135000</v>
      </c>
      <c r="L326" t="s">
        <v>114</v>
      </c>
      <c r="M326" t="s">
        <v>30</v>
      </c>
      <c r="N326" t="s">
        <v>106</v>
      </c>
      <c r="O326" t="s">
        <v>3379</v>
      </c>
      <c r="P326" s="5" t="s">
        <v>3318</v>
      </c>
      <c r="Q326">
        <v>4.5</v>
      </c>
    </row>
    <row r="327" spans="1:17" x14ac:dyDescent="0.3">
      <c r="A327" s="4">
        <v>44620</v>
      </c>
      <c r="B327" t="s">
        <v>3816</v>
      </c>
      <c r="C327" t="s">
        <v>3812</v>
      </c>
      <c r="D327" s="77">
        <v>0.73611111111111116</v>
      </c>
      <c r="E327" t="s">
        <v>3314</v>
      </c>
      <c r="F327">
        <v>64</v>
      </c>
      <c r="G327" t="s">
        <v>3315</v>
      </c>
      <c r="H327">
        <v>30000</v>
      </c>
      <c r="I327" t="s">
        <v>3316</v>
      </c>
      <c r="J327">
        <v>30000</v>
      </c>
      <c r="K327">
        <v>120000</v>
      </c>
      <c r="L327" t="s">
        <v>118</v>
      </c>
      <c r="M327" t="s">
        <v>88</v>
      </c>
      <c r="N327" t="s">
        <v>117</v>
      </c>
      <c r="O327" t="s">
        <v>3494</v>
      </c>
      <c r="P327" s="5" t="s">
        <v>3318</v>
      </c>
      <c r="Q327">
        <v>4</v>
      </c>
    </row>
    <row r="328" spans="1:17" x14ac:dyDescent="0.3">
      <c r="A328" s="4">
        <v>44620</v>
      </c>
      <c r="B328" t="s">
        <v>3817</v>
      </c>
      <c r="C328" t="s">
        <v>3818</v>
      </c>
      <c r="D328" s="77">
        <v>0.74513888888888891</v>
      </c>
      <c r="E328" t="s">
        <v>3314</v>
      </c>
      <c r="F328">
        <v>43</v>
      </c>
      <c r="G328" t="s">
        <v>3315</v>
      </c>
      <c r="H328">
        <v>20000</v>
      </c>
      <c r="I328" t="s">
        <v>3316</v>
      </c>
      <c r="J328">
        <v>20000</v>
      </c>
      <c r="K328">
        <v>80000</v>
      </c>
      <c r="L328" t="s">
        <v>118</v>
      </c>
      <c r="M328" t="s">
        <v>91</v>
      </c>
      <c r="N328" t="s">
        <v>136</v>
      </c>
      <c r="O328" t="s">
        <v>3422</v>
      </c>
      <c r="P328" s="5" t="s">
        <v>3318</v>
      </c>
      <c r="Q328">
        <v>4</v>
      </c>
    </row>
    <row r="329" spans="1:17" x14ac:dyDescent="0.3">
      <c r="A329" s="4">
        <v>44620</v>
      </c>
      <c r="B329" t="s">
        <v>3819</v>
      </c>
      <c r="C329" t="s">
        <v>3796</v>
      </c>
      <c r="D329" s="77">
        <v>0.75069444444444444</v>
      </c>
      <c r="E329" t="s">
        <v>3314</v>
      </c>
      <c r="F329">
        <v>60</v>
      </c>
      <c r="G329" t="s">
        <v>3315</v>
      </c>
      <c r="H329">
        <v>20000</v>
      </c>
      <c r="I329" t="s">
        <v>3316</v>
      </c>
      <c r="J329">
        <v>20000</v>
      </c>
      <c r="K329">
        <v>80000</v>
      </c>
      <c r="L329" t="s">
        <v>118</v>
      </c>
      <c r="M329" t="s">
        <v>3023</v>
      </c>
      <c r="N329" t="s">
        <v>3025</v>
      </c>
      <c r="O329" t="s">
        <v>3481</v>
      </c>
      <c r="P329" s="5" t="s">
        <v>3318</v>
      </c>
      <c r="Q329">
        <v>4</v>
      </c>
    </row>
    <row r="330" spans="1:17" x14ac:dyDescent="0.3">
      <c r="A330" s="4">
        <v>44620</v>
      </c>
      <c r="B330" t="s">
        <v>3820</v>
      </c>
      <c r="C330" t="s">
        <v>3815</v>
      </c>
      <c r="D330" s="77">
        <v>0.75347222222222221</v>
      </c>
      <c r="E330" t="s">
        <v>3314</v>
      </c>
      <c r="F330">
        <v>31</v>
      </c>
      <c r="G330" t="s">
        <v>3315</v>
      </c>
      <c r="H330">
        <v>50000</v>
      </c>
      <c r="I330" t="s">
        <v>3316</v>
      </c>
      <c r="J330">
        <v>50000</v>
      </c>
      <c r="K330">
        <v>200000</v>
      </c>
      <c r="L330" t="s">
        <v>118</v>
      </c>
      <c r="M330" t="s">
        <v>90</v>
      </c>
      <c r="N330" t="s">
        <v>110</v>
      </c>
      <c r="O330" t="s">
        <v>3455</v>
      </c>
      <c r="P330" s="5" t="s">
        <v>3318</v>
      </c>
      <c r="Q330">
        <v>4</v>
      </c>
    </row>
    <row r="331" spans="1:17" x14ac:dyDescent="0.3">
      <c r="A331" s="4">
        <v>44620</v>
      </c>
      <c r="B331" t="s">
        <v>3821</v>
      </c>
      <c r="C331" t="s">
        <v>3784</v>
      </c>
      <c r="D331" s="77">
        <v>0.75555555555555554</v>
      </c>
      <c r="E331" t="s">
        <v>3314</v>
      </c>
      <c r="F331">
        <v>61</v>
      </c>
      <c r="G331" t="s">
        <v>3315</v>
      </c>
      <c r="H331">
        <v>20000</v>
      </c>
      <c r="I331" t="s">
        <v>3316</v>
      </c>
      <c r="J331">
        <v>20000</v>
      </c>
      <c r="K331">
        <v>90000</v>
      </c>
      <c r="L331" t="s">
        <v>116</v>
      </c>
      <c r="M331" t="s">
        <v>76</v>
      </c>
      <c r="N331" t="s">
        <v>107</v>
      </c>
      <c r="O331" t="s">
        <v>3321</v>
      </c>
      <c r="P331" s="5" t="s">
        <v>3318</v>
      </c>
      <c r="Q331">
        <v>4.5</v>
      </c>
    </row>
    <row r="332" spans="1:17" x14ac:dyDescent="0.3">
      <c r="A332" s="4">
        <v>44620</v>
      </c>
      <c r="B332" t="s">
        <v>3822</v>
      </c>
      <c r="C332" t="s">
        <v>3823</v>
      </c>
      <c r="D332" s="77">
        <v>0.77083333333333337</v>
      </c>
      <c r="E332" t="s">
        <v>3314</v>
      </c>
      <c r="F332">
        <v>67</v>
      </c>
      <c r="G332" t="s">
        <v>3315</v>
      </c>
      <c r="H332">
        <v>20000</v>
      </c>
      <c r="I332" t="s">
        <v>3316</v>
      </c>
      <c r="J332">
        <v>20000</v>
      </c>
      <c r="K332">
        <v>80000</v>
      </c>
      <c r="L332" t="s">
        <v>118</v>
      </c>
      <c r="M332" t="s">
        <v>2845</v>
      </c>
      <c r="N332" t="s">
        <v>2847</v>
      </c>
      <c r="O332" t="s">
        <v>3361</v>
      </c>
      <c r="P332" s="5" t="s">
        <v>3318</v>
      </c>
      <c r="Q332">
        <v>4</v>
      </c>
    </row>
    <row r="333" spans="1:17" x14ac:dyDescent="0.3">
      <c r="A333" s="4">
        <v>44620</v>
      </c>
      <c r="B333" t="s">
        <v>3824</v>
      </c>
      <c r="C333" t="s">
        <v>3812</v>
      </c>
      <c r="D333" s="77">
        <v>0.77500000000000002</v>
      </c>
      <c r="E333" t="s">
        <v>3314</v>
      </c>
      <c r="F333">
        <v>43</v>
      </c>
      <c r="G333" t="s">
        <v>3315</v>
      </c>
      <c r="H333">
        <v>30000</v>
      </c>
      <c r="I333" t="s">
        <v>3316</v>
      </c>
      <c r="J333">
        <v>30000</v>
      </c>
      <c r="K333">
        <v>135000</v>
      </c>
      <c r="L333" t="s">
        <v>116</v>
      </c>
      <c r="M333" t="s">
        <v>78</v>
      </c>
      <c r="N333" t="s">
        <v>100</v>
      </c>
      <c r="O333" t="s">
        <v>3629</v>
      </c>
      <c r="P333" s="5" t="s">
        <v>3318</v>
      </c>
      <c r="Q333">
        <v>4.5</v>
      </c>
    </row>
    <row r="334" spans="1:17" x14ac:dyDescent="0.3">
      <c r="A334" s="4">
        <v>44620</v>
      </c>
      <c r="B334" t="s">
        <v>3825</v>
      </c>
      <c r="C334" t="s">
        <v>3788</v>
      </c>
      <c r="D334" s="77">
        <v>0.77847222222222223</v>
      </c>
      <c r="E334" t="s">
        <v>3314</v>
      </c>
      <c r="F334">
        <v>39</v>
      </c>
      <c r="G334" t="s">
        <v>3315</v>
      </c>
      <c r="H334">
        <v>20000</v>
      </c>
      <c r="I334" t="s">
        <v>3316</v>
      </c>
      <c r="J334">
        <v>20000</v>
      </c>
      <c r="K334">
        <v>60000</v>
      </c>
      <c r="L334" t="s">
        <v>149</v>
      </c>
      <c r="M334" t="s">
        <v>3020</v>
      </c>
      <c r="N334" t="s">
        <v>2852</v>
      </c>
      <c r="O334" t="s">
        <v>3661</v>
      </c>
      <c r="P334" s="5" t="s">
        <v>3318</v>
      </c>
      <c r="Q334">
        <v>3</v>
      </c>
    </row>
    <row r="335" spans="1:17" x14ac:dyDescent="0.3">
      <c r="A335" s="4">
        <v>44620</v>
      </c>
      <c r="B335" t="s">
        <v>3826</v>
      </c>
      <c r="C335" t="s">
        <v>3802</v>
      </c>
      <c r="D335" s="77">
        <v>0.78402777777777777</v>
      </c>
      <c r="E335" t="s">
        <v>3314</v>
      </c>
      <c r="F335">
        <v>38</v>
      </c>
      <c r="G335" t="s">
        <v>3315</v>
      </c>
      <c r="H335">
        <v>20000</v>
      </c>
      <c r="I335" t="s">
        <v>3316</v>
      </c>
      <c r="J335">
        <v>20000</v>
      </c>
      <c r="K335">
        <v>90000</v>
      </c>
      <c r="L335" t="s">
        <v>113</v>
      </c>
      <c r="M335" t="s">
        <v>22</v>
      </c>
      <c r="N335" t="s">
        <v>98</v>
      </c>
      <c r="O335" t="s">
        <v>3437</v>
      </c>
      <c r="P335" s="5" t="s">
        <v>3318</v>
      </c>
      <c r="Q335">
        <v>4.5</v>
      </c>
    </row>
    <row r="336" spans="1:17" x14ac:dyDescent="0.3">
      <c r="A336" s="4">
        <v>44620</v>
      </c>
      <c r="B336" t="s">
        <v>3827</v>
      </c>
      <c r="C336" t="s">
        <v>3802</v>
      </c>
      <c r="D336" s="77">
        <v>0.79722222222222217</v>
      </c>
      <c r="E336" t="s">
        <v>3314</v>
      </c>
      <c r="F336">
        <v>50</v>
      </c>
      <c r="G336" t="s">
        <v>3315</v>
      </c>
      <c r="H336">
        <v>30000</v>
      </c>
      <c r="I336" t="s">
        <v>3316</v>
      </c>
      <c r="J336">
        <v>30000</v>
      </c>
      <c r="K336">
        <v>135000</v>
      </c>
      <c r="L336" t="s">
        <v>119</v>
      </c>
      <c r="M336" t="s">
        <v>27</v>
      </c>
      <c r="N336" t="s">
        <v>101</v>
      </c>
      <c r="O336" t="s">
        <v>3803</v>
      </c>
      <c r="P336" s="5" t="s">
        <v>3318</v>
      </c>
      <c r="Q336">
        <v>4.5</v>
      </c>
    </row>
    <row r="337" spans="1:17" x14ac:dyDescent="0.3">
      <c r="A337" s="4">
        <v>44620</v>
      </c>
      <c r="B337" t="s">
        <v>3828</v>
      </c>
      <c r="C337" t="s">
        <v>3807</v>
      </c>
      <c r="D337" s="77">
        <v>0.81180555555555556</v>
      </c>
      <c r="E337" t="s">
        <v>3314</v>
      </c>
      <c r="F337">
        <v>55</v>
      </c>
      <c r="G337" t="s">
        <v>3315</v>
      </c>
      <c r="H337">
        <v>20000</v>
      </c>
      <c r="I337" t="s">
        <v>3316</v>
      </c>
      <c r="J337">
        <v>20000</v>
      </c>
      <c r="K337">
        <v>80000</v>
      </c>
      <c r="L337" t="s">
        <v>118</v>
      </c>
      <c r="M337" t="s">
        <v>3033</v>
      </c>
      <c r="N337" t="s">
        <v>3035</v>
      </c>
      <c r="O337" t="s">
        <v>3542</v>
      </c>
      <c r="P337" s="5" t="s">
        <v>3318</v>
      </c>
      <c r="Q337">
        <v>4</v>
      </c>
    </row>
    <row r="338" spans="1:17" x14ac:dyDescent="0.3">
      <c r="A338" s="4">
        <v>44620</v>
      </c>
      <c r="B338" t="s">
        <v>3829</v>
      </c>
      <c r="C338" t="s">
        <v>3807</v>
      </c>
      <c r="D338" s="77">
        <v>0.8125</v>
      </c>
      <c r="E338" t="s">
        <v>3314</v>
      </c>
      <c r="F338">
        <v>57</v>
      </c>
      <c r="G338" t="s">
        <v>3315</v>
      </c>
      <c r="H338">
        <v>20000</v>
      </c>
      <c r="I338" t="s">
        <v>3316</v>
      </c>
      <c r="J338">
        <v>20000</v>
      </c>
      <c r="K338">
        <v>90000</v>
      </c>
      <c r="L338" t="s">
        <v>119</v>
      </c>
      <c r="M338" t="s">
        <v>29</v>
      </c>
      <c r="N338" t="s">
        <v>104</v>
      </c>
      <c r="O338" t="s">
        <v>3457</v>
      </c>
      <c r="P338" s="5" t="s">
        <v>3318</v>
      </c>
      <c r="Q338">
        <v>4.5</v>
      </c>
    </row>
    <row r="339" spans="1:17" x14ac:dyDescent="0.3">
      <c r="A339" s="4">
        <v>44621</v>
      </c>
      <c r="B339" t="s">
        <v>3830</v>
      </c>
      <c r="C339" t="s">
        <v>3831</v>
      </c>
      <c r="D339" s="77">
        <v>0.53125</v>
      </c>
      <c r="E339" t="s">
        <v>3314</v>
      </c>
      <c r="F339">
        <v>41</v>
      </c>
      <c r="G339" t="s">
        <v>3315</v>
      </c>
      <c r="H339">
        <v>30000</v>
      </c>
      <c r="I339" t="s">
        <v>3316</v>
      </c>
      <c r="J339">
        <v>30000</v>
      </c>
      <c r="K339">
        <v>120000</v>
      </c>
      <c r="L339" t="s">
        <v>118</v>
      </c>
      <c r="M339" t="s">
        <v>90</v>
      </c>
      <c r="N339" t="s">
        <v>110</v>
      </c>
      <c r="O339" t="s">
        <v>3455</v>
      </c>
      <c r="P339" s="5" t="s">
        <v>3318</v>
      </c>
      <c r="Q339">
        <v>4</v>
      </c>
    </row>
    <row r="340" spans="1:17" x14ac:dyDescent="0.3">
      <c r="A340" s="4">
        <v>44621</v>
      </c>
      <c r="B340" t="s">
        <v>3832</v>
      </c>
      <c r="C340" t="s">
        <v>3833</v>
      </c>
      <c r="D340" s="77">
        <v>0.54166666666666663</v>
      </c>
      <c r="E340" t="s">
        <v>3314</v>
      </c>
      <c r="F340">
        <v>45</v>
      </c>
      <c r="G340" t="s">
        <v>3315</v>
      </c>
      <c r="H340">
        <v>20000</v>
      </c>
      <c r="I340" t="s">
        <v>3834</v>
      </c>
      <c r="J340">
        <v>20000</v>
      </c>
      <c r="K340">
        <v>80000</v>
      </c>
      <c r="L340" t="s">
        <v>118</v>
      </c>
      <c r="M340" t="s">
        <v>91</v>
      </c>
      <c r="N340" t="s">
        <v>136</v>
      </c>
      <c r="O340" t="s">
        <v>3422</v>
      </c>
      <c r="P340" s="5" t="s">
        <v>3318</v>
      </c>
      <c r="Q340">
        <v>4</v>
      </c>
    </row>
    <row r="341" spans="1:17" x14ac:dyDescent="0.3">
      <c r="A341" s="4">
        <v>44621</v>
      </c>
      <c r="B341" t="s">
        <v>3835</v>
      </c>
      <c r="C341" t="s">
        <v>3836</v>
      </c>
      <c r="D341" s="77">
        <v>0.59166666666666667</v>
      </c>
      <c r="E341" t="s">
        <v>3314</v>
      </c>
      <c r="F341">
        <v>25</v>
      </c>
      <c r="G341" t="s">
        <v>3315</v>
      </c>
      <c r="H341">
        <v>50000</v>
      </c>
      <c r="I341" t="s">
        <v>3834</v>
      </c>
      <c r="J341">
        <v>50000</v>
      </c>
      <c r="K341">
        <v>200000</v>
      </c>
      <c r="L341" t="s">
        <v>118</v>
      </c>
      <c r="M341" t="s">
        <v>3023</v>
      </c>
      <c r="N341" t="s">
        <v>3025</v>
      </c>
      <c r="O341" t="s">
        <v>3481</v>
      </c>
      <c r="P341" s="5" t="s">
        <v>3318</v>
      </c>
      <c r="Q341">
        <v>4</v>
      </c>
    </row>
    <row r="342" spans="1:17" x14ac:dyDescent="0.3">
      <c r="A342" s="4">
        <v>44621</v>
      </c>
      <c r="B342" t="s">
        <v>3837</v>
      </c>
      <c r="C342" t="s">
        <v>3838</v>
      </c>
      <c r="D342" s="77">
        <v>0.59444444444444444</v>
      </c>
      <c r="E342" t="s">
        <v>3314</v>
      </c>
      <c r="F342">
        <v>40</v>
      </c>
      <c r="G342" t="s">
        <v>3315</v>
      </c>
      <c r="H342">
        <v>30000</v>
      </c>
      <c r="I342" t="s">
        <v>3316</v>
      </c>
      <c r="J342">
        <v>30000</v>
      </c>
      <c r="K342">
        <v>135000</v>
      </c>
      <c r="L342" t="s">
        <v>116</v>
      </c>
      <c r="M342" t="s">
        <v>78</v>
      </c>
      <c r="N342" t="s">
        <v>100</v>
      </c>
      <c r="O342" t="s">
        <v>3629</v>
      </c>
      <c r="P342" s="5" t="s">
        <v>3318</v>
      </c>
      <c r="Q342">
        <v>4.5</v>
      </c>
    </row>
    <row r="343" spans="1:17" x14ac:dyDescent="0.3">
      <c r="A343" s="4">
        <v>44621</v>
      </c>
      <c r="B343" t="s">
        <v>3839</v>
      </c>
      <c r="C343" t="s">
        <v>3831</v>
      </c>
      <c r="D343" s="77">
        <v>0.60416666666666663</v>
      </c>
      <c r="E343" t="s">
        <v>3314</v>
      </c>
      <c r="F343">
        <v>42</v>
      </c>
      <c r="G343" t="s">
        <v>3315</v>
      </c>
      <c r="H343">
        <v>20000</v>
      </c>
      <c r="I343" t="s">
        <v>3316</v>
      </c>
      <c r="J343">
        <v>20000</v>
      </c>
      <c r="K343">
        <v>80000</v>
      </c>
      <c r="L343" t="s">
        <v>118</v>
      </c>
      <c r="M343" t="s">
        <v>90</v>
      </c>
      <c r="N343" t="s">
        <v>110</v>
      </c>
      <c r="O343" t="s">
        <v>3455</v>
      </c>
      <c r="P343" s="5" t="s">
        <v>3318</v>
      </c>
      <c r="Q343">
        <v>4</v>
      </c>
    </row>
    <row r="344" spans="1:17" x14ac:dyDescent="0.3">
      <c r="A344" s="4">
        <v>44621</v>
      </c>
      <c r="B344" t="s">
        <v>3840</v>
      </c>
      <c r="C344" t="s">
        <v>3841</v>
      </c>
      <c r="D344" s="77">
        <v>0.60555555555555551</v>
      </c>
      <c r="E344" t="s">
        <v>3314</v>
      </c>
      <c r="F344">
        <v>42</v>
      </c>
      <c r="G344" t="s">
        <v>3315</v>
      </c>
      <c r="H344">
        <v>20000</v>
      </c>
      <c r="I344" t="s">
        <v>3316</v>
      </c>
      <c r="J344">
        <v>20000</v>
      </c>
      <c r="K344">
        <v>80000</v>
      </c>
      <c r="L344" t="s">
        <v>118</v>
      </c>
      <c r="M344" t="s">
        <v>87</v>
      </c>
      <c r="N344" t="s">
        <v>134</v>
      </c>
      <c r="O344" t="s">
        <v>3528</v>
      </c>
      <c r="P344" s="5" t="s">
        <v>3318</v>
      </c>
      <c r="Q344">
        <v>4</v>
      </c>
    </row>
    <row r="345" spans="1:17" x14ac:dyDescent="0.3">
      <c r="A345" s="4">
        <v>44621</v>
      </c>
      <c r="B345" t="s">
        <v>3842</v>
      </c>
      <c r="C345" t="s">
        <v>3843</v>
      </c>
      <c r="D345" s="77">
        <v>0.61458333333333337</v>
      </c>
      <c r="E345" t="s">
        <v>3314</v>
      </c>
      <c r="F345">
        <v>63</v>
      </c>
      <c r="G345" t="s">
        <v>3315</v>
      </c>
      <c r="H345">
        <v>20000</v>
      </c>
      <c r="I345" t="s">
        <v>3316</v>
      </c>
      <c r="J345">
        <v>20000</v>
      </c>
      <c r="K345">
        <v>90000</v>
      </c>
      <c r="L345" t="s">
        <v>119</v>
      </c>
      <c r="M345" t="s">
        <v>29</v>
      </c>
      <c r="N345" t="s">
        <v>104</v>
      </c>
      <c r="O345" t="s">
        <v>3457</v>
      </c>
      <c r="P345" s="5" t="s">
        <v>3318</v>
      </c>
      <c r="Q345">
        <v>4.5</v>
      </c>
    </row>
    <row r="346" spans="1:17" x14ac:dyDescent="0.3">
      <c r="A346" s="4">
        <v>44621</v>
      </c>
      <c r="B346" t="s">
        <v>3844</v>
      </c>
      <c r="C346" t="s">
        <v>3845</v>
      </c>
      <c r="D346" s="77">
        <v>0.61527777777777781</v>
      </c>
      <c r="E346" t="s">
        <v>3314</v>
      </c>
      <c r="F346">
        <v>54</v>
      </c>
      <c r="G346" t="s">
        <v>3315</v>
      </c>
      <c r="H346">
        <v>20000</v>
      </c>
      <c r="I346" t="s">
        <v>3316</v>
      </c>
      <c r="J346">
        <v>20000</v>
      </c>
      <c r="K346">
        <v>90000</v>
      </c>
      <c r="L346" t="s">
        <v>116</v>
      </c>
      <c r="M346" t="s">
        <v>65</v>
      </c>
      <c r="N346" t="s">
        <v>102</v>
      </c>
      <c r="O346" t="s">
        <v>3506</v>
      </c>
      <c r="P346" s="5" t="s">
        <v>3318</v>
      </c>
      <c r="Q346">
        <v>4.5</v>
      </c>
    </row>
    <row r="347" spans="1:17" x14ac:dyDescent="0.3">
      <c r="A347" s="4">
        <v>44621</v>
      </c>
      <c r="B347" t="s">
        <v>3846</v>
      </c>
      <c r="C347" t="s">
        <v>3843</v>
      </c>
      <c r="D347" s="77">
        <v>0.61597222222222225</v>
      </c>
      <c r="E347" t="s">
        <v>3314</v>
      </c>
      <c r="F347">
        <v>56</v>
      </c>
      <c r="G347" t="s">
        <v>3315</v>
      </c>
      <c r="H347">
        <v>20000</v>
      </c>
      <c r="I347" t="s">
        <v>3316</v>
      </c>
      <c r="J347">
        <v>20000</v>
      </c>
      <c r="K347">
        <v>80000</v>
      </c>
      <c r="L347" t="s">
        <v>118</v>
      </c>
      <c r="M347" t="s">
        <v>3033</v>
      </c>
      <c r="N347" t="s">
        <v>3035</v>
      </c>
      <c r="O347" t="s">
        <v>3542</v>
      </c>
      <c r="P347" s="5" t="s">
        <v>3318</v>
      </c>
      <c r="Q347">
        <v>4</v>
      </c>
    </row>
    <row r="348" spans="1:17" x14ac:dyDescent="0.3">
      <c r="A348" s="4">
        <v>44621</v>
      </c>
      <c r="B348" t="s">
        <v>3847</v>
      </c>
      <c r="C348" t="s">
        <v>3841</v>
      </c>
      <c r="D348" s="77">
        <v>0.62013888888888891</v>
      </c>
      <c r="E348" t="s">
        <v>3314</v>
      </c>
      <c r="F348">
        <v>41</v>
      </c>
      <c r="G348" t="s">
        <v>3315</v>
      </c>
      <c r="H348">
        <v>20000</v>
      </c>
      <c r="I348" t="s">
        <v>3316</v>
      </c>
      <c r="J348">
        <v>20000</v>
      </c>
      <c r="K348">
        <v>90000</v>
      </c>
      <c r="L348" t="s">
        <v>114</v>
      </c>
      <c r="M348" t="s">
        <v>31</v>
      </c>
      <c r="N348" t="s">
        <v>105</v>
      </c>
      <c r="O348" t="s">
        <v>3339</v>
      </c>
      <c r="P348" s="5" t="s">
        <v>3318</v>
      </c>
      <c r="Q348">
        <v>4.5</v>
      </c>
    </row>
    <row r="349" spans="1:17" x14ac:dyDescent="0.3">
      <c r="A349" s="4">
        <v>44621</v>
      </c>
      <c r="B349" t="s">
        <v>3848</v>
      </c>
      <c r="C349" t="s">
        <v>3841</v>
      </c>
      <c r="D349" s="77">
        <v>0.63194444444444442</v>
      </c>
      <c r="E349" t="s">
        <v>3314</v>
      </c>
      <c r="F349">
        <v>53</v>
      </c>
      <c r="G349" t="s">
        <v>3315</v>
      </c>
      <c r="H349">
        <v>30000</v>
      </c>
      <c r="I349" t="s">
        <v>3316</v>
      </c>
      <c r="J349">
        <v>30000</v>
      </c>
      <c r="K349">
        <v>120000</v>
      </c>
      <c r="L349" t="s">
        <v>118</v>
      </c>
      <c r="M349" t="s">
        <v>87</v>
      </c>
      <c r="N349" t="s">
        <v>134</v>
      </c>
      <c r="O349" t="s">
        <v>3528</v>
      </c>
      <c r="P349" s="5" t="s">
        <v>3318</v>
      </c>
      <c r="Q349">
        <v>4</v>
      </c>
    </row>
    <row r="350" spans="1:17" x14ac:dyDescent="0.3">
      <c r="A350" s="4">
        <v>44621</v>
      </c>
      <c r="B350" t="s">
        <v>3849</v>
      </c>
      <c r="C350" t="s">
        <v>3850</v>
      </c>
      <c r="D350" s="77">
        <v>0.63402777777777775</v>
      </c>
      <c r="E350" t="s">
        <v>3314</v>
      </c>
      <c r="F350">
        <v>62</v>
      </c>
      <c r="G350" t="s">
        <v>3315</v>
      </c>
      <c r="H350">
        <v>20000</v>
      </c>
      <c r="I350" t="s">
        <v>3834</v>
      </c>
      <c r="J350">
        <v>20000</v>
      </c>
      <c r="K350">
        <v>90000</v>
      </c>
      <c r="L350" t="s">
        <v>116</v>
      </c>
      <c r="M350" t="s">
        <v>76</v>
      </c>
      <c r="N350" t="s">
        <v>107</v>
      </c>
      <c r="O350" t="s">
        <v>3321</v>
      </c>
      <c r="P350" s="5" t="s">
        <v>3318</v>
      </c>
      <c r="Q350">
        <v>4.5</v>
      </c>
    </row>
    <row r="351" spans="1:17" x14ac:dyDescent="0.3">
      <c r="A351" s="4">
        <v>44621</v>
      </c>
      <c r="B351" t="s">
        <v>3851</v>
      </c>
      <c r="C351" t="s">
        <v>3833</v>
      </c>
      <c r="D351" s="77">
        <v>0.65972222222222221</v>
      </c>
      <c r="E351" t="s">
        <v>3314</v>
      </c>
      <c r="F351">
        <v>30</v>
      </c>
      <c r="G351" t="s">
        <v>3315</v>
      </c>
      <c r="H351">
        <v>20000</v>
      </c>
      <c r="I351" t="s">
        <v>3316</v>
      </c>
      <c r="J351">
        <v>20000</v>
      </c>
      <c r="K351">
        <v>80000</v>
      </c>
      <c r="L351" t="s">
        <v>118</v>
      </c>
      <c r="M351" t="s">
        <v>85</v>
      </c>
      <c r="N351" t="s">
        <v>109</v>
      </c>
      <c r="O351" t="s">
        <v>3342</v>
      </c>
      <c r="P351" s="5" t="s">
        <v>3318</v>
      </c>
      <c r="Q351">
        <v>4</v>
      </c>
    </row>
    <row r="352" spans="1:17" x14ac:dyDescent="0.3">
      <c r="A352" s="4">
        <v>44621</v>
      </c>
      <c r="B352" t="s">
        <v>3852</v>
      </c>
      <c r="C352" t="s">
        <v>3843</v>
      </c>
      <c r="D352" s="77">
        <v>0.66597222222222219</v>
      </c>
      <c r="E352" t="s">
        <v>3314</v>
      </c>
      <c r="F352">
        <v>43</v>
      </c>
      <c r="G352" t="s">
        <v>3315</v>
      </c>
      <c r="H352">
        <v>30000</v>
      </c>
      <c r="I352" t="s">
        <v>3316</v>
      </c>
      <c r="J352">
        <v>30000</v>
      </c>
      <c r="K352">
        <v>120000</v>
      </c>
      <c r="L352" t="s">
        <v>118</v>
      </c>
      <c r="M352" t="s">
        <v>3033</v>
      </c>
      <c r="N352" t="s">
        <v>3035</v>
      </c>
      <c r="O352" t="s">
        <v>3542</v>
      </c>
      <c r="P352" s="5" t="s">
        <v>3318</v>
      </c>
      <c r="Q352">
        <v>4</v>
      </c>
    </row>
    <row r="353" spans="1:17" x14ac:dyDescent="0.3">
      <c r="A353" s="4">
        <v>44621</v>
      </c>
      <c r="B353" t="s">
        <v>3853</v>
      </c>
      <c r="C353" t="s">
        <v>3802</v>
      </c>
      <c r="D353" s="77">
        <v>0.66666666666666663</v>
      </c>
      <c r="E353" t="s">
        <v>3314</v>
      </c>
      <c r="F353">
        <v>38</v>
      </c>
      <c r="G353" t="s">
        <v>3315</v>
      </c>
      <c r="H353">
        <v>30000</v>
      </c>
      <c r="I353" t="s">
        <v>3316</v>
      </c>
      <c r="J353">
        <v>30000</v>
      </c>
      <c r="K353">
        <v>135000</v>
      </c>
      <c r="L353" t="s">
        <v>113</v>
      </c>
      <c r="M353" t="s">
        <v>22</v>
      </c>
      <c r="N353" t="s">
        <v>98</v>
      </c>
      <c r="O353" t="s">
        <v>3437</v>
      </c>
      <c r="P353" s="5" t="s">
        <v>3318</v>
      </c>
      <c r="Q353">
        <v>4.5</v>
      </c>
    </row>
    <row r="354" spans="1:17" x14ac:dyDescent="0.3">
      <c r="A354" s="4">
        <v>44621</v>
      </c>
      <c r="B354" t="s">
        <v>3854</v>
      </c>
      <c r="C354" t="s">
        <v>3802</v>
      </c>
      <c r="D354" s="77">
        <v>0.66805555555555562</v>
      </c>
      <c r="E354" t="s">
        <v>3314</v>
      </c>
      <c r="F354">
        <v>63</v>
      </c>
      <c r="G354" t="s">
        <v>3315</v>
      </c>
      <c r="H354">
        <v>50000</v>
      </c>
      <c r="I354" t="s">
        <v>3316</v>
      </c>
      <c r="J354">
        <v>50000</v>
      </c>
      <c r="K354">
        <v>225000</v>
      </c>
      <c r="L354" t="s">
        <v>119</v>
      </c>
      <c r="M354" t="s">
        <v>27</v>
      </c>
      <c r="N354" t="s">
        <v>101</v>
      </c>
      <c r="O354" t="s">
        <v>3803</v>
      </c>
      <c r="P354" s="5" t="s">
        <v>3318</v>
      </c>
      <c r="Q354">
        <v>4.5</v>
      </c>
    </row>
    <row r="355" spans="1:17" x14ac:dyDescent="0.3">
      <c r="A355" s="4">
        <v>44621</v>
      </c>
      <c r="B355" t="s">
        <v>3855</v>
      </c>
      <c r="C355" t="s">
        <v>3831</v>
      </c>
      <c r="D355" s="77">
        <v>0.67708333333333337</v>
      </c>
      <c r="E355" t="s">
        <v>3314</v>
      </c>
      <c r="F355">
        <v>43</v>
      </c>
      <c r="G355" t="s">
        <v>3315</v>
      </c>
      <c r="H355">
        <v>20000</v>
      </c>
      <c r="I355" t="s">
        <v>3316</v>
      </c>
      <c r="J355">
        <v>20000</v>
      </c>
      <c r="K355">
        <v>90000</v>
      </c>
      <c r="L355" t="s">
        <v>114</v>
      </c>
      <c r="M355" t="s">
        <v>30</v>
      </c>
      <c r="N355" t="s">
        <v>106</v>
      </c>
      <c r="O355" t="s">
        <v>3379</v>
      </c>
      <c r="P355" s="5" t="s">
        <v>3318</v>
      </c>
      <c r="Q355">
        <v>4.5</v>
      </c>
    </row>
    <row r="356" spans="1:17" x14ac:dyDescent="0.3">
      <c r="A356" s="4">
        <v>44621</v>
      </c>
      <c r="B356" t="s">
        <v>3856</v>
      </c>
      <c r="C356" t="s">
        <v>3831</v>
      </c>
      <c r="D356" s="77">
        <v>0.68888888888888899</v>
      </c>
      <c r="E356" t="s">
        <v>3314</v>
      </c>
      <c r="F356">
        <v>27</v>
      </c>
      <c r="G356" t="s">
        <v>3315</v>
      </c>
      <c r="H356">
        <v>30000</v>
      </c>
      <c r="I356" t="s">
        <v>3834</v>
      </c>
      <c r="J356">
        <v>30000</v>
      </c>
      <c r="K356">
        <v>135000</v>
      </c>
      <c r="L356" t="s">
        <v>114</v>
      </c>
      <c r="M356" t="s">
        <v>30</v>
      </c>
      <c r="N356" t="s">
        <v>106</v>
      </c>
      <c r="O356" t="s">
        <v>3379</v>
      </c>
      <c r="P356" s="5" t="s">
        <v>3318</v>
      </c>
      <c r="Q356">
        <v>4.5</v>
      </c>
    </row>
    <row r="357" spans="1:17" x14ac:dyDescent="0.3">
      <c r="A357" s="4">
        <v>44621</v>
      </c>
      <c r="B357" t="s">
        <v>3857</v>
      </c>
      <c r="C357" t="s">
        <v>3843</v>
      </c>
      <c r="D357" s="77">
        <v>0.69444444444444453</v>
      </c>
      <c r="E357" t="s">
        <v>3314</v>
      </c>
      <c r="F357">
        <v>52</v>
      </c>
      <c r="G357" t="s">
        <v>3315</v>
      </c>
      <c r="H357">
        <v>30000</v>
      </c>
      <c r="I357" t="s">
        <v>3316</v>
      </c>
      <c r="J357">
        <v>30000</v>
      </c>
      <c r="K357">
        <v>135000</v>
      </c>
      <c r="L357" t="s">
        <v>119</v>
      </c>
      <c r="M357" t="s">
        <v>29</v>
      </c>
      <c r="N357" t="s">
        <v>104</v>
      </c>
      <c r="O357" t="s">
        <v>3457</v>
      </c>
      <c r="P357" s="5" t="s">
        <v>3318</v>
      </c>
      <c r="Q357">
        <v>4.5</v>
      </c>
    </row>
    <row r="358" spans="1:17" x14ac:dyDescent="0.3">
      <c r="A358" s="4">
        <v>44621</v>
      </c>
      <c r="B358" t="s">
        <v>3858</v>
      </c>
      <c r="C358" t="s">
        <v>3421</v>
      </c>
      <c r="D358" s="77">
        <v>0.6958333333333333</v>
      </c>
      <c r="E358" t="s">
        <v>3314</v>
      </c>
      <c r="F358">
        <v>53</v>
      </c>
      <c r="G358" t="s">
        <v>3315</v>
      </c>
      <c r="H358">
        <v>20000</v>
      </c>
      <c r="I358" t="s">
        <v>3834</v>
      </c>
      <c r="J358">
        <v>20000</v>
      </c>
      <c r="K358">
        <v>60000</v>
      </c>
      <c r="L358" t="s">
        <v>149</v>
      </c>
      <c r="M358" t="s">
        <v>94</v>
      </c>
      <c r="N358" t="s">
        <v>138</v>
      </c>
      <c r="O358" t="s">
        <v>3775</v>
      </c>
      <c r="P358" s="5" t="s">
        <v>3318</v>
      </c>
      <c r="Q358">
        <v>3</v>
      </c>
    </row>
    <row r="359" spans="1:17" x14ac:dyDescent="0.3">
      <c r="A359" s="4">
        <v>44621</v>
      </c>
      <c r="B359" t="s">
        <v>3859</v>
      </c>
      <c r="C359" t="s">
        <v>3831</v>
      </c>
      <c r="D359" s="77">
        <v>0.70138888888888884</v>
      </c>
      <c r="E359" t="s">
        <v>3314</v>
      </c>
      <c r="F359">
        <v>56</v>
      </c>
      <c r="G359" t="s">
        <v>3315</v>
      </c>
      <c r="H359">
        <v>20000</v>
      </c>
      <c r="I359" t="s">
        <v>3316</v>
      </c>
      <c r="J359">
        <v>20000</v>
      </c>
      <c r="K359">
        <v>80000</v>
      </c>
      <c r="L359" t="s">
        <v>118</v>
      </c>
      <c r="M359" t="s">
        <v>90</v>
      </c>
      <c r="N359" t="s">
        <v>110</v>
      </c>
      <c r="O359" t="s">
        <v>3455</v>
      </c>
      <c r="P359" s="5" t="s">
        <v>3318</v>
      </c>
      <c r="Q359">
        <v>4</v>
      </c>
    </row>
    <row r="360" spans="1:17" x14ac:dyDescent="0.3">
      <c r="A360" s="4">
        <v>44621</v>
      </c>
      <c r="B360" t="s">
        <v>3860</v>
      </c>
      <c r="C360" t="s">
        <v>3831</v>
      </c>
      <c r="D360" s="77">
        <v>0.70486111111111116</v>
      </c>
      <c r="E360" t="s">
        <v>3314</v>
      </c>
      <c r="F360">
        <v>46</v>
      </c>
      <c r="G360" t="s">
        <v>3315</v>
      </c>
      <c r="H360">
        <v>20000</v>
      </c>
      <c r="I360" t="s">
        <v>3316</v>
      </c>
      <c r="J360">
        <v>20000</v>
      </c>
      <c r="K360">
        <v>90000</v>
      </c>
      <c r="L360" t="s">
        <v>114</v>
      </c>
      <c r="M360" t="s">
        <v>30</v>
      </c>
      <c r="N360" t="s">
        <v>106</v>
      </c>
      <c r="O360" t="s">
        <v>3379</v>
      </c>
      <c r="P360" s="5" t="s">
        <v>3318</v>
      </c>
      <c r="Q360">
        <v>4.5</v>
      </c>
    </row>
    <row r="361" spans="1:17" x14ac:dyDescent="0.3">
      <c r="A361" s="4">
        <v>44621</v>
      </c>
      <c r="B361" t="s">
        <v>3861</v>
      </c>
      <c r="C361" t="s">
        <v>3833</v>
      </c>
      <c r="D361" s="77">
        <v>0.70833333333333337</v>
      </c>
      <c r="E361" t="s">
        <v>3314</v>
      </c>
      <c r="F361">
        <v>37</v>
      </c>
      <c r="G361" t="s">
        <v>3315</v>
      </c>
      <c r="H361">
        <v>20000</v>
      </c>
      <c r="I361" t="s">
        <v>3316</v>
      </c>
      <c r="J361">
        <v>20000</v>
      </c>
      <c r="K361">
        <v>80000</v>
      </c>
      <c r="L361" t="s">
        <v>118</v>
      </c>
      <c r="M361" t="s">
        <v>91</v>
      </c>
      <c r="N361" t="s">
        <v>136</v>
      </c>
      <c r="O361" t="s">
        <v>3422</v>
      </c>
      <c r="P361" s="5" t="s">
        <v>3318</v>
      </c>
      <c r="Q361">
        <v>4</v>
      </c>
    </row>
    <row r="362" spans="1:17" x14ac:dyDescent="0.3">
      <c r="A362" s="4">
        <v>44621</v>
      </c>
      <c r="B362" t="s">
        <v>3862</v>
      </c>
      <c r="C362" t="s">
        <v>3831</v>
      </c>
      <c r="D362" s="77">
        <v>0.70833333333333337</v>
      </c>
      <c r="E362" t="s">
        <v>3314</v>
      </c>
      <c r="F362">
        <v>34</v>
      </c>
      <c r="G362" t="s">
        <v>3315</v>
      </c>
      <c r="H362">
        <v>20000</v>
      </c>
      <c r="I362" t="s">
        <v>3316</v>
      </c>
      <c r="J362">
        <v>20000</v>
      </c>
      <c r="K362">
        <v>80000</v>
      </c>
      <c r="L362" t="s">
        <v>118</v>
      </c>
      <c r="M362" t="s">
        <v>90</v>
      </c>
      <c r="N362" t="s">
        <v>110</v>
      </c>
      <c r="O362" t="s">
        <v>3455</v>
      </c>
      <c r="P362" s="5" t="s">
        <v>3318</v>
      </c>
      <c r="Q362">
        <v>4</v>
      </c>
    </row>
    <row r="363" spans="1:17" x14ac:dyDescent="0.3">
      <c r="A363" s="4">
        <v>44621</v>
      </c>
      <c r="B363" t="s">
        <v>3863</v>
      </c>
      <c r="C363" t="s">
        <v>3833</v>
      </c>
      <c r="D363" s="77">
        <v>0.72222222222222221</v>
      </c>
      <c r="E363" t="s">
        <v>3314</v>
      </c>
      <c r="F363">
        <v>23</v>
      </c>
      <c r="G363" t="s">
        <v>3575</v>
      </c>
      <c r="H363">
        <v>20000</v>
      </c>
      <c r="I363" t="s">
        <v>3348</v>
      </c>
      <c r="J363">
        <v>20000</v>
      </c>
      <c r="K363">
        <v>80000</v>
      </c>
      <c r="L363" t="s">
        <v>118</v>
      </c>
      <c r="M363" t="s">
        <v>91</v>
      </c>
      <c r="N363" t="s">
        <v>136</v>
      </c>
      <c r="O363" t="s">
        <v>3422</v>
      </c>
      <c r="P363" s="5" t="s">
        <v>3318</v>
      </c>
      <c r="Q363">
        <v>4</v>
      </c>
    </row>
    <row r="364" spans="1:17" x14ac:dyDescent="0.3">
      <c r="A364" s="4">
        <v>44621</v>
      </c>
      <c r="B364" t="s">
        <v>3864</v>
      </c>
      <c r="C364" t="s">
        <v>3841</v>
      </c>
      <c r="D364" s="77">
        <v>0.72569444444444453</v>
      </c>
      <c r="E364" t="s">
        <v>3314</v>
      </c>
      <c r="F364">
        <v>42</v>
      </c>
      <c r="G364" t="s">
        <v>3315</v>
      </c>
      <c r="H364">
        <v>20000</v>
      </c>
      <c r="I364" t="s">
        <v>3316</v>
      </c>
      <c r="J364">
        <v>20000</v>
      </c>
      <c r="K364">
        <v>90000</v>
      </c>
      <c r="L364" t="s">
        <v>114</v>
      </c>
      <c r="M364" t="s">
        <v>31</v>
      </c>
      <c r="N364" t="s">
        <v>105</v>
      </c>
      <c r="O364" t="s">
        <v>3339</v>
      </c>
      <c r="P364" s="5" t="s">
        <v>3318</v>
      </c>
      <c r="Q364">
        <v>4.5</v>
      </c>
    </row>
    <row r="365" spans="1:17" x14ac:dyDescent="0.3">
      <c r="A365" s="4">
        <v>44621</v>
      </c>
      <c r="B365" t="s">
        <v>3865</v>
      </c>
      <c r="C365" t="s">
        <v>3836</v>
      </c>
      <c r="D365" s="77">
        <v>0.73819444444444438</v>
      </c>
      <c r="E365" t="s">
        <v>3314</v>
      </c>
      <c r="F365">
        <v>29</v>
      </c>
      <c r="G365" t="s">
        <v>3315</v>
      </c>
      <c r="H365">
        <v>20000</v>
      </c>
      <c r="I365" t="s">
        <v>3834</v>
      </c>
      <c r="J365">
        <v>20000</v>
      </c>
      <c r="K365">
        <v>80000</v>
      </c>
      <c r="L365" t="s">
        <v>118</v>
      </c>
      <c r="M365" t="s">
        <v>92</v>
      </c>
      <c r="N365" t="s">
        <v>137</v>
      </c>
      <c r="O365" t="s">
        <v>3476</v>
      </c>
      <c r="P365" s="5" t="s">
        <v>3318</v>
      </c>
      <c r="Q365">
        <v>4</v>
      </c>
    </row>
    <row r="366" spans="1:17" x14ac:dyDescent="0.3">
      <c r="A366" s="4">
        <v>44621</v>
      </c>
      <c r="B366" t="s">
        <v>3866</v>
      </c>
      <c r="C366" t="s">
        <v>3841</v>
      </c>
      <c r="D366" s="77">
        <v>0.76736111111111116</v>
      </c>
      <c r="E366" t="s">
        <v>3314</v>
      </c>
      <c r="F366">
        <v>40</v>
      </c>
      <c r="G366" t="s">
        <v>3315</v>
      </c>
      <c r="H366">
        <v>20000</v>
      </c>
      <c r="I366" t="s">
        <v>3316</v>
      </c>
      <c r="J366">
        <v>20000</v>
      </c>
      <c r="K366">
        <v>80000</v>
      </c>
      <c r="L366" t="s">
        <v>118</v>
      </c>
      <c r="M366" t="s">
        <v>87</v>
      </c>
      <c r="N366" t="s">
        <v>134</v>
      </c>
      <c r="O366" t="s">
        <v>3528</v>
      </c>
      <c r="P366" s="5" t="s">
        <v>3318</v>
      </c>
      <c r="Q366">
        <v>4</v>
      </c>
    </row>
    <row r="367" spans="1:17" x14ac:dyDescent="0.3">
      <c r="A367" s="4">
        <v>44621</v>
      </c>
      <c r="B367" t="s">
        <v>3867</v>
      </c>
      <c r="C367" t="s">
        <v>3841</v>
      </c>
      <c r="D367" s="77">
        <v>0.77430555555555547</v>
      </c>
      <c r="E367" t="s">
        <v>3314</v>
      </c>
      <c r="F367">
        <v>34</v>
      </c>
      <c r="G367" t="s">
        <v>3315</v>
      </c>
      <c r="H367">
        <v>20000</v>
      </c>
      <c r="I367" t="s">
        <v>3316</v>
      </c>
      <c r="J367">
        <v>20000</v>
      </c>
      <c r="K367">
        <v>90000</v>
      </c>
      <c r="L367" t="s">
        <v>114</v>
      </c>
      <c r="M367" t="s">
        <v>31</v>
      </c>
      <c r="N367" t="s">
        <v>105</v>
      </c>
      <c r="O367" t="s">
        <v>3339</v>
      </c>
      <c r="P367" s="5" t="s">
        <v>3318</v>
      </c>
      <c r="Q367">
        <v>4.5</v>
      </c>
    </row>
    <row r="368" spans="1:17" x14ac:dyDescent="0.3">
      <c r="A368" s="4">
        <v>44621</v>
      </c>
      <c r="B368" t="s">
        <v>3868</v>
      </c>
      <c r="C368" t="s">
        <v>3850</v>
      </c>
      <c r="D368" s="77">
        <v>0.77847222222222223</v>
      </c>
      <c r="E368" t="s">
        <v>3314</v>
      </c>
      <c r="F368">
        <v>28</v>
      </c>
      <c r="G368" t="s">
        <v>3315</v>
      </c>
      <c r="H368">
        <v>20000</v>
      </c>
      <c r="I368" t="s">
        <v>3316</v>
      </c>
      <c r="J368">
        <v>20000</v>
      </c>
      <c r="K368">
        <v>60000</v>
      </c>
      <c r="L368" t="s">
        <v>149</v>
      </c>
      <c r="M368" t="s">
        <v>2845</v>
      </c>
      <c r="N368" t="s">
        <v>2847</v>
      </c>
      <c r="O368" t="s">
        <v>3361</v>
      </c>
      <c r="P368" s="5" t="s">
        <v>3318</v>
      </c>
      <c r="Q368">
        <v>3</v>
      </c>
    </row>
    <row r="369" spans="1:17" x14ac:dyDescent="0.3">
      <c r="A369" s="4">
        <v>44621</v>
      </c>
      <c r="B369" t="s">
        <v>3869</v>
      </c>
      <c r="C369" t="s">
        <v>3836</v>
      </c>
      <c r="D369" s="77">
        <v>0.82638888888888884</v>
      </c>
      <c r="E369" t="s">
        <v>3314</v>
      </c>
      <c r="F369">
        <v>70</v>
      </c>
      <c r="G369" t="s">
        <v>3315</v>
      </c>
      <c r="H369">
        <v>30000</v>
      </c>
      <c r="I369" t="s">
        <v>3316</v>
      </c>
      <c r="J369">
        <v>30000</v>
      </c>
      <c r="K369">
        <v>120000</v>
      </c>
      <c r="L369" t="s">
        <v>118</v>
      </c>
      <c r="M369" t="s">
        <v>92</v>
      </c>
      <c r="N369" t="s">
        <v>137</v>
      </c>
      <c r="O369" t="s">
        <v>3476</v>
      </c>
      <c r="P369" s="5" t="s">
        <v>3318</v>
      </c>
      <c r="Q369">
        <v>4</v>
      </c>
    </row>
    <row r="370" spans="1:17" x14ac:dyDescent="0.3">
      <c r="A370" s="4">
        <v>44622</v>
      </c>
      <c r="B370" t="s">
        <v>3870</v>
      </c>
      <c r="C370" t="s">
        <v>3871</v>
      </c>
      <c r="D370" s="77">
        <v>0.43402777777777773</v>
      </c>
      <c r="E370" t="s">
        <v>3314</v>
      </c>
      <c r="F370">
        <v>45</v>
      </c>
      <c r="G370" t="s">
        <v>3315</v>
      </c>
      <c r="H370">
        <v>20000</v>
      </c>
      <c r="I370" t="s">
        <v>3316</v>
      </c>
      <c r="J370">
        <v>20000</v>
      </c>
      <c r="K370">
        <v>90000</v>
      </c>
      <c r="L370" t="s">
        <v>114</v>
      </c>
      <c r="M370" t="s">
        <v>79</v>
      </c>
      <c r="N370" t="s">
        <v>131</v>
      </c>
      <c r="O370" t="s">
        <v>3465</v>
      </c>
      <c r="P370" s="5" t="s">
        <v>3318</v>
      </c>
      <c r="Q370">
        <v>4.5</v>
      </c>
    </row>
    <row r="371" spans="1:17" x14ac:dyDescent="0.3">
      <c r="A371" s="4">
        <v>44622</v>
      </c>
      <c r="B371" t="s">
        <v>3872</v>
      </c>
      <c r="C371" t="s">
        <v>3871</v>
      </c>
      <c r="D371" s="77">
        <v>0.4368055555555555</v>
      </c>
      <c r="E371" t="s">
        <v>3314</v>
      </c>
      <c r="F371">
        <v>48</v>
      </c>
      <c r="G371" t="s">
        <v>3315</v>
      </c>
      <c r="H371">
        <v>20000</v>
      </c>
      <c r="I371" t="s">
        <v>3316</v>
      </c>
      <c r="J371">
        <v>20000</v>
      </c>
      <c r="K371">
        <v>90000</v>
      </c>
      <c r="L371" t="s">
        <v>114</v>
      </c>
      <c r="M371" t="s">
        <v>79</v>
      </c>
      <c r="N371" t="s">
        <v>131</v>
      </c>
      <c r="O371" t="s">
        <v>3465</v>
      </c>
      <c r="P371" s="5" t="s">
        <v>3318</v>
      </c>
      <c r="Q371">
        <v>4.5</v>
      </c>
    </row>
    <row r="372" spans="1:17" x14ac:dyDescent="0.3">
      <c r="A372" s="4">
        <v>44622</v>
      </c>
      <c r="B372" t="s">
        <v>3873</v>
      </c>
      <c r="C372" t="s">
        <v>3871</v>
      </c>
      <c r="D372" s="77">
        <v>0.44513888888888892</v>
      </c>
      <c r="E372" t="s">
        <v>3314</v>
      </c>
      <c r="F372">
        <v>57</v>
      </c>
      <c r="G372" t="s">
        <v>3315</v>
      </c>
      <c r="H372">
        <v>20000</v>
      </c>
      <c r="I372" t="s">
        <v>3316</v>
      </c>
      <c r="J372">
        <v>20000</v>
      </c>
      <c r="K372">
        <v>90000</v>
      </c>
      <c r="L372" t="s">
        <v>114</v>
      </c>
      <c r="M372" t="s">
        <v>79</v>
      </c>
      <c r="N372" t="s">
        <v>131</v>
      </c>
      <c r="O372" t="s">
        <v>3465</v>
      </c>
      <c r="P372" s="5" t="s">
        <v>3318</v>
      </c>
      <c r="Q372">
        <v>4.5</v>
      </c>
    </row>
    <row r="373" spans="1:17" x14ac:dyDescent="0.3">
      <c r="A373" s="4">
        <v>44622</v>
      </c>
      <c r="B373" t="s">
        <v>3874</v>
      </c>
      <c r="C373" t="s">
        <v>3871</v>
      </c>
      <c r="D373" s="77">
        <v>0.45416666666666666</v>
      </c>
      <c r="E373" t="s">
        <v>3314</v>
      </c>
      <c r="F373">
        <v>27</v>
      </c>
      <c r="G373" t="s">
        <v>3315</v>
      </c>
      <c r="H373">
        <v>20000</v>
      </c>
      <c r="I373" t="s">
        <v>3316</v>
      </c>
      <c r="J373">
        <v>20000</v>
      </c>
      <c r="K373">
        <v>90000</v>
      </c>
      <c r="L373" t="s">
        <v>114</v>
      </c>
      <c r="M373" t="s">
        <v>79</v>
      </c>
      <c r="N373" t="s">
        <v>131</v>
      </c>
      <c r="O373" t="s">
        <v>3465</v>
      </c>
      <c r="P373" s="5" t="s">
        <v>3318</v>
      </c>
      <c r="Q373">
        <v>4.5</v>
      </c>
    </row>
    <row r="374" spans="1:17" x14ac:dyDescent="0.3">
      <c r="A374" s="4">
        <v>44622</v>
      </c>
      <c r="B374" t="s">
        <v>3875</v>
      </c>
      <c r="C374" t="s">
        <v>3871</v>
      </c>
      <c r="D374" s="77">
        <v>0.46736111111111112</v>
      </c>
      <c r="E374" t="s">
        <v>3314</v>
      </c>
      <c r="F374">
        <v>26</v>
      </c>
      <c r="G374" t="s">
        <v>3315</v>
      </c>
      <c r="H374">
        <v>20000</v>
      </c>
      <c r="I374" t="s">
        <v>3316</v>
      </c>
      <c r="J374">
        <v>20000</v>
      </c>
      <c r="K374">
        <v>90000</v>
      </c>
      <c r="L374" t="s">
        <v>114</v>
      </c>
      <c r="M374" t="s">
        <v>79</v>
      </c>
      <c r="N374" t="s">
        <v>131</v>
      </c>
      <c r="O374" t="s">
        <v>3465</v>
      </c>
      <c r="P374" s="5" t="s">
        <v>3318</v>
      </c>
      <c r="Q374">
        <v>4.5</v>
      </c>
    </row>
    <row r="375" spans="1:17" x14ac:dyDescent="0.3">
      <c r="A375" s="4">
        <v>44622</v>
      </c>
      <c r="B375" t="s">
        <v>3876</v>
      </c>
      <c r="C375" t="s">
        <v>3774</v>
      </c>
      <c r="D375" s="77">
        <v>0.4777777777777778</v>
      </c>
      <c r="E375" t="s">
        <v>3314</v>
      </c>
      <c r="F375">
        <v>35</v>
      </c>
      <c r="G375" t="s">
        <v>3315</v>
      </c>
      <c r="H375">
        <v>20000</v>
      </c>
      <c r="I375" t="s">
        <v>3316</v>
      </c>
      <c r="J375">
        <v>20000</v>
      </c>
      <c r="K375">
        <v>60000</v>
      </c>
      <c r="L375" t="s">
        <v>149</v>
      </c>
      <c r="M375" t="s">
        <v>94</v>
      </c>
      <c r="N375" t="s">
        <v>138</v>
      </c>
      <c r="O375" t="s">
        <v>3775</v>
      </c>
      <c r="P375" s="5" t="s">
        <v>3318</v>
      </c>
      <c r="Q375">
        <v>3</v>
      </c>
    </row>
    <row r="376" spans="1:17" x14ac:dyDescent="0.3">
      <c r="A376" s="4">
        <v>44622</v>
      </c>
      <c r="B376" t="s">
        <v>3877</v>
      </c>
      <c r="C376" t="s">
        <v>3878</v>
      </c>
      <c r="D376" s="77">
        <v>0.51388888888888895</v>
      </c>
      <c r="E376" t="s">
        <v>3314</v>
      </c>
      <c r="F376">
        <v>30</v>
      </c>
      <c r="G376" t="s">
        <v>3315</v>
      </c>
      <c r="H376">
        <v>20000</v>
      </c>
      <c r="I376" t="s">
        <v>3316</v>
      </c>
      <c r="J376">
        <v>20000</v>
      </c>
      <c r="K376">
        <v>80000</v>
      </c>
      <c r="L376" t="s">
        <v>118</v>
      </c>
      <c r="M376" t="s">
        <v>90</v>
      </c>
      <c r="N376" t="s">
        <v>110</v>
      </c>
      <c r="O376" t="s">
        <v>3455</v>
      </c>
      <c r="P376" s="5" t="s">
        <v>3318</v>
      </c>
      <c r="Q376">
        <v>4</v>
      </c>
    </row>
    <row r="377" spans="1:17" x14ac:dyDescent="0.3">
      <c r="A377" s="4">
        <v>44622</v>
      </c>
      <c r="B377" t="s">
        <v>3879</v>
      </c>
      <c r="C377" t="s">
        <v>3802</v>
      </c>
      <c r="D377" s="77">
        <v>0.52847222222222223</v>
      </c>
      <c r="E377" t="s">
        <v>3314</v>
      </c>
      <c r="F377">
        <v>38</v>
      </c>
      <c r="G377" t="s">
        <v>3488</v>
      </c>
      <c r="H377">
        <v>10000</v>
      </c>
      <c r="I377" t="s">
        <v>3488</v>
      </c>
      <c r="J377">
        <v>10000</v>
      </c>
      <c r="K377">
        <v>45000</v>
      </c>
      <c r="L377" t="s">
        <v>119</v>
      </c>
      <c r="M377" t="s">
        <v>27</v>
      </c>
      <c r="N377" t="s">
        <v>101</v>
      </c>
      <c r="O377" t="s">
        <v>3803</v>
      </c>
      <c r="P377" s="5" t="s">
        <v>3318</v>
      </c>
      <c r="Q377">
        <v>4.5</v>
      </c>
    </row>
    <row r="378" spans="1:17" x14ac:dyDescent="0.3">
      <c r="A378" s="4">
        <v>44622</v>
      </c>
      <c r="B378" t="s">
        <v>3880</v>
      </c>
      <c r="C378" t="s">
        <v>3774</v>
      </c>
      <c r="D378" s="77">
        <v>0.5395833333333333</v>
      </c>
      <c r="E378" t="s">
        <v>3314</v>
      </c>
      <c r="F378">
        <v>46</v>
      </c>
      <c r="G378" t="s">
        <v>3315</v>
      </c>
      <c r="H378">
        <v>20000</v>
      </c>
      <c r="I378" t="s">
        <v>3834</v>
      </c>
      <c r="J378">
        <v>20000</v>
      </c>
      <c r="K378">
        <v>60000</v>
      </c>
      <c r="L378" t="s">
        <v>149</v>
      </c>
      <c r="M378" t="s">
        <v>94</v>
      </c>
      <c r="N378" t="s">
        <v>138</v>
      </c>
      <c r="O378" t="s">
        <v>3775</v>
      </c>
      <c r="P378" s="5" t="s">
        <v>3318</v>
      </c>
      <c r="Q378">
        <v>3</v>
      </c>
    </row>
    <row r="379" spans="1:17" x14ac:dyDescent="0.3">
      <c r="A379" s="4">
        <v>44622</v>
      </c>
      <c r="B379" t="s">
        <v>3881</v>
      </c>
      <c r="C379" t="s">
        <v>3512</v>
      </c>
      <c r="D379" s="77">
        <v>0.54166666666666663</v>
      </c>
      <c r="E379" t="s">
        <v>3332</v>
      </c>
      <c r="F379">
        <v>67</v>
      </c>
      <c r="G379" t="s">
        <v>3315</v>
      </c>
      <c r="H379">
        <v>30000</v>
      </c>
      <c r="I379" t="s">
        <v>3316</v>
      </c>
      <c r="J379">
        <v>30000</v>
      </c>
      <c r="K379">
        <v>150000</v>
      </c>
      <c r="L379" t="s">
        <v>116</v>
      </c>
      <c r="M379" t="s">
        <v>73</v>
      </c>
      <c r="N379" t="s">
        <v>115</v>
      </c>
      <c r="O379" t="s">
        <v>3349</v>
      </c>
      <c r="P379" s="5" t="s">
        <v>3318</v>
      </c>
      <c r="Q379">
        <v>5</v>
      </c>
    </row>
    <row r="380" spans="1:17" x14ac:dyDescent="0.3">
      <c r="A380" s="4">
        <v>44622</v>
      </c>
      <c r="B380" t="s">
        <v>3882</v>
      </c>
      <c r="C380" t="s">
        <v>3883</v>
      </c>
      <c r="D380" s="77">
        <v>0.54722222222222217</v>
      </c>
      <c r="E380" t="s">
        <v>3332</v>
      </c>
      <c r="F380">
        <v>35</v>
      </c>
      <c r="G380" t="s">
        <v>3315</v>
      </c>
      <c r="H380">
        <v>30000</v>
      </c>
      <c r="I380" t="s">
        <v>3316</v>
      </c>
      <c r="J380">
        <v>30000</v>
      </c>
      <c r="K380">
        <v>120000</v>
      </c>
      <c r="L380" t="s">
        <v>118</v>
      </c>
      <c r="M380" t="s">
        <v>147</v>
      </c>
      <c r="N380" t="s">
        <v>148</v>
      </c>
      <c r="O380" t="s">
        <v>3354</v>
      </c>
      <c r="P380" s="5" t="s">
        <v>3318</v>
      </c>
      <c r="Q380">
        <v>4</v>
      </c>
    </row>
    <row r="381" spans="1:17" x14ac:dyDescent="0.3">
      <c r="A381" s="4">
        <v>44622</v>
      </c>
      <c r="B381" t="s">
        <v>3884</v>
      </c>
      <c r="C381" t="s">
        <v>3374</v>
      </c>
      <c r="D381" s="77">
        <v>0.54861111111111105</v>
      </c>
      <c r="E381" t="s">
        <v>3314</v>
      </c>
      <c r="F381">
        <v>58</v>
      </c>
      <c r="G381" t="s">
        <v>3315</v>
      </c>
      <c r="H381">
        <v>20000</v>
      </c>
      <c r="I381" t="s">
        <v>3316</v>
      </c>
      <c r="J381">
        <v>20000</v>
      </c>
      <c r="K381">
        <v>80000</v>
      </c>
      <c r="L381" t="s">
        <v>118</v>
      </c>
      <c r="M381" t="s">
        <v>85</v>
      </c>
      <c r="N381" t="s">
        <v>109</v>
      </c>
      <c r="O381" t="s">
        <v>3342</v>
      </c>
      <c r="P381" s="5" t="s">
        <v>3318</v>
      </c>
      <c r="Q381">
        <v>4</v>
      </c>
    </row>
    <row r="382" spans="1:17" x14ac:dyDescent="0.3">
      <c r="A382" s="4">
        <v>44622</v>
      </c>
      <c r="B382" t="s">
        <v>3885</v>
      </c>
      <c r="C382" t="s">
        <v>3886</v>
      </c>
      <c r="D382" s="77">
        <v>0.55555555555555558</v>
      </c>
      <c r="E382" t="s">
        <v>3314</v>
      </c>
      <c r="F382">
        <v>49</v>
      </c>
      <c r="G382" t="s">
        <v>3315</v>
      </c>
      <c r="H382">
        <v>20000</v>
      </c>
      <c r="I382" t="s">
        <v>3316</v>
      </c>
      <c r="J382">
        <v>20000</v>
      </c>
      <c r="K382">
        <v>80000</v>
      </c>
      <c r="L382" t="s">
        <v>118</v>
      </c>
      <c r="M382" t="s">
        <v>24</v>
      </c>
      <c r="N382" t="s">
        <v>103</v>
      </c>
      <c r="O382" t="s">
        <v>3585</v>
      </c>
      <c r="P382" s="5" t="s">
        <v>3318</v>
      </c>
      <c r="Q382">
        <v>4</v>
      </c>
    </row>
    <row r="383" spans="1:17" x14ac:dyDescent="0.3">
      <c r="A383" s="4">
        <v>44622</v>
      </c>
      <c r="B383" t="s">
        <v>3887</v>
      </c>
      <c r="C383" t="s">
        <v>3802</v>
      </c>
      <c r="D383" s="77">
        <v>0.55972222222222223</v>
      </c>
      <c r="E383" t="s">
        <v>3314</v>
      </c>
      <c r="F383">
        <v>52</v>
      </c>
      <c r="G383" t="s">
        <v>3315</v>
      </c>
      <c r="H383">
        <v>20000</v>
      </c>
      <c r="I383" t="s">
        <v>3316</v>
      </c>
      <c r="J383">
        <v>20000</v>
      </c>
      <c r="K383">
        <v>90000</v>
      </c>
      <c r="L383" t="s">
        <v>113</v>
      </c>
      <c r="M383" t="s">
        <v>22</v>
      </c>
      <c r="N383" t="s">
        <v>98</v>
      </c>
      <c r="O383" t="s">
        <v>3437</v>
      </c>
      <c r="P383" s="5" t="s">
        <v>3318</v>
      </c>
      <c r="Q383">
        <v>4.5</v>
      </c>
    </row>
    <row r="384" spans="1:17" x14ac:dyDescent="0.3">
      <c r="A384" s="4">
        <v>44622</v>
      </c>
      <c r="B384" t="s">
        <v>3888</v>
      </c>
      <c r="C384" t="s">
        <v>3878</v>
      </c>
      <c r="D384" s="77">
        <v>0.59027777777777779</v>
      </c>
      <c r="E384" t="s">
        <v>3314</v>
      </c>
      <c r="F384">
        <v>25</v>
      </c>
      <c r="G384" t="s">
        <v>3889</v>
      </c>
      <c r="H384">
        <v>20000</v>
      </c>
      <c r="I384" t="s">
        <v>3889</v>
      </c>
      <c r="J384">
        <v>20000</v>
      </c>
      <c r="K384">
        <v>80000</v>
      </c>
      <c r="L384" t="s">
        <v>118</v>
      </c>
      <c r="M384" t="s">
        <v>90</v>
      </c>
      <c r="N384" t="s">
        <v>110</v>
      </c>
      <c r="O384" t="s">
        <v>3455</v>
      </c>
      <c r="P384" s="5" t="s">
        <v>3318</v>
      </c>
      <c r="Q384">
        <v>4</v>
      </c>
    </row>
    <row r="385" spans="1:17" x14ac:dyDescent="0.3">
      <c r="A385" s="4">
        <v>44622</v>
      </c>
      <c r="B385" t="s">
        <v>3890</v>
      </c>
      <c r="C385" t="s">
        <v>3886</v>
      </c>
      <c r="D385" s="77">
        <v>0.60069444444444442</v>
      </c>
      <c r="E385" t="s">
        <v>3314</v>
      </c>
      <c r="F385">
        <v>58</v>
      </c>
      <c r="G385" t="s">
        <v>3315</v>
      </c>
      <c r="H385">
        <v>20000</v>
      </c>
      <c r="I385" t="s">
        <v>3316</v>
      </c>
      <c r="J385">
        <v>20000</v>
      </c>
      <c r="K385">
        <v>80000</v>
      </c>
      <c r="L385" t="s">
        <v>118</v>
      </c>
      <c r="M385" t="s">
        <v>25</v>
      </c>
      <c r="N385" t="s">
        <v>129</v>
      </c>
      <c r="O385" t="s">
        <v>3714</v>
      </c>
      <c r="P385" s="5" t="s">
        <v>3318</v>
      </c>
      <c r="Q385">
        <v>4</v>
      </c>
    </row>
    <row r="386" spans="1:17" x14ac:dyDescent="0.3">
      <c r="A386" s="4">
        <v>44622</v>
      </c>
      <c r="B386" t="s">
        <v>3891</v>
      </c>
      <c r="C386" t="s">
        <v>3493</v>
      </c>
      <c r="D386" s="77">
        <v>0.60138888888888886</v>
      </c>
      <c r="E386" t="s">
        <v>3314</v>
      </c>
      <c r="F386">
        <v>41</v>
      </c>
      <c r="G386" t="s">
        <v>3315</v>
      </c>
      <c r="H386">
        <v>20000</v>
      </c>
      <c r="I386" t="s">
        <v>3834</v>
      </c>
      <c r="J386">
        <v>20000</v>
      </c>
      <c r="K386">
        <v>90000</v>
      </c>
      <c r="L386" t="s">
        <v>116</v>
      </c>
      <c r="M386" t="s">
        <v>78</v>
      </c>
      <c r="N386" t="s">
        <v>100</v>
      </c>
      <c r="O386" t="s">
        <v>3629</v>
      </c>
      <c r="P386" s="5" t="s">
        <v>3318</v>
      </c>
      <c r="Q386">
        <v>4.5</v>
      </c>
    </row>
    <row r="387" spans="1:17" x14ac:dyDescent="0.3">
      <c r="A387" s="4">
        <v>44622</v>
      </c>
      <c r="B387" t="s">
        <v>3892</v>
      </c>
      <c r="C387" t="s">
        <v>3774</v>
      </c>
      <c r="D387" s="77">
        <v>0.60416666666666663</v>
      </c>
      <c r="E387" t="s">
        <v>3314</v>
      </c>
      <c r="F387">
        <v>29</v>
      </c>
      <c r="G387" t="s">
        <v>3315</v>
      </c>
      <c r="H387">
        <v>20000</v>
      </c>
      <c r="I387" t="s">
        <v>3316</v>
      </c>
      <c r="J387">
        <v>20000</v>
      </c>
      <c r="K387">
        <v>60000</v>
      </c>
      <c r="L387" t="s">
        <v>149</v>
      </c>
      <c r="M387" t="s">
        <v>94</v>
      </c>
      <c r="N387" t="s">
        <v>138</v>
      </c>
      <c r="O387" t="s">
        <v>3775</v>
      </c>
      <c r="P387" s="5" t="s">
        <v>3318</v>
      </c>
      <c r="Q387">
        <v>3</v>
      </c>
    </row>
    <row r="388" spans="1:17" x14ac:dyDescent="0.3">
      <c r="A388" s="4">
        <v>44622</v>
      </c>
      <c r="B388" t="s">
        <v>3893</v>
      </c>
      <c r="C388" t="s">
        <v>3871</v>
      </c>
      <c r="D388" s="77">
        <v>0.60763888888888895</v>
      </c>
      <c r="E388" t="s">
        <v>3314</v>
      </c>
      <c r="F388">
        <v>44</v>
      </c>
      <c r="G388" t="s">
        <v>3315</v>
      </c>
      <c r="H388">
        <v>20000</v>
      </c>
      <c r="I388" t="s">
        <v>3316</v>
      </c>
      <c r="J388">
        <v>20000</v>
      </c>
      <c r="K388">
        <v>90000</v>
      </c>
      <c r="L388" t="s">
        <v>114</v>
      </c>
      <c r="M388" t="s">
        <v>79</v>
      </c>
      <c r="N388" t="s">
        <v>131</v>
      </c>
      <c r="O388" t="s">
        <v>3465</v>
      </c>
      <c r="P388" s="5" t="s">
        <v>3318</v>
      </c>
      <c r="Q388">
        <v>4.5</v>
      </c>
    </row>
    <row r="389" spans="1:17" x14ac:dyDescent="0.3">
      <c r="A389" s="4">
        <v>44622</v>
      </c>
      <c r="B389" t="s">
        <v>3894</v>
      </c>
      <c r="C389" t="s">
        <v>3895</v>
      </c>
      <c r="D389" s="77">
        <v>0.62152777777777779</v>
      </c>
      <c r="E389" t="s">
        <v>3314</v>
      </c>
      <c r="F389">
        <v>49</v>
      </c>
      <c r="G389" t="s">
        <v>3315</v>
      </c>
      <c r="H389">
        <v>30000</v>
      </c>
      <c r="I389" t="s">
        <v>3316</v>
      </c>
      <c r="J389">
        <v>30000</v>
      </c>
      <c r="K389">
        <v>120000</v>
      </c>
      <c r="L389" t="s">
        <v>118</v>
      </c>
      <c r="M389" t="s">
        <v>86</v>
      </c>
      <c r="N389" t="s">
        <v>120</v>
      </c>
      <c r="O389" t="s">
        <v>3446</v>
      </c>
      <c r="P389" s="5" t="s">
        <v>3318</v>
      </c>
      <c r="Q389">
        <v>4</v>
      </c>
    </row>
    <row r="390" spans="1:17" x14ac:dyDescent="0.3">
      <c r="A390" s="4">
        <v>44622</v>
      </c>
      <c r="B390" t="s">
        <v>3896</v>
      </c>
      <c r="C390" t="s">
        <v>3895</v>
      </c>
      <c r="D390" s="77">
        <v>0.62152777777777779</v>
      </c>
      <c r="E390" t="s">
        <v>3314</v>
      </c>
      <c r="F390">
        <v>50</v>
      </c>
      <c r="G390" t="s">
        <v>3315</v>
      </c>
      <c r="H390">
        <v>20000</v>
      </c>
      <c r="I390" t="s">
        <v>3316</v>
      </c>
      <c r="J390">
        <v>20000</v>
      </c>
      <c r="K390">
        <v>60000</v>
      </c>
      <c r="L390" t="s">
        <v>149</v>
      </c>
      <c r="M390" t="s">
        <v>93</v>
      </c>
      <c r="N390" t="s">
        <v>121</v>
      </c>
      <c r="O390" t="s">
        <v>3781</v>
      </c>
      <c r="P390" s="5" t="s">
        <v>3318</v>
      </c>
      <c r="Q390">
        <v>3</v>
      </c>
    </row>
    <row r="391" spans="1:17" x14ac:dyDescent="0.3">
      <c r="A391" s="4">
        <v>44622</v>
      </c>
      <c r="B391" t="s">
        <v>3897</v>
      </c>
      <c r="C391" t="s">
        <v>3886</v>
      </c>
      <c r="D391" s="77">
        <v>0.625</v>
      </c>
      <c r="E391" t="s">
        <v>3314</v>
      </c>
      <c r="F391">
        <v>60</v>
      </c>
      <c r="G391" t="s">
        <v>3315</v>
      </c>
      <c r="H391">
        <v>30000</v>
      </c>
      <c r="I391" t="s">
        <v>3316</v>
      </c>
      <c r="J391">
        <v>30000</v>
      </c>
      <c r="K391">
        <v>120000</v>
      </c>
      <c r="L391" t="s">
        <v>118</v>
      </c>
      <c r="M391" t="s">
        <v>25</v>
      </c>
      <c r="N391" t="s">
        <v>129</v>
      </c>
      <c r="O391" t="s">
        <v>3714</v>
      </c>
      <c r="P391" s="5" t="s">
        <v>3318</v>
      </c>
      <c r="Q391">
        <v>4</v>
      </c>
    </row>
    <row r="392" spans="1:17" x14ac:dyDescent="0.3">
      <c r="A392" s="4">
        <v>44622</v>
      </c>
      <c r="B392" t="s">
        <v>3898</v>
      </c>
      <c r="C392" t="s">
        <v>3512</v>
      </c>
      <c r="D392" s="77">
        <v>0.625</v>
      </c>
      <c r="E392" t="s">
        <v>3332</v>
      </c>
      <c r="F392">
        <v>25</v>
      </c>
      <c r="G392" t="s">
        <v>3315</v>
      </c>
      <c r="H392">
        <v>30000</v>
      </c>
      <c r="I392" t="s">
        <v>3316</v>
      </c>
      <c r="J392">
        <v>30000</v>
      </c>
      <c r="K392">
        <v>150000</v>
      </c>
      <c r="L392" t="s">
        <v>116</v>
      </c>
      <c r="M392" t="s">
        <v>73</v>
      </c>
      <c r="N392" t="s">
        <v>115</v>
      </c>
      <c r="O392" t="s">
        <v>3349</v>
      </c>
      <c r="P392" s="5" t="s">
        <v>3318</v>
      </c>
      <c r="Q392">
        <v>5</v>
      </c>
    </row>
    <row r="393" spans="1:17" x14ac:dyDescent="0.3">
      <c r="A393" s="4">
        <v>44622</v>
      </c>
      <c r="B393" t="s">
        <v>3899</v>
      </c>
      <c r="C393" t="s">
        <v>3512</v>
      </c>
      <c r="D393" s="77">
        <v>0.63194444444444442</v>
      </c>
      <c r="E393" t="s">
        <v>3332</v>
      </c>
      <c r="F393">
        <v>43</v>
      </c>
      <c r="G393" t="s">
        <v>3315</v>
      </c>
      <c r="H393">
        <v>50000</v>
      </c>
      <c r="I393" t="s">
        <v>3834</v>
      </c>
      <c r="J393">
        <v>50000</v>
      </c>
      <c r="K393">
        <v>250000</v>
      </c>
      <c r="L393" t="s">
        <v>114</v>
      </c>
      <c r="M393" t="s">
        <v>23</v>
      </c>
      <c r="N393" t="s">
        <v>99</v>
      </c>
      <c r="O393" t="s">
        <v>3358</v>
      </c>
      <c r="P393" s="5" t="s">
        <v>3318</v>
      </c>
      <c r="Q393">
        <v>5</v>
      </c>
    </row>
    <row r="394" spans="1:17" x14ac:dyDescent="0.3">
      <c r="A394" s="4">
        <v>44622</v>
      </c>
      <c r="B394" t="s">
        <v>3900</v>
      </c>
      <c r="C394" t="s">
        <v>3493</v>
      </c>
      <c r="D394" s="77">
        <v>0.63402777777777775</v>
      </c>
      <c r="E394" t="s">
        <v>3314</v>
      </c>
      <c r="F394">
        <v>59</v>
      </c>
      <c r="G394" t="s">
        <v>3315</v>
      </c>
      <c r="H394">
        <v>20000</v>
      </c>
      <c r="I394" t="s">
        <v>3316</v>
      </c>
      <c r="J394">
        <v>20000</v>
      </c>
      <c r="K394">
        <v>80000</v>
      </c>
      <c r="L394" t="s">
        <v>118</v>
      </c>
      <c r="M394" t="s">
        <v>88</v>
      </c>
      <c r="N394" t="s">
        <v>117</v>
      </c>
      <c r="O394" t="s">
        <v>3494</v>
      </c>
      <c r="P394" s="5" t="s">
        <v>3318</v>
      </c>
      <c r="Q394">
        <v>4</v>
      </c>
    </row>
    <row r="395" spans="1:17" x14ac:dyDescent="0.3">
      <c r="A395" s="4">
        <v>44622</v>
      </c>
      <c r="B395" t="s">
        <v>3901</v>
      </c>
      <c r="C395" t="s">
        <v>3374</v>
      </c>
      <c r="D395" s="77">
        <v>0.63541666666666663</v>
      </c>
      <c r="E395" t="s">
        <v>3314</v>
      </c>
      <c r="F395">
        <v>61</v>
      </c>
      <c r="G395" t="s">
        <v>3344</v>
      </c>
      <c r="H395">
        <v>20000</v>
      </c>
      <c r="I395" t="s">
        <v>3344</v>
      </c>
      <c r="J395">
        <v>20000</v>
      </c>
      <c r="K395">
        <v>80000</v>
      </c>
      <c r="L395" t="s">
        <v>118</v>
      </c>
      <c r="M395" t="s">
        <v>91</v>
      </c>
      <c r="N395" t="s">
        <v>136</v>
      </c>
      <c r="O395" t="s">
        <v>3422</v>
      </c>
      <c r="P395" s="5" t="s">
        <v>3318</v>
      </c>
      <c r="Q395">
        <v>4</v>
      </c>
    </row>
    <row r="396" spans="1:17" x14ac:dyDescent="0.3">
      <c r="A396" s="4">
        <v>44622</v>
      </c>
      <c r="B396" t="s">
        <v>3902</v>
      </c>
      <c r="C396" t="s">
        <v>3374</v>
      </c>
      <c r="D396" s="77">
        <v>0.63750000000000007</v>
      </c>
      <c r="E396" t="s">
        <v>3314</v>
      </c>
      <c r="F396">
        <v>43</v>
      </c>
      <c r="G396" t="s">
        <v>3315</v>
      </c>
      <c r="H396">
        <v>20000</v>
      </c>
      <c r="I396" t="s">
        <v>3316</v>
      </c>
      <c r="J396">
        <v>20000</v>
      </c>
      <c r="K396">
        <v>80000</v>
      </c>
      <c r="L396" t="s">
        <v>118</v>
      </c>
      <c r="M396" t="s">
        <v>91</v>
      </c>
      <c r="N396" t="s">
        <v>136</v>
      </c>
      <c r="O396" t="s">
        <v>3422</v>
      </c>
      <c r="P396" s="5" t="s">
        <v>3318</v>
      </c>
      <c r="Q396">
        <v>4</v>
      </c>
    </row>
    <row r="397" spans="1:17" x14ac:dyDescent="0.3">
      <c r="A397" s="4">
        <v>44622</v>
      </c>
      <c r="B397" t="s">
        <v>3903</v>
      </c>
      <c r="C397" t="s">
        <v>3802</v>
      </c>
      <c r="D397" s="77">
        <v>0.63888888888888895</v>
      </c>
      <c r="E397" t="s">
        <v>3314</v>
      </c>
      <c r="F397">
        <v>48</v>
      </c>
      <c r="G397" t="s">
        <v>3315</v>
      </c>
      <c r="H397">
        <v>30000</v>
      </c>
      <c r="I397" t="s">
        <v>3316</v>
      </c>
      <c r="J397">
        <v>30000</v>
      </c>
      <c r="K397">
        <v>135000</v>
      </c>
      <c r="L397" t="s">
        <v>119</v>
      </c>
      <c r="M397" t="s">
        <v>27</v>
      </c>
      <c r="N397" t="s">
        <v>101</v>
      </c>
      <c r="O397" t="s">
        <v>3803</v>
      </c>
      <c r="P397" s="5" t="s">
        <v>3318</v>
      </c>
      <c r="Q397">
        <v>4.5</v>
      </c>
    </row>
    <row r="398" spans="1:17" x14ac:dyDescent="0.3">
      <c r="A398" s="4">
        <v>44622</v>
      </c>
      <c r="B398" t="s">
        <v>3904</v>
      </c>
      <c r="C398" t="s">
        <v>3774</v>
      </c>
      <c r="D398" s="77">
        <v>0.6430555555555556</v>
      </c>
      <c r="E398" t="s">
        <v>3314</v>
      </c>
      <c r="F398">
        <v>34</v>
      </c>
      <c r="G398" t="s">
        <v>3315</v>
      </c>
      <c r="H398">
        <v>30000</v>
      </c>
      <c r="I398" t="s">
        <v>3316</v>
      </c>
      <c r="J398">
        <v>30000</v>
      </c>
      <c r="K398">
        <v>120000</v>
      </c>
      <c r="L398" t="s">
        <v>118</v>
      </c>
      <c r="M398" t="s">
        <v>84</v>
      </c>
      <c r="N398" t="s">
        <v>108</v>
      </c>
      <c r="O398" t="s">
        <v>3366</v>
      </c>
      <c r="P398" s="5" t="s">
        <v>3318</v>
      </c>
      <c r="Q398">
        <v>4</v>
      </c>
    </row>
    <row r="399" spans="1:17" x14ac:dyDescent="0.3">
      <c r="A399" s="4">
        <v>44622</v>
      </c>
      <c r="B399" t="s">
        <v>3905</v>
      </c>
      <c r="C399" t="s">
        <v>3883</v>
      </c>
      <c r="D399" s="77">
        <v>0.65069444444444446</v>
      </c>
      <c r="E399" t="s">
        <v>3332</v>
      </c>
      <c r="F399">
        <v>25</v>
      </c>
      <c r="G399" t="s">
        <v>3315</v>
      </c>
      <c r="H399">
        <v>20000</v>
      </c>
      <c r="I399" t="s">
        <v>3834</v>
      </c>
      <c r="J399">
        <v>20000</v>
      </c>
      <c r="K399">
        <v>100000</v>
      </c>
      <c r="L399" t="s">
        <v>116</v>
      </c>
      <c r="M399" t="s">
        <v>111</v>
      </c>
      <c r="N399" t="s">
        <v>112</v>
      </c>
      <c r="O399" t="s">
        <v>3345</v>
      </c>
      <c r="P399" s="5" t="s">
        <v>3318</v>
      </c>
      <c r="Q399">
        <v>5</v>
      </c>
    </row>
    <row r="400" spans="1:17" x14ac:dyDescent="0.3">
      <c r="A400" s="4">
        <v>44622</v>
      </c>
      <c r="B400" t="s">
        <v>3906</v>
      </c>
      <c r="C400" t="s">
        <v>3774</v>
      </c>
      <c r="D400" s="77">
        <v>0.65625</v>
      </c>
      <c r="E400" t="s">
        <v>3314</v>
      </c>
      <c r="F400">
        <v>31</v>
      </c>
      <c r="G400" t="s">
        <v>3315</v>
      </c>
      <c r="H400">
        <v>20000</v>
      </c>
      <c r="I400" t="s">
        <v>3834</v>
      </c>
      <c r="J400">
        <v>20000</v>
      </c>
      <c r="K400">
        <v>60000</v>
      </c>
      <c r="L400" t="s">
        <v>149</v>
      </c>
      <c r="M400" t="s">
        <v>94</v>
      </c>
      <c r="N400" t="s">
        <v>138</v>
      </c>
      <c r="O400" t="s">
        <v>3775</v>
      </c>
      <c r="P400" s="5" t="s">
        <v>3318</v>
      </c>
      <c r="Q400">
        <v>3</v>
      </c>
    </row>
    <row r="401" spans="1:17" x14ac:dyDescent="0.3">
      <c r="A401" s="4">
        <v>44622</v>
      </c>
      <c r="B401" t="s">
        <v>3907</v>
      </c>
      <c r="C401" t="s">
        <v>3908</v>
      </c>
      <c r="D401" s="77">
        <v>0.65833333333333333</v>
      </c>
      <c r="E401" t="s">
        <v>3314</v>
      </c>
      <c r="F401">
        <v>44</v>
      </c>
      <c r="G401" t="s">
        <v>3315</v>
      </c>
      <c r="H401">
        <v>20000</v>
      </c>
      <c r="I401" t="s">
        <v>3316</v>
      </c>
      <c r="J401">
        <v>20000</v>
      </c>
      <c r="K401">
        <v>80000</v>
      </c>
      <c r="L401" t="s">
        <v>118</v>
      </c>
      <c r="M401" t="s">
        <v>3023</v>
      </c>
      <c r="N401" t="s">
        <v>3025</v>
      </c>
      <c r="O401" t="s">
        <v>3481</v>
      </c>
      <c r="P401" s="5" t="s">
        <v>3318</v>
      </c>
      <c r="Q401">
        <v>4</v>
      </c>
    </row>
    <row r="402" spans="1:17" x14ac:dyDescent="0.3">
      <c r="A402" s="4">
        <v>44622</v>
      </c>
      <c r="B402" t="s">
        <v>3909</v>
      </c>
      <c r="C402" t="s">
        <v>3374</v>
      </c>
      <c r="D402" s="77">
        <v>0.66666666666666663</v>
      </c>
      <c r="E402" t="s">
        <v>3314</v>
      </c>
      <c r="F402">
        <v>32</v>
      </c>
      <c r="G402" t="s">
        <v>3315</v>
      </c>
      <c r="H402">
        <v>20000</v>
      </c>
      <c r="I402" t="s">
        <v>3316</v>
      </c>
      <c r="J402">
        <v>20000</v>
      </c>
      <c r="K402">
        <v>80000</v>
      </c>
      <c r="L402" t="s">
        <v>118</v>
      </c>
      <c r="M402" t="s">
        <v>85</v>
      </c>
      <c r="N402" t="s">
        <v>109</v>
      </c>
      <c r="O402" t="s">
        <v>3342</v>
      </c>
      <c r="P402" s="5" t="s">
        <v>3318</v>
      </c>
      <c r="Q402">
        <v>4</v>
      </c>
    </row>
    <row r="403" spans="1:17" x14ac:dyDescent="0.3">
      <c r="A403" s="4">
        <v>44622</v>
      </c>
      <c r="B403" t="s">
        <v>3910</v>
      </c>
      <c r="C403" t="s">
        <v>3841</v>
      </c>
      <c r="D403" s="77">
        <v>0.67013888888888884</v>
      </c>
      <c r="E403" t="s">
        <v>3314</v>
      </c>
      <c r="F403">
        <v>27</v>
      </c>
      <c r="G403" t="s">
        <v>3344</v>
      </c>
      <c r="H403">
        <v>30000</v>
      </c>
      <c r="I403" t="s">
        <v>3344</v>
      </c>
      <c r="J403">
        <v>30000</v>
      </c>
      <c r="K403">
        <v>135000</v>
      </c>
      <c r="L403" t="s">
        <v>114</v>
      </c>
      <c r="M403" t="s">
        <v>31</v>
      </c>
      <c r="N403" t="s">
        <v>105</v>
      </c>
      <c r="O403" t="s">
        <v>3339</v>
      </c>
      <c r="P403" s="5" t="s">
        <v>3318</v>
      </c>
      <c r="Q403">
        <v>4.5</v>
      </c>
    </row>
    <row r="404" spans="1:17" x14ac:dyDescent="0.3">
      <c r="A404" s="4">
        <v>44622</v>
      </c>
      <c r="B404" t="s">
        <v>3911</v>
      </c>
      <c r="C404" t="s">
        <v>3512</v>
      </c>
      <c r="D404" s="77">
        <v>0.67361111111111116</v>
      </c>
      <c r="E404" t="s">
        <v>3332</v>
      </c>
      <c r="F404">
        <v>52</v>
      </c>
      <c r="G404" t="s">
        <v>3315</v>
      </c>
      <c r="H404">
        <v>50000</v>
      </c>
      <c r="I404" t="s">
        <v>3834</v>
      </c>
      <c r="J404">
        <v>50000</v>
      </c>
      <c r="K404">
        <v>250000</v>
      </c>
      <c r="L404" t="s">
        <v>114</v>
      </c>
      <c r="M404" t="s">
        <v>23</v>
      </c>
      <c r="N404" t="s">
        <v>99</v>
      </c>
      <c r="O404" t="s">
        <v>3358</v>
      </c>
      <c r="P404" s="5" t="s">
        <v>3318</v>
      </c>
      <c r="Q404">
        <v>5</v>
      </c>
    </row>
    <row r="405" spans="1:17" x14ac:dyDescent="0.3">
      <c r="A405" s="4">
        <v>44622</v>
      </c>
      <c r="B405" t="s">
        <v>3912</v>
      </c>
      <c r="C405" t="s">
        <v>3878</v>
      </c>
      <c r="D405" s="77">
        <v>0.68055555555555547</v>
      </c>
      <c r="E405" t="s">
        <v>3314</v>
      </c>
      <c r="F405">
        <v>39</v>
      </c>
      <c r="G405" t="s">
        <v>3315</v>
      </c>
      <c r="H405">
        <v>30000</v>
      </c>
      <c r="I405" t="s">
        <v>3316</v>
      </c>
      <c r="J405">
        <v>30000</v>
      </c>
      <c r="K405">
        <v>120000</v>
      </c>
      <c r="L405" t="s">
        <v>118</v>
      </c>
      <c r="M405" t="s">
        <v>90</v>
      </c>
      <c r="N405" t="s">
        <v>110</v>
      </c>
      <c r="O405" t="s">
        <v>3455</v>
      </c>
      <c r="P405" s="5" t="s">
        <v>3318</v>
      </c>
      <c r="Q405">
        <v>4</v>
      </c>
    </row>
    <row r="406" spans="1:17" x14ac:dyDescent="0.3">
      <c r="A406" s="4">
        <v>44622</v>
      </c>
      <c r="B406" t="s">
        <v>3913</v>
      </c>
      <c r="C406" t="s">
        <v>3493</v>
      </c>
      <c r="D406" s="77">
        <v>0.69027777777777777</v>
      </c>
      <c r="E406" t="s">
        <v>3314</v>
      </c>
      <c r="F406">
        <v>66</v>
      </c>
      <c r="G406" t="s">
        <v>3315</v>
      </c>
      <c r="H406">
        <v>30000</v>
      </c>
      <c r="I406" t="s">
        <v>3316</v>
      </c>
      <c r="J406">
        <v>30000</v>
      </c>
      <c r="K406">
        <v>120000</v>
      </c>
      <c r="L406" t="s">
        <v>118</v>
      </c>
      <c r="M406" t="s">
        <v>88</v>
      </c>
      <c r="N406" t="s">
        <v>117</v>
      </c>
      <c r="O406" t="s">
        <v>3494</v>
      </c>
      <c r="P406" s="5" t="s">
        <v>3318</v>
      </c>
      <c r="Q406">
        <v>4</v>
      </c>
    </row>
    <row r="407" spans="1:17" x14ac:dyDescent="0.3">
      <c r="A407" s="4">
        <v>44622</v>
      </c>
      <c r="B407" t="s">
        <v>3914</v>
      </c>
      <c r="C407" t="s">
        <v>3790</v>
      </c>
      <c r="D407" s="77">
        <v>0.70347222222222217</v>
      </c>
      <c r="E407" t="s">
        <v>3314</v>
      </c>
      <c r="F407">
        <v>52</v>
      </c>
      <c r="G407" t="s">
        <v>3315</v>
      </c>
      <c r="H407">
        <v>20000</v>
      </c>
      <c r="I407" t="s">
        <v>3316</v>
      </c>
      <c r="J407">
        <v>20000</v>
      </c>
      <c r="K407">
        <v>80000</v>
      </c>
      <c r="L407" t="s">
        <v>118</v>
      </c>
      <c r="M407" t="s">
        <v>92</v>
      </c>
      <c r="N407" t="s">
        <v>137</v>
      </c>
      <c r="O407" t="s">
        <v>3476</v>
      </c>
      <c r="P407" s="5" t="s">
        <v>3318</v>
      </c>
      <c r="Q407">
        <v>4</v>
      </c>
    </row>
    <row r="408" spans="1:17" x14ac:dyDescent="0.3">
      <c r="A408" s="4">
        <v>44622</v>
      </c>
      <c r="B408" t="s">
        <v>3915</v>
      </c>
      <c r="C408" t="s">
        <v>3895</v>
      </c>
      <c r="D408" s="77">
        <v>0.71319444444444446</v>
      </c>
      <c r="E408" t="s">
        <v>3314</v>
      </c>
      <c r="F408">
        <v>58</v>
      </c>
      <c r="G408" t="s">
        <v>3315</v>
      </c>
      <c r="H408">
        <v>30000</v>
      </c>
      <c r="I408" t="s">
        <v>3316</v>
      </c>
      <c r="J408">
        <v>30000</v>
      </c>
      <c r="K408">
        <v>135000</v>
      </c>
      <c r="L408" t="s">
        <v>116</v>
      </c>
      <c r="M408" t="s">
        <v>65</v>
      </c>
      <c r="N408" t="s">
        <v>102</v>
      </c>
      <c r="O408" t="s">
        <v>3506</v>
      </c>
      <c r="P408" s="5" t="s">
        <v>3318</v>
      </c>
      <c r="Q408">
        <v>4.5</v>
      </c>
    </row>
    <row r="409" spans="1:17" x14ac:dyDescent="0.3">
      <c r="A409" s="4">
        <v>44622</v>
      </c>
      <c r="B409" t="s">
        <v>3916</v>
      </c>
      <c r="C409" t="s">
        <v>3895</v>
      </c>
      <c r="D409" s="77">
        <v>0.71319444444444446</v>
      </c>
      <c r="E409" t="s">
        <v>3314</v>
      </c>
      <c r="F409">
        <v>71</v>
      </c>
      <c r="G409" t="s">
        <v>3315</v>
      </c>
      <c r="H409">
        <v>20000</v>
      </c>
      <c r="I409" t="s">
        <v>3316</v>
      </c>
      <c r="J409">
        <v>20000</v>
      </c>
      <c r="K409">
        <v>60000</v>
      </c>
      <c r="L409" t="s">
        <v>149</v>
      </c>
      <c r="M409" t="s">
        <v>93</v>
      </c>
      <c r="N409" t="s">
        <v>121</v>
      </c>
      <c r="O409" t="s">
        <v>3781</v>
      </c>
      <c r="P409" s="5" t="s">
        <v>3318</v>
      </c>
      <c r="Q409">
        <v>3</v>
      </c>
    </row>
    <row r="410" spans="1:17" x14ac:dyDescent="0.3">
      <c r="A410" s="4">
        <v>44622</v>
      </c>
      <c r="B410" t="s">
        <v>3917</v>
      </c>
      <c r="C410" t="s">
        <v>3802</v>
      </c>
      <c r="D410" s="77">
        <v>0.71527777777777779</v>
      </c>
      <c r="E410" t="s">
        <v>3314</v>
      </c>
      <c r="F410">
        <v>30</v>
      </c>
      <c r="G410" t="s">
        <v>3315</v>
      </c>
      <c r="H410">
        <v>30000</v>
      </c>
      <c r="I410" t="s">
        <v>3316</v>
      </c>
      <c r="J410">
        <v>30000</v>
      </c>
      <c r="K410">
        <v>135000</v>
      </c>
      <c r="L410" t="s">
        <v>113</v>
      </c>
      <c r="M410" t="s">
        <v>22</v>
      </c>
      <c r="N410" t="s">
        <v>98</v>
      </c>
      <c r="O410" t="s">
        <v>3437</v>
      </c>
      <c r="P410" s="5" t="s">
        <v>3318</v>
      </c>
      <c r="Q410">
        <v>4.5</v>
      </c>
    </row>
    <row r="411" spans="1:17" x14ac:dyDescent="0.3">
      <c r="A411" s="4">
        <v>44622</v>
      </c>
      <c r="B411" t="s">
        <v>3918</v>
      </c>
      <c r="C411" t="s">
        <v>3802</v>
      </c>
      <c r="D411" s="77">
        <v>0.71875</v>
      </c>
      <c r="E411" t="s">
        <v>3314</v>
      </c>
      <c r="F411">
        <v>29</v>
      </c>
      <c r="G411" t="s">
        <v>3315</v>
      </c>
      <c r="H411">
        <v>20000</v>
      </c>
      <c r="I411" t="s">
        <v>3834</v>
      </c>
      <c r="J411">
        <v>20000</v>
      </c>
      <c r="K411">
        <v>90000</v>
      </c>
      <c r="L411" t="s">
        <v>119</v>
      </c>
      <c r="M411" t="s">
        <v>27</v>
      </c>
      <c r="N411" t="s">
        <v>101</v>
      </c>
      <c r="O411" t="s">
        <v>3803</v>
      </c>
      <c r="P411" s="5" t="s">
        <v>3318</v>
      </c>
      <c r="Q411">
        <v>4.5</v>
      </c>
    </row>
    <row r="412" spans="1:17" x14ac:dyDescent="0.3">
      <c r="A412" s="4">
        <v>44622</v>
      </c>
      <c r="B412" t="s">
        <v>3919</v>
      </c>
      <c r="C412" t="s">
        <v>3512</v>
      </c>
      <c r="D412" s="77">
        <v>0.72222222222222221</v>
      </c>
      <c r="E412" t="s">
        <v>3332</v>
      </c>
      <c r="F412">
        <v>67</v>
      </c>
      <c r="G412" t="s">
        <v>3315</v>
      </c>
      <c r="H412">
        <v>30000</v>
      </c>
      <c r="I412" t="s">
        <v>3336</v>
      </c>
      <c r="J412">
        <v>30000</v>
      </c>
      <c r="K412">
        <v>150000</v>
      </c>
      <c r="L412" t="s">
        <v>114</v>
      </c>
      <c r="M412" t="s">
        <v>23</v>
      </c>
      <c r="N412" t="s">
        <v>99</v>
      </c>
      <c r="O412" t="s">
        <v>3358</v>
      </c>
      <c r="P412" s="5" t="s">
        <v>3318</v>
      </c>
      <c r="Q412">
        <v>5</v>
      </c>
    </row>
    <row r="413" spans="1:17" x14ac:dyDescent="0.3">
      <c r="A413" s="4">
        <v>44622</v>
      </c>
      <c r="B413" t="s">
        <v>3920</v>
      </c>
      <c r="C413" t="s">
        <v>3493</v>
      </c>
      <c r="D413" s="77">
        <v>0.7319444444444444</v>
      </c>
      <c r="E413" t="s">
        <v>3314</v>
      </c>
      <c r="F413">
        <v>57</v>
      </c>
      <c r="G413" t="s">
        <v>3315</v>
      </c>
      <c r="H413">
        <v>30000</v>
      </c>
      <c r="I413" t="s">
        <v>3316</v>
      </c>
      <c r="J413">
        <v>30000</v>
      </c>
      <c r="K413">
        <v>135000</v>
      </c>
      <c r="L413" t="s">
        <v>116</v>
      </c>
      <c r="M413" t="s">
        <v>78</v>
      </c>
      <c r="N413" t="s">
        <v>100</v>
      </c>
      <c r="O413" t="s">
        <v>3629</v>
      </c>
      <c r="P413" s="5" t="s">
        <v>3318</v>
      </c>
      <c r="Q413">
        <v>4.5</v>
      </c>
    </row>
    <row r="414" spans="1:17" x14ac:dyDescent="0.3">
      <c r="A414" s="4">
        <v>44622</v>
      </c>
      <c r="B414" t="s">
        <v>3921</v>
      </c>
      <c r="C414" t="s">
        <v>3802</v>
      </c>
      <c r="D414" s="77">
        <v>0.7368055555555556</v>
      </c>
      <c r="E414" t="s">
        <v>3314</v>
      </c>
      <c r="F414">
        <v>26</v>
      </c>
      <c r="G414" t="s">
        <v>3315</v>
      </c>
      <c r="H414">
        <v>20000</v>
      </c>
      <c r="I414" t="s">
        <v>3316</v>
      </c>
      <c r="J414">
        <v>20000</v>
      </c>
      <c r="K414">
        <v>90000</v>
      </c>
      <c r="L414" t="s">
        <v>113</v>
      </c>
      <c r="M414" t="s">
        <v>22</v>
      </c>
      <c r="N414" t="s">
        <v>98</v>
      </c>
      <c r="O414" t="s">
        <v>3437</v>
      </c>
      <c r="P414" s="5" t="s">
        <v>3318</v>
      </c>
      <c r="Q414">
        <v>4.5</v>
      </c>
    </row>
    <row r="415" spans="1:17" x14ac:dyDescent="0.3">
      <c r="A415" s="4">
        <v>44622</v>
      </c>
      <c r="B415" t="s">
        <v>3922</v>
      </c>
      <c r="C415" t="s">
        <v>3883</v>
      </c>
      <c r="D415" s="77">
        <v>0.76736111111111116</v>
      </c>
      <c r="E415" t="s">
        <v>3332</v>
      </c>
      <c r="F415">
        <v>36</v>
      </c>
      <c r="G415" t="s">
        <v>3315</v>
      </c>
      <c r="H415">
        <v>30000</v>
      </c>
      <c r="I415" t="s">
        <v>3834</v>
      </c>
      <c r="J415">
        <v>30000</v>
      </c>
      <c r="K415">
        <v>150000</v>
      </c>
      <c r="L415" t="s">
        <v>116</v>
      </c>
      <c r="M415" t="s">
        <v>111</v>
      </c>
      <c r="N415" t="s">
        <v>112</v>
      </c>
      <c r="O415" t="s">
        <v>3345</v>
      </c>
      <c r="P415" s="5" t="s">
        <v>3318</v>
      </c>
      <c r="Q415">
        <v>5</v>
      </c>
    </row>
    <row r="416" spans="1:17" x14ac:dyDescent="0.3">
      <c r="A416" s="4">
        <v>44622</v>
      </c>
      <c r="B416" t="s">
        <v>3923</v>
      </c>
      <c r="C416" t="s">
        <v>3841</v>
      </c>
      <c r="D416" s="77">
        <v>0.79513888888888884</v>
      </c>
      <c r="E416" t="s">
        <v>3314</v>
      </c>
      <c r="F416">
        <v>45</v>
      </c>
      <c r="G416" t="s">
        <v>3315</v>
      </c>
      <c r="H416">
        <v>20000</v>
      </c>
      <c r="I416" t="s">
        <v>3834</v>
      </c>
      <c r="J416">
        <v>20000</v>
      </c>
      <c r="K416">
        <v>90000</v>
      </c>
      <c r="L416" t="s">
        <v>114</v>
      </c>
      <c r="M416" t="s">
        <v>31</v>
      </c>
      <c r="N416" t="s">
        <v>105</v>
      </c>
      <c r="O416" t="s">
        <v>3339</v>
      </c>
      <c r="P416" s="5" t="s">
        <v>3318</v>
      </c>
      <c r="Q416">
        <v>4.5</v>
      </c>
    </row>
    <row r="417" spans="1:17" x14ac:dyDescent="0.3">
      <c r="A417" s="4">
        <v>44622</v>
      </c>
      <c r="B417" t="s">
        <v>3924</v>
      </c>
      <c r="C417" t="s">
        <v>3841</v>
      </c>
      <c r="D417" s="77">
        <v>0.79791666666666661</v>
      </c>
      <c r="E417" t="s">
        <v>3314</v>
      </c>
      <c r="F417">
        <v>54</v>
      </c>
      <c r="G417" t="s">
        <v>3315</v>
      </c>
      <c r="H417">
        <v>30000</v>
      </c>
      <c r="I417" t="s">
        <v>3316</v>
      </c>
      <c r="J417">
        <v>30000</v>
      </c>
      <c r="K417">
        <v>120000</v>
      </c>
      <c r="L417" t="s">
        <v>118</v>
      </c>
      <c r="M417" t="s">
        <v>2729</v>
      </c>
      <c r="N417" t="s">
        <v>121</v>
      </c>
      <c r="O417" t="s">
        <v>3416</v>
      </c>
      <c r="P417" s="5" t="s">
        <v>3318</v>
      </c>
      <c r="Q417">
        <v>4</v>
      </c>
    </row>
    <row r="418" spans="1:17" x14ac:dyDescent="0.3">
      <c r="A418" s="4">
        <v>44622</v>
      </c>
      <c r="B418" t="s">
        <v>3925</v>
      </c>
      <c r="C418" t="s">
        <v>3926</v>
      </c>
      <c r="D418" s="77">
        <v>0.8041666666666667</v>
      </c>
      <c r="E418" t="s">
        <v>3314</v>
      </c>
      <c r="F418">
        <v>48</v>
      </c>
      <c r="G418" t="s">
        <v>3315</v>
      </c>
      <c r="H418">
        <v>30000</v>
      </c>
      <c r="I418" t="s">
        <v>3316</v>
      </c>
      <c r="J418">
        <v>30000</v>
      </c>
      <c r="K418">
        <v>120000</v>
      </c>
      <c r="L418" t="s">
        <v>118</v>
      </c>
      <c r="M418" t="s">
        <v>87</v>
      </c>
      <c r="N418" t="s">
        <v>134</v>
      </c>
      <c r="O418" t="s">
        <v>3528</v>
      </c>
      <c r="P418" s="5" t="s">
        <v>3318</v>
      </c>
      <c r="Q418">
        <v>4</v>
      </c>
    </row>
    <row r="419" spans="1:17" x14ac:dyDescent="0.3">
      <c r="A419" s="4">
        <v>44622</v>
      </c>
      <c r="B419" t="s">
        <v>3927</v>
      </c>
      <c r="C419" t="s">
        <v>3928</v>
      </c>
      <c r="D419" s="77">
        <v>0.80694444444444446</v>
      </c>
      <c r="E419" t="s">
        <v>3314</v>
      </c>
      <c r="F419">
        <v>44</v>
      </c>
      <c r="G419" t="s">
        <v>3315</v>
      </c>
      <c r="H419">
        <v>20000</v>
      </c>
      <c r="I419" t="s">
        <v>3316</v>
      </c>
      <c r="J419">
        <v>20000</v>
      </c>
      <c r="K419">
        <v>80000</v>
      </c>
      <c r="L419" t="s">
        <v>118</v>
      </c>
      <c r="M419" t="s">
        <v>3033</v>
      </c>
      <c r="N419" t="s">
        <v>3035</v>
      </c>
      <c r="O419" t="s">
        <v>3542</v>
      </c>
      <c r="P419" s="5" t="s">
        <v>3318</v>
      </c>
      <c r="Q419">
        <v>4</v>
      </c>
    </row>
    <row r="420" spans="1:17" x14ac:dyDescent="0.3">
      <c r="A420" s="4">
        <v>44622</v>
      </c>
      <c r="B420" t="s">
        <v>3929</v>
      </c>
      <c r="C420" t="s">
        <v>3841</v>
      </c>
      <c r="D420" s="77">
        <v>0.82291666666666663</v>
      </c>
      <c r="E420" t="s">
        <v>3314</v>
      </c>
      <c r="F420">
        <v>54</v>
      </c>
      <c r="G420" t="s">
        <v>3315</v>
      </c>
      <c r="H420">
        <v>20000</v>
      </c>
      <c r="I420" t="s">
        <v>3316</v>
      </c>
      <c r="J420">
        <v>20000</v>
      </c>
      <c r="K420">
        <v>90000</v>
      </c>
      <c r="L420" t="s">
        <v>114</v>
      </c>
      <c r="M420" t="s">
        <v>31</v>
      </c>
      <c r="N420" t="s">
        <v>105</v>
      </c>
      <c r="O420" t="s">
        <v>3339</v>
      </c>
      <c r="P420" s="5" t="s">
        <v>3318</v>
      </c>
      <c r="Q420">
        <v>4.5</v>
      </c>
    </row>
    <row r="421" spans="1:17" x14ac:dyDescent="0.3">
      <c r="A421" s="4">
        <v>44622</v>
      </c>
      <c r="B421" t="s">
        <v>3930</v>
      </c>
      <c r="C421" t="s">
        <v>3931</v>
      </c>
      <c r="D421" s="77">
        <v>0.83333333333333337</v>
      </c>
      <c r="E421" t="s">
        <v>3314</v>
      </c>
      <c r="F421">
        <v>51</v>
      </c>
      <c r="G421" t="s">
        <v>3315</v>
      </c>
      <c r="H421">
        <v>20000</v>
      </c>
      <c r="I421" t="s">
        <v>3316</v>
      </c>
      <c r="J421">
        <v>20000</v>
      </c>
      <c r="K421">
        <v>80000</v>
      </c>
      <c r="L421" t="s">
        <v>118</v>
      </c>
      <c r="M421" t="s">
        <v>28</v>
      </c>
      <c r="N421" t="s">
        <v>132</v>
      </c>
      <c r="O421" t="s">
        <v>3449</v>
      </c>
      <c r="P421" s="5" t="s">
        <v>3318</v>
      </c>
      <c r="Q421">
        <v>4</v>
      </c>
    </row>
    <row r="422" spans="1:17" x14ac:dyDescent="0.3">
      <c r="A422" s="4">
        <v>44622</v>
      </c>
      <c r="B422" t="s">
        <v>3932</v>
      </c>
      <c r="C422" t="s">
        <v>3926</v>
      </c>
      <c r="D422" s="77">
        <v>0.83333333333333337</v>
      </c>
      <c r="E422" t="s">
        <v>3314</v>
      </c>
      <c r="F422">
        <v>44</v>
      </c>
      <c r="G422" t="s">
        <v>3315</v>
      </c>
      <c r="H422">
        <v>20000</v>
      </c>
      <c r="I422" t="s">
        <v>3316</v>
      </c>
      <c r="J422">
        <v>20000</v>
      </c>
      <c r="K422">
        <v>90000</v>
      </c>
      <c r="L422" t="s">
        <v>116</v>
      </c>
      <c r="M422" t="s">
        <v>76</v>
      </c>
      <c r="N422" t="s">
        <v>107</v>
      </c>
      <c r="O422" t="s">
        <v>3321</v>
      </c>
      <c r="P422" s="5" t="s">
        <v>3318</v>
      </c>
      <c r="Q422">
        <v>4.5</v>
      </c>
    </row>
    <row r="423" spans="1:17" x14ac:dyDescent="0.3">
      <c r="A423" s="4">
        <v>44622</v>
      </c>
      <c r="B423" t="s">
        <v>3933</v>
      </c>
      <c r="C423" t="s">
        <v>3931</v>
      </c>
      <c r="D423" s="77">
        <v>0.875</v>
      </c>
      <c r="E423" t="s">
        <v>3314</v>
      </c>
      <c r="F423">
        <v>29</v>
      </c>
      <c r="G423" t="s">
        <v>3315</v>
      </c>
      <c r="H423">
        <v>20000</v>
      </c>
      <c r="I423" t="s">
        <v>3316</v>
      </c>
      <c r="J423">
        <v>20000</v>
      </c>
      <c r="K423">
        <v>80000</v>
      </c>
      <c r="L423" t="s">
        <v>118</v>
      </c>
      <c r="M423" t="s">
        <v>28</v>
      </c>
      <c r="N423" t="s">
        <v>132</v>
      </c>
      <c r="O423" t="s">
        <v>3449</v>
      </c>
      <c r="P423" s="5" t="s">
        <v>3318</v>
      </c>
      <c r="Q423">
        <v>4</v>
      </c>
    </row>
    <row r="424" spans="1:17" x14ac:dyDescent="0.3">
      <c r="A424" s="4">
        <v>44622</v>
      </c>
      <c r="B424" t="s">
        <v>3934</v>
      </c>
      <c r="C424" t="s">
        <v>3931</v>
      </c>
      <c r="D424" s="77">
        <v>0.9375</v>
      </c>
      <c r="E424" t="s">
        <v>3314</v>
      </c>
      <c r="F424">
        <v>50</v>
      </c>
      <c r="G424" t="s">
        <v>3315</v>
      </c>
      <c r="H424">
        <v>20000</v>
      </c>
      <c r="I424" t="s">
        <v>3316</v>
      </c>
      <c r="J424">
        <v>20000</v>
      </c>
      <c r="K424">
        <v>80000</v>
      </c>
      <c r="L424" t="s">
        <v>118</v>
      </c>
      <c r="M424" t="s">
        <v>28</v>
      </c>
      <c r="N424" t="s">
        <v>132</v>
      </c>
      <c r="O424" t="s">
        <v>3449</v>
      </c>
      <c r="P424" s="5" t="s">
        <v>3318</v>
      </c>
      <c r="Q424">
        <v>4</v>
      </c>
    </row>
    <row r="425" spans="1:17" x14ac:dyDescent="0.3">
      <c r="A425" s="4">
        <v>44623</v>
      </c>
      <c r="B425" t="s">
        <v>3935</v>
      </c>
      <c r="C425" t="s">
        <v>3936</v>
      </c>
      <c r="D425" s="77">
        <v>0.44861111111111113</v>
      </c>
      <c r="E425" t="s">
        <v>3314</v>
      </c>
      <c r="F425">
        <v>38</v>
      </c>
      <c r="G425" t="s">
        <v>3315</v>
      </c>
      <c r="H425">
        <v>20000</v>
      </c>
      <c r="I425" t="s">
        <v>3834</v>
      </c>
      <c r="J425">
        <v>20000</v>
      </c>
      <c r="K425">
        <v>80000</v>
      </c>
      <c r="L425" t="s">
        <v>118</v>
      </c>
      <c r="M425" t="s">
        <v>88</v>
      </c>
      <c r="N425" t="s">
        <v>117</v>
      </c>
      <c r="O425" t="s">
        <v>3494</v>
      </c>
      <c r="P425" s="5" t="s">
        <v>3318</v>
      </c>
      <c r="Q425">
        <v>4</v>
      </c>
    </row>
    <row r="426" spans="1:17" x14ac:dyDescent="0.3">
      <c r="A426" s="4">
        <v>44623</v>
      </c>
      <c r="B426" t="s">
        <v>3937</v>
      </c>
      <c r="C426" t="s">
        <v>3938</v>
      </c>
      <c r="D426" s="77">
        <v>0.45833333333333331</v>
      </c>
      <c r="E426" t="s">
        <v>3314</v>
      </c>
      <c r="F426">
        <v>43</v>
      </c>
      <c r="G426" t="s">
        <v>3315</v>
      </c>
      <c r="H426">
        <v>30000</v>
      </c>
      <c r="I426" t="s">
        <v>3316</v>
      </c>
      <c r="J426">
        <v>30000</v>
      </c>
      <c r="K426">
        <v>120000</v>
      </c>
      <c r="L426" t="s">
        <v>118</v>
      </c>
      <c r="M426" t="s">
        <v>24</v>
      </c>
      <c r="N426" t="s">
        <v>103</v>
      </c>
      <c r="O426" t="s">
        <v>3585</v>
      </c>
      <c r="P426" s="5" t="s">
        <v>3318</v>
      </c>
      <c r="Q426">
        <v>4</v>
      </c>
    </row>
    <row r="427" spans="1:17" x14ac:dyDescent="0.3">
      <c r="A427" s="4">
        <v>44623</v>
      </c>
      <c r="B427" t="s">
        <v>3939</v>
      </c>
      <c r="C427" t="s">
        <v>3610</v>
      </c>
      <c r="D427" s="77">
        <v>0.46111111111111108</v>
      </c>
      <c r="E427" t="s">
        <v>3314</v>
      </c>
      <c r="F427">
        <v>41</v>
      </c>
      <c r="G427" t="s">
        <v>3315</v>
      </c>
      <c r="H427">
        <v>20000</v>
      </c>
      <c r="I427" t="s">
        <v>3316</v>
      </c>
      <c r="J427">
        <v>20000</v>
      </c>
      <c r="K427">
        <v>90000</v>
      </c>
      <c r="L427" t="s">
        <v>116</v>
      </c>
      <c r="M427" t="s">
        <v>65</v>
      </c>
      <c r="N427" t="s">
        <v>102</v>
      </c>
      <c r="O427" t="s">
        <v>3506</v>
      </c>
      <c r="P427" s="5" t="s">
        <v>3318</v>
      </c>
      <c r="Q427">
        <v>4.5</v>
      </c>
    </row>
    <row r="428" spans="1:17" x14ac:dyDescent="0.3">
      <c r="A428" s="4">
        <v>44623</v>
      </c>
      <c r="B428" t="s">
        <v>3940</v>
      </c>
      <c r="C428" t="s">
        <v>3610</v>
      </c>
      <c r="D428" s="77">
        <v>0.48125000000000001</v>
      </c>
      <c r="E428" t="s">
        <v>3314</v>
      </c>
      <c r="F428">
        <v>62</v>
      </c>
      <c r="G428" t="s">
        <v>3315</v>
      </c>
      <c r="H428">
        <v>30000</v>
      </c>
      <c r="I428" t="s">
        <v>3316</v>
      </c>
      <c r="J428">
        <v>30000</v>
      </c>
      <c r="K428">
        <v>120000</v>
      </c>
      <c r="L428" t="s">
        <v>118</v>
      </c>
      <c r="M428" t="s">
        <v>86</v>
      </c>
      <c r="N428" t="s">
        <v>120</v>
      </c>
      <c r="O428" t="s">
        <v>3446</v>
      </c>
      <c r="P428" s="5" t="s">
        <v>3318</v>
      </c>
      <c r="Q428">
        <v>4</v>
      </c>
    </row>
    <row r="429" spans="1:17" x14ac:dyDescent="0.3">
      <c r="A429" s="4">
        <v>44623</v>
      </c>
      <c r="B429" t="s">
        <v>3941</v>
      </c>
      <c r="C429" t="s">
        <v>3512</v>
      </c>
      <c r="D429" s="77">
        <v>0.5</v>
      </c>
      <c r="E429" t="s">
        <v>3332</v>
      </c>
      <c r="F429">
        <v>70</v>
      </c>
      <c r="G429" t="s">
        <v>3336</v>
      </c>
      <c r="H429">
        <v>20000</v>
      </c>
      <c r="I429" t="s">
        <v>3336</v>
      </c>
      <c r="J429">
        <v>20000</v>
      </c>
      <c r="K429">
        <v>100000</v>
      </c>
      <c r="L429" t="s">
        <v>114</v>
      </c>
      <c r="M429" t="s">
        <v>23</v>
      </c>
      <c r="N429" t="s">
        <v>99</v>
      </c>
      <c r="O429" t="s">
        <v>3358</v>
      </c>
      <c r="P429" s="5" t="s">
        <v>3318</v>
      </c>
      <c r="Q429">
        <v>5</v>
      </c>
    </row>
    <row r="430" spans="1:17" x14ac:dyDescent="0.3">
      <c r="A430" s="4">
        <v>44623</v>
      </c>
      <c r="B430" t="s">
        <v>3942</v>
      </c>
      <c r="C430" t="s">
        <v>3943</v>
      </c>
      <c r="D430" s="77">
        <v>0.51874999999999993</v>
      </c>
      <c r="E430" t="s">
        <v>3314</v>
      </c>
      <c r="F430">
        <v>61</v>
      </c>
      <c r="G430" t="s">
        <v>3315</v>
      </c>
      <c r="H430">
        <v>20000</v>
      </c>
      <c r="I430" t="s">
        <v>3316</v>
      </c>
      <c r="J430">
        <v>20000</v>
      </c>
      <c r="K430">
        <v>60000</v>
      </c>
      <c r="L430" t="s">
        <v>149</v>
      </c>
      <c r="M430" t="s">
        <v>94</v>
      </c>
      <c r="N430" t="s">
        <v>138</v>
      </c>
      <c r="O430" t="s">
        <v>3775</v>
      </c>
      <c r="P430" s="5" t="s">
        <v>3318</v>
      </c>
      <c r="Q430">
        <v>3</v>
      </c>
    </row>
    <row r="431" spans="1:17" x14ac:dyDescent="0.3">
      <c r="A431" s="4">
        <v>44623</v>
      </c>
      <c r="B431" t="s">
        <v>3944</v>
      </c>
      <c r="C431" t="s">
        <v>3610</v>
      </c>
      <c r="D431" s="77">
        <v>0.53263888888888888</v>
      </c>
      <c r="E431" t="s">
        <v>3314</v>
      </c>
      <c r="F431">
        <v>37</v>
      </c>
      <c r="G431" t="s">
        <v>3315</v>
      </c>
      <c r="H431">
        <v>30000</v>
      </c>
      <c r="I431" t="s">
        <v>3316</v>
      </c>
      <c r="J431">
        <v>30000</v>
      </c>
      <c r="K431">
        <v>90000</v>
      </c>
      <c r="L431" t="s">
        <v>149</v>
      </c>
      <c r="M431" t="s">
        <v>93</v>
      </c>
      <c r="N431" t="s">
        <v>121</v>
      </c>
      <c r="O431" t="s">
        <v>3781</v>
      </c>
      <c r="P431" s="5" t="s">
        <v>3318</v>
      </c>
      <c r="Q431">
        <v>3</v>
      </c>
    </row>
    <row r="432" spans="1:17" x14ac:dyDescent="0.3">
      <c r="A432" s="4">
        <v>44623</v>
      </c>
      <c r="B432" t="s">
        <v>3945</v>
      </c>
      <c r="C432" t="s">
        <v>3943</v>
      </c>
      <c r="D432" s="77">
        <v>0.57986111111111105</v>
      </c>
      <c r="E432" t="s">
        <v>3314</v>
      </c>
      <c r="F432">
        <v>45</v>
      </c>
      <c r="G432" t="s">
        <v>3315</v>
      </c>
      <c r="H432">
        <v>20000</v>
      </c>
      <c r="I432" t="s">
        <v>3316</v>
      </c>
      <c r="J432">
        <v>20000</v>
      </c>
      <c r="K432">
        <v>60000</v>
      </c>
      <c r="L432" t="s">
        <v>149</v>
      </c>
      <c r="M432" t="s">
        <v>94</v>
      </c>
      <c r="N432" t="s">
        <v>138</v>
      </c>
      <c r="O432" t="s">
        <v>3775</v>
      </c>
      <c r="P432" s="5" t="s">
        <v>3318</v>
      </c>
      <c r="Q432">
        <v>3</v>
      </c>
    </row>
    <row r="433" spans="1:17" x14ac:dyDescent="0.3">
      <c r="A433" s="4">
        <v>44623</v>
      </c>
      <c r="B433" t="s">
        <v>3946</v>
      </c>
      <c r="C433" t="s">
        <v>3790</v>
      </c>
      <c r="D433" s="77">
        <v>0.58333333333333337</v>
      </c>
      <c r="E433" t="s">
        <v>3314</v>
      </c>
      <c r="F433">
        <v>48</v>
      </c>
      <c r="G433" t="s">
        <v>3315</v>
      </c>
      <c r="H433">
        <v>20000</v>
      </c>
      <c r="I433" t="s">
        <v>3316</v>
      </c>
      <c r="J433">
        <v>20000</v>
      </c>
      <c r="K433">
        <v>80000</v>
      </c>
      <c r="L433" t="s">
        <v>118</v>
      </c>
      <c r="M433" t="s">
        <v>92</v>
      </c>
      <c r="N433" t="s">
        <v>137</v>
      </c>
      <c r="O433" t="s">
        <v>3476</v>
      </c>
      <c r="P433" s="5" t="s">
        <v>3318</v>
      </c>
      <c r="Q433">
        <v>4</v>
      </c>
    </row>
    <row r="434" spans="1:17" x14ac:dyDescent="0.3">
      <c r="A434" s="4">
        <v>44623</v>
      </c>
      <c r="B434" t="s">
        <v>3947</v>
      </c>
      <c r="C434" t="s">
        <v>3512</v>
      </c>
      <c r="D434" s="77">
        <v>0.59027777777777779</v>
      </c>
      <c r="E434" t="s">
        <v>3332</v>
      </c>
      <c r="F434">
        <v>50</v>
      </c>
      <c r="G434" t="s">
        <v>3315</v>
      </c>
      <c r="H434">
        <v>20000</v>
      </c>
      <c r="I434" t="s">
        <v>3316</v>
      </c>
      <c r="J434">
        <v>20000</v>
      </c>
      <c r="K434">
        <v>100000</v>
      </c>
      <c r="L434" t="s">
        <v>114</v>
      </c>
      <c r="M434" t="s">
        <v>23</v>
      </c>
      <c r="N434" t="s">
        <v>99</v>
      </c>
      <c r="O434" t="s">
        <v>3358</v>
      </c>
      <c r="P434" s="5" t="s">
        <v>3318</v>
      </c>
      <c r="Q434">
        <v>5</v>
      </c>
    </row>
    <row r="435" spans="1:17" x14ac:dyDescent="0.3">
      <c r="A435" s="4">
        <v>44623</v>
      </c>
      <c r="B435" t="s">
        <v>3948</v>
      </c>
      <c r="C435" t="s">
        <v>3610</v>
      </c>
      <c r="D435" s="77">
        <v>0.59097222222222223</v>
      </c>
      <c r="E435" t="s">
        <v>3314</v>
      </c>
      <c r="F435">
        <v>57</v>
      </c>
      <c r="G435" t="s">
        <v>3315</v>
      </c>
      <c r="H435">
        <v>50000</v>
      </c>
      <c r="I435" t="s">
        <v>3316</v>
      </c>
      <c r="J435">
        <v>50000</v>
      </c>
      <c r="K435">
        <v>150000</v>
      </c>
      <c r="L435" t="s">
        <v>149</v>
      </c>
      <c r="M435" t="s">
        <v>93</v>
      </c>
      <c r="N435" t="s">
        <v>121</v>
      </c>
      <c r="O435" t="s">
        <v>3781</v>
      </c>
      <c r="P435" s="5" t="s">
        <v>3318</v>
      </c>
      <c r="Q435">
        <v>3</v>
      </c>
    </row>
    <row r="436" spans="1:17" x14ac:dyDescent="0.3">
      <c r="A436" s="4">
        <v>44623</v>
      </c>
      <c r="B436" t="s">
        <v>3949</v>
      </c>
      <c r="C436" t="s">
        <v>3950</v>
      </c>
      <c r="D436" s="77">
        <v>0.59791666666666665</v>
      </c>
      <c r="E436" t="s">
        <v>3314</v>
      </c>
      <c r="F436">
        <v>42</v>
      </c>
      <c r="G436" t="s">
        <v>3315</v>
      </c>
      <c r="H436">
        <v>20000</v>
      </c>
      <c r="I436" t="s">
        <v>3316</v>
      </c>
      <c r="J436">
        <v>20000</v>
      </c>
      <c r="K436">
        <v>90000</v>
      </c>
      <c r="L436" t="s">
        <v>114</v>
      </c>
      <c r="M436" t="s">
        <v>79</v>
      </c>
      <c r="N436" t="s">
        <v>131</v>
      </c>
      <c r="O436" t="s">
        <v>3465</v>
      </c>
      <c r="P436" s="5" t="s">
        <v>3318</v>
      </c>
      <c r="Q436">
        <v>4.5</v>
      </c>
    </row>
    <row r="437" spans="1:17" x14ac:dyDescent="0.3">
      <c r="A437" s="4">
        <v>44623</v>
      </c>
      <c r="B437" t="s">
        <v>3951</v>
      </c>
      <c r="C437" t="s">
        <v>3952</v>
      </c>
      <c r="D437" s="77">
        <v>0.60416666666666663</v>
      </c>
      <c r="E437" t="s">
        <v>3314</v>
      </c>
      <c r="F437">
        <v>70</v>
      </c>
      <c r="G437" t="s">
        <v>3315</v>
      </c>
      <c r="H437">
        <v>20000</v>
      </c>
      <c r="I437" t="s">
        <v>3316</v>
      </c>
      <c r="J437">
        <v>20000</v>
      </c>
      <c r="K437">
        <v>90000</v>
      </c>
      <c r="L437" t="s">
        <v>114</v>
      </c>
      <c r="M437" t="s">
        <v>30</v>
      </c>
      <c r="N437" t="s">
        <v>106</v>
      </c>
      <c r="O437" t="s">
        <v>3379</v>
      </c>
      <c r="P437" s="5" t="s">
        <v>3318</v>
      </c>
      <c r="Q437">
        <v>4.5</v>
      </c>
    </row>
    <row r="438" spans="1:17" x14ac:dyDescent="0.3">
      <c r="A438" s="4">
        <v>44623</v>
      </c>
      <c r="B438" t="s">
        <v>3953</v>
      </c>
      <c r="C438" t="s">
        <v>3480</v>
      </c>
      <c r="D438" s="77">
        <v>0.60416666666666663</v>
      </c>
      <c r="E438" t="s">
        <v>3314</v>
      </c>
      <c r="F438">
        <v>40</v>
      </c>
      <c r="G438" t="s">
        <v>3315</v>
      </c>
      <c r="H438">
        <v>20000</v>
      </c>
      <c r="I438" t="s">
        <v>3834</v>
      </c>
      <c r="J438">
        <v>20000</v>
      </c>
      <c r="K438">
        <v>90000</v>
      </c>
      <c r="L438" t="s">
        <v>119</v>
      </c>
      <c r="M438" t="s">
        <v>29</v>
      </c>
      <c r="N438" t="s">
        <v>104</v>
      </c>
      <c r="O438" t="s">
        <v>3457</v>
      </c>
      <c r="P438" s="5" t="s">
        <v>3318</v>
      </c>
      <c r="Q438">
        <v>4.5</v>
      </c>
    </row>
    <row r="439" spans="1:17" x14ac:dyDescent="0.3">
      <c r="A439" s="4">
        <v>44623</v>
      </c>
      <c r="B439" t="s">
        <v>3954</v>
      </c>
      <c r="C439" t="s">
        <v>3952</v>
      </c>
      <c r="D439" s="77">
        <v>0.60416666666666663</v>
      </c>
      <c r="E439" t="s">
        <v>3314</v>
      </c>
      <c r="F439">
        <v>26</v>
      </c>
      <c r="G439" t="s">
        <v>3315</v>
      </c>
      <c r="H439">
        <v>20000</v>
      </c>
      <c r="I439" t="s">
        <v>3834</v>
      </c>
      <c r="J439">
        <v>20000</v>
      </c>
      <c r="K439">
        <v>80000</v>
      </c>
      <c r="L439" t="s">
        <v>118</v>
      </c>
      <c r="M439" t="s">
        <v>90</v>
      </c>
      <c r="N439" t="s">
        <v>110</v>
      </c>
      <c r="O439" t="s">
        <v>3455</v>
      </c>
      <c r="P439" s="5" t="s">
        <v>3318</v>
      </c>
      <c r="Q439">
        <v>4</v>
      </c>
    </row>
    <row r="440" spans="1:17" x14ac:dyDescent="0.3">
      <c r="A440" s="4">
        <v>44623</v>
      </c>
      <c r="B440" t="s">
        <v>3955</v>
      </c>
      <c r="C440" t="s">
        <v>3802</v>
      </c>
      <c r="D440" s="77">
        <v>0.61388888888888882</v>
      </c>
      <c r="E440" t="s">
        <v>3314</v>
      </c>
      <c r="F440">
        <v>38</v>
      </c>
      <c r="G440" t="s">
        <v>3315</v>
      </c>
      <c r="H440">
        <v>30000</v>
      </c>
      <c r="I440" t="s">
        <v>3834</v>
      </c>
      <c r="J440">
        <v>30000</v>
      </c>
      <c r="K440">
        <v>135000</v>
      </c>
      <c r="L440" t="s">
        <v>119</v>
      </c>
      <c r="M440" t="s">
        <v>27</v>
      </c>
      <c r="N440" t="s">
        <v>101</v>
      </c>
      <c r="O440" t="s">
        <v>3803</v>
      </c>
      <c r="P440" s="5" t="s">
        <v>3318</v>
      </c>
      <c r="Q440">
        <v>4.5</v>
      </c>
    </row>
    <row r="441" spans="1:17" x14ac:dyDescent="0.3">
      <c r="A441" s="4">
        <v>44623</v>
      </c>
      <c r="B441" t="s">
        <v>3956</v>
      </c>
      <c r="C441" t="s">
        <v>3671</v>
      </c>
      <c r="D441" s="77">
        <v>0.61458333333333337</v>
      </c>
      <c r="E441" t="s">
        <v>3314</v>
      </c>
      <c r="F441">
        <v>27</v>
      </c>
      <c r="G441" t="s">
        <v>3315</v>
      </c>
      <c r="H441">
        <v>30000</v>
      </c>
      <c r="I441" t="s">
        <v>3834</v>
      </c>
      <c r="J441">
        <v>30000</v>
      </c>
      <c r="K441">
        <v>135000</v>
      </c>
      <c r="L441" t="s">
        <v>114</v>
      </c>
      <c r="M441" t="s">
        <v>31</v>
      </c>
      <c r="N441" t="s">
        <v>105</v>
      </c>
      <c r="O441" t="s">
        <v>3339</v>
      </c>
      <c r="P441" s="5" t="s">
        <v>3318</v>
      </c>
      <c r="Q441">
        <v>4.5</v>
      </c>
    </row>
    <row r="442" spans="1:17" x14ac:dyDescent="0.3">
      <c r="A442" s="4">
        <v>44623</v>
      </c>
      <c r="B442" t="s">
        <v>3957</v>
      </c>
      <c r="C442" t="s">
        <v>3671</v>
      </c>
      <c r="D442" s="77">
        <v>0.61805555555555558</v>
      </c>
      <c r="E442" t="s">
        <v>3314</v>
      </c>
      <c r="F442">
        <v>39</v>
      </c>
      <c r="G442" t="s">
        <v>3315</v>
      </c>
      <c r="H442">
        <v>20000</v>
      </c>
      <c r="I442" t="s">
        <v>3316</v>
      </c>
      <c r="J442">
        <v>20000</v>
      </c>
      <c r="K442">
        <v>60000</v>
      </c>
      <c r="L442" t="s">
        <v>149</v>
      </c>
      <c r="M442" t="s">
        <v>2845</v>
      </c>
      <c r="N442" t="s">
        <v>2847</v>
      </c>
      <c r="O442" t="s">
        <v>3361</v>
      </c>
      <c r="P442" s="5" t="s">
        <v>3318</v>
      </c>
      <c r="Q442">
        <v>3</v>
      </c>
    </row>
    <row r="443" spans="1:17" x14ac:dyDescent="0.3">
      <c r="A443" s="4">
        <v>44623</v>
      </c>
      <c r="B443" t="s">
        <v>3958</v>
      </c>
      <c r="C443" t="s">
        <v>3959</v>
      </c>
      <c r="D443" s="77">
        <v>0.625</v>
      </c>
      <c r="E443" t="s">
        <v>3314</v>
      </c>
      <c r="F443">
        <v>50</v>
      </c>
      <c r="G443" t="s">
        <v>3315</v>
      </c>
      <c r="H443">
        <v>20000</v>
      </c>
      <c r="I443" t="s">
        <v>3316</v>
      </c>
      <c r="J443">
        <v>20000</v>
      </c>
      <c r="K443">
        <v>80000</v>
      </c>
      <c r="L443" t="s">
        <v>118</v>
      </c>
      <c r="M443" t="s">
        <v>28</v>
      </c>
      <c r="N443" t="s">
        <v>132</v>
      </c>
      <c r="O443" t="s">
        <v>3449</v>
      </c>
      <c r="P443" s="5" t="s">
        <v>3318</v>
      </c>
      <c r="Q443">
        <v>4</v>
      </c>
    </row>
    <row r="444" spans="1:17" x14ac:dyDescent="0.3">
      <c r="A444" s="4">
        <v>44623</v>
      </c>
      <c r="B444" t="s">
        <v>3960</v>
      </c>
      <c r="C444" t="s">
        <v>3610</v>
      </c>
      <c r="D444" s="77">
        <v>0.62569444444444444</v>
      </c>
      <c r="E444" t="s">
        <v>3314</v>
      </c>
      <c r="F444">
        <v>60</v>
      </c>
      <c r="G444" t="s">
        <v>3315</v>
      </c>
      <c r="H444">
        <v>20000</v>
      </c>
      <c r="I444" t="s">
        <v>3316</v>
      </c>
      <c r="J444">
        <v>20000</v>
      </c>
      <c r="K444">
        <v>90000</v>
      </c>
      <c r="L444" t="s">
        <v>116</v>
      </c>
      <c r="M444" t="s">
        <v>65</v>
      </c>
      <c r="N444" t="s">
        <v>102</v>
      </c>
      <c r="O444" t="s">
        <v>3506</v>
      </c>
      <c r="P444" s="5" t="s">
        <v>3318</v>
      </c>
      <c r="Q444">
        <v>4.5</v>
      </c>
    </row>
    <row r="445" spans="1:17" x14ac:dyDescent="0.3">
      <c r="A445" s="4">
        <v>44623</v>
      </c>
      <c r="B445" t="s">
        <v>3961</v>
      </c>
      <c r="C445" t="s">
        <v>3671</v>
      </c>
      <c r="D445" s="77">
        <v>0.63194444444444442</v>
      </c>
      <c r="E445" t="s">
        <v>3314</v>
      </c>
      <c r="F445">
        <v>40</v>
      </c>
      <c r="G445" t="s">
        <v>3315</v>
      </c>
      <c r="H445">
        <v>30000</v>
      </c>
      <c r="I445" t="s">
        <v>3316</v>
      </c>
      <c r="J445">
        <v>30000</v>
      </c>
      <c r="K445">
        <v>135000</v>
      </c>
      <c r="L445" t="s">
        <v>114</v>
      </c>
      <c r="M445" t="s">
        <v>31</v>
      </c>
      <c r="N445" t="s">
        <v>105</v>
      </c>
      <c r="O445" t="s">
        <v>3339</v>
      </c>
      <c r="P445" s="5" t="s">
        <v>3318</v>
      </c>
      <c r="Q445">
        <v>4.5</v>
      </c>
    </row>
    <row r="446" spans="1:17" x14ac:dyDescent="0.3">
      <c r="A446" s="4">
        <v>44623</v>
      </c>
      <c r="B446" t="s">
        <v>3962</v>
      </c>
      <c r="C446" t="s">
        <v>3963</v>
      </c>
      <c r="D446" s="77">
        <v>0.6333333333333333</v>
      </c>
      <c r="E446" t="s">
        <v>3314</v>
      </c>
      <c r="F446">
        <v>55</v>
      </c>
      <c r="G446" t="s">
        <v>3315</v>
      </c>
      <c r="H446">
        <v>20000</v>
      </c>
      <c r="I446" t="s">
        <v>3316</v>
      </c>
      <c r="J446">
        <v>20000</v>
      </c>
      <c r="K446">
        <v>80000</v>
      </c>
      <c r="L446" t="s">
        <v>118</v>
      </c>
      <c r="M446" t="s">
        <v>3023</v>
      </c>
      <c r="N446" t="s">
        <v>3025</v>
      </c>
      <c r="O446" t="s">
        <v>3481</v>
      </c>
      <c r="P446" s="5" t="s">
        <v>3318</v>
      </c>
      <c r="Q446">
        <v>4</v>
      </c>
    </row>
    <row r="447" spans="1:17" x14ac:dyDescent="0.3">
      <c r="A447" s="4">
        <v>44623</v>
      </c>
      <c r="B447" t="s">
        <v>3964</v>
      </c>
      <c r="C447" t="s">
        <v>3965</v>
      </c>
      <c r="D447" s="77">
        <v>0.64027777777777783</v>
      </c>
      <c r="E447" t="s">
        <v>3332</v>
      </c>
      <c r="F447">
        <v>29</v>
      </c>
      <c r="G447" t="s">
        <v>3315</v>
      </c>
      <c r="H447">
        <v>30000</v>
      </c>
      <c r="I447" t="s">
        <v>3316</v>
      </c>
      <c r="J447">
        <v>30000</v>
      </c>
      <c r="K447">
        <v>120000</v>
      </c>
      <c r="L447" t="s">
        <v>118</v>
      </c>
      <c r="M447" t="s">
        <v>147</v>
      </c>
      <c r="N447" t="s">
        <v>148</v>
      </c>
      <c r="O447" t="s">
        <v>3354</v>
      </c>
      <c r="P447" s="5" t="s">
        <v>3318</v>
      </c>
      <c r="Q447">
        <v>4</v>
      </c>
    </row>
    <row r="448" spans="1:17" x14ac:dyDescent="0.3">
      <c r="A448" s="4">
        <v>44623</v>
      </c>
      <c r="B448" t="s">
        <v>3966</v>
      </c>
      <c r="C448" t="s">
        <v>3610</v>
      </c>
      <c r="D448" s="77">
        <v>0.64166666666666672</v>
      </c>
      <c r="E448" t="s">
        <v>3314</v>
      </c>
      <c r="F448">
        <v>49</v>
      </c>
      <c r="G448" t="s">
        <v>3344</v>
      </c>
      <c r="H448">
        <v>20000</v>
      </c>
      <c r="I448" t="s">
        <v>3344</v>
      </c>
      <c r="J448">
        <v>20000</v>
      </c>
      <c r="K448">
        <v>60000</v>
      </c>
      <c r="L448" t="s">
        <v>149</v>
      </c>
      <c r="M448" t="s">
        <v>93</v>
      </c>
      <c r="N448" t="s">
        <v>121</v>
      </c>
      <c r="O448" t="s">
        <v>3781</v>
      </c>
      <c r="P448" s="5" t="s">
        <v>3318</v>
      </c>
      <c r="Q448">
        <v>3</v>
      </c>
    </row>
    <row r="449" spans="1:17" x14ac:dyDescent="0.3">
      <c r="A449" s="4">
        <v>44623</v>
      </c>
      <c r="B449" t="s">
        <v>3967</v>
      </c>
      <c r="C449" t="s">
        <v>3968</v>
      </c>
      <c r="D449" s="77">
        <v>0.64930555555555558</v>
      </c>
      <c r="E449" t="s">
        <v>3314</v>
      </c>
      <c r="F449">
        <v>57</v>
      </c>
      <c r="G449" t="s">
        <v>3315</v>
      </c>
      <c r="H449">
        <v>30000</v>
      </c>
      <c r="I449" t="s">
        <v>3316</v>
      </c>
      <c r="J449">
        <v>30000</v>
      </c>
      <c r="K449">
        <v>120000</v>
      </c>
      <c r="L449" t="s">
        <v>118</v>
      </c>
      <c r="M449" t="s">
        <v>24</v>
      </c>
      <c r="N449" t="s">
        <v>103</v>
      </c>
      <c r="O449" t="s">
        <v>3585</v>
      </c>
      <c r="P449" s="5" t="s">
        <v>3318</v>
      </c>
      <c r="Q449">
        <v>4</v>
      </c>
    </row>
    <row r="450" spans="1:17" x14ac:dyDescent="0.3">
      <c r="A450" s="4">
        <v>44623</v>
      </c>
      <c r="B450" t="s">
        <v>3969</v>
      </c>
      <c r="C450" t="s">
        <v>3965</v>
      </c>
      <c r="D450" s="77">
        <v>0.65763888888888888</v>
      </c>
      <c r="E450" t="s">
        <v>3332</v>
      </c>
      <c r="F450">
        <v>26</v>
      </c>
      <c r="G450" t="s">
        <v>3315</v>
      </c>
      <c r="H450">
        <v>20000</v>
      </c>
      <c r="I450" t="s">
        <v>3316</v>
      </c>
      <c r="J450">
        <v>20000</v>
      </c>
      <c r="K450">
        <v>80000</v>
      </c>
      <c r="L450" t="s">
        <v>118</v>
      </c>
      <c r="M450" t="s">
        <v>147</v>
      </c>
      <c r="N450" t="s">
        <v>148</v>
      </c>
      <c r="O450" t="s">
        <v>3354</v>
      </c>
      <c r="P450" s="5" t="s">
        <v>3318</v>
      </c>
      <c r="Q450">
        <v>4</v>
      </c>
    </row>
    <row r="451" spans="1:17" x14ac:dyDescent="0.3">
      <c r="A451" s="4">
        <v>44623</v>
      </c>
      <c r="B451" t="s">
        <v>3970</v>
      </c>
      <c r="C451" t="s">
        <v>3480</v>
      </c>
      <c r="D451" s="77">
        <v>0.66319444444444442</v>
      </c>
      <c r="E451" t="s">
        <v>3314</v>
      </c>
      <c r="F451">
        <v>55</v>
      </c>
      <c r="G451" t="s">
        <v>3315</v>
      </c>
      <c r="H451">
        <v>20000</v>
      </c>
      <c r="I451" t="s">
        <v>3316</v>
      </c>
      <c r="J451">
        <v>20000</v>
      </c>
      <c r="K451">
        <v>20000</v>
      </c>
      <c r="L451" t="s">
        <v>124</v>
      </c>
      <c r="M451" t="s">
        <v>96</v>
      </c>
      <c r="N451" t="s">
        <v>140</v>
      </c>
      <c r="O451" t="s">
        <v>3971</v>
      </c>
      <c r="P451" s="5" t="s">
        <v>3318</v>
      </c>
      <c r="Q451">
        <v>1</v>
      </c>
    </row>
    <row r="452" spans="1:17" x14ac:dyDescent="0.3">
      <c r="A452" s="4">
        <v>44623</v>
      </c>
      <c r="B452" t="s">
        <v>3972</v>
      </c>
      <c r="C452" t="s">
        <v>3802</v>
      </c>
      <c r="D452" s="77">
        <v>0.66666666666666663</v>
      </c>
      <c r="E452" t="s">
        <v>3314</v>
      </c>
      <c r="F452">
        <v>39</v>
      </c>
      <c r="G452" t="s">
        <v>3315</v>
      </c>
      <c r="H452">
        <v>20000</v>
      </c>
      <c r="I452" t="s">
        <v>3316</v>
      </c>
      <c r="J452">
        <v>20000</v>
      </c>
      <c r="K452">
        <v>90000</v>
      </c>
      <c r="L452" t="s">
        <v>119</v>
      </c>
      <c r="M452" t="s">
        <v>27</v>
      </c>
      <c r="N452" t="s">
        <v>101</v>
      </c>
      <c r="O452" t="s">
        <v>3803</v>
      </c>
      <c r="P452" s="5" t="s">
        <v>3318</v>
      </c>
      <c r="Q452">
        <v>4.5</v>
      </c>
    </row>
    <row r="453" spans="1:17" x14ac:dyDescent="0.3">
      <c r="A453" s="4">
        <v>44623</v>
      </c>
      <c r="B453" t="s">
        <v>3973</v>
      </c>
      <c r="C453" t="s">
        <v>3384</v>
      </c>
      <c r="D453" s="77">
        <v>0.66666666666666663</v>
      </c>
      <c r="E453" t="s">
        <v>3314</v>
      </c>
      <c r="F453">
        <v>33</v>
      </c>
      <c r="G453" t="s">
        <v>3315</v>
      </c>
      <c r="H453">
        <v>20000</v>
      </c>
      <c r="I453" t="s">
        <v>3834</v>
      </c>
      <c r="J453">
        <v>20000</v>
      </c>
      <c r="K453">
        <v>80000</v>
      </c>
      <c r="L453" t="s">
        <v>118</v>
      </c>
      <c r="M453" t="s">
        <v>85</v>
      </c>
      <c r="N453" t="s">
        <v>109</v>
      </c>
      <c r="O453" t="s">
        <v>3342</v>
      </c>
      <c r="P453" s="5" t="s">
        <v>3318</v>
      </c>
      <c r="Q453">
        <v>4</v>
      </c>
    </row>
    <row r="454" spans="1:17" x14ac:dyDescent="0.3">
      <c r="A454" s="4">
        <v>44623</v>
      </c>
      <c r="B454" t="s">
        <v>3974</v>
      </c>
      <c r="C454" t="s">
        <v>3936</v>
      </c>
      <c r="D454" s="77">
        <v>0.67083333333333339</v>
      </c>
      <c r="E454" t="s">
        <v>3314</v>
      </c>
      <c r="F454">
        <v>46</v>
      </c>
      <c r="G454" t="s">
        <v>3315</v>
      </c>
      <c r="H454">
        <v>20000</v>
      </c>
      <c r="I454" t="s">
        <v>3316</v>
      </c>
      <c r="J454">
        <v>20000</v>
      </c>
      <c r="K454">
        <v>90000</v>
      </c>
      <c r="L454" t="s">
        <v>116</v>
      </c>
      <c r="M454" t="s">
        <v>78</v>
      </c>
      <c r="N454" t="s">
        <v>100</v>
      </c>
      <c r="O454" t="s">
        <v>3629</v>
      </c>
      <c r="P454" s="5" t="s">
        <v>3318</v>
      </c>
      <c r="Q454">
        <v>4.5</v>
      </c>
    </row>
    <row r="455" spans="1:17" x14ac:dyDescent="0.3">
      <c r="A455" s="4">
        <v>44623</v>
      </c>
      <c r="B455" t="s">
        <v>3975</v>
      </c>
      <c r="C455" t="s">
        <v>3512</v>
      </c>
      <c r="D455" s="77">
        <v>0.67361111111111116</v>
      </c>
      <c r="E455" t="s">
        <v>3332</v>
      </c>
      <c r="F455">
        <v>62</v>
      </c>
      <c r="G455" t="s">
        <v>3315</v>
      </c>
      <c r="H455">
        <v>20000</v>
      </c>
      <c r="I455" t="s">
        <v>3834</v>
      </c>
      <c r="J455">
        <v>20000</v>
      </c>
      <c r="K455">
        <v>100000</v>
      </c>
      <c r="L455" t="s">
        <v>114</v>
      </c>
      <c r="M455" t="s">
        <v>23</v>
      </c>
      <c r="N455" t="s">
        <v>99</v>
      </c>
      <c r="O455" t="s">
        <v>3358</v>
      </c>
      <c r="P455" s="5" t="s">
        <v>3318</v>
      </c>
      <c r="Q455">
        <v>5</v>
      </c>
    </row>
    <row r="456" spans="1:17" x14ac:dyDescent="0.3">
      <c r="A456" s="4">
        <v>44623</v>
      </c>
      <c r="B456" t="s">
        <v>3976</v>
      </c>
      <c r="C456" t="s">
        <v>3480</v>
      </c>
      <c r="D456" s="77">
        <v>0.67499999999999993</v>
      </c>
      <c r="E456" t="s">
        <v>3314</v>
      </c>
      <c r="F456">
        <v>63</v>
      </c>
      <c r="G456" t="s">
        <v>3315</v>
      </c>
      <c r="H456">
        <v>20000</v>
      </c>
      <c r="I456" t="s">
        <v>3316</v>
      </c>
      <c r="J456">
        <v>20000</v>
      </c>
      <c r="K456">
        <v>80000</v>
      </c>
      <c r="L456" t="s">
        <v>118</v>
      </c>
      <c r="M456" t="s">
        <v>3033</v>
      </c>
      <c r="N456" t="s">
        <v>3035</v>
      </c>
      <c r="O456" t="s">
        <v>3542</v>
      </c>
      <c r="P456" s="5" t="s">
        <v>3318</v>
      </c>
      <c r="Q456">
        <v>4</v>
      </c>
    </row>
    <row r="457" spans="1:17" x14ac:dyDescent="0.3">
      <c r="A457" s="4">
        <v>44623</v>
      </c>
      <c r="B457" t="s">
        <v>3977</v>
      </c>
      <c r="C457" t="s">
        <v>3512</v>
      </c>
      <c r="D457" s="77">
        <v>0.70138888888888884</v>
      </c>
      <c r="E457" t="s">
        <v>3332</v>
      </c>
      <c r="F457">
        <v>56</v>
      </c>
      <c r="G457" t="s">
        <v>3315</v>
      </c>
      <c r="H457">
        <v>20000</v>
      </c>
      <c r="I457" t="s">
        <v>3834</v>
      </c>
      <c r="J457">
        <v>20000</v>
      </c>
      <c r="K457">
        <v>80000</v>
      </c>
      <c r="L457" t="s">
        <v>118</v>
      </c>
      <c r="M457" t="s">
        <v>812</v>
      </c>
      <c r="N457" t="s">
        <v>814</v>
      </c>
      <c r="O457" t="s">
        <v>3412</v>
      </c>
      <c r="P457" s="5" t="s">
        <v>3318</v>
      </c>
      <c r="Q457">
        <v>4</v>
      </c>
    </row>
    <row r="458" spans="1:17" x14ac:dyDescent="0.3">
      <c r="A458" s="4">
        <v>44623</v>
      </c>
      <c r="B458" t="s">
        <v>3978</v>
      </c>
      <c r="C458" t="s">
        <v>3610</v>
      </c>
      <c r="D458" s="77">
        <v>0.70416666666666661</v>
      </c>
      <c r="E458" t="s">
        <v>3314</v>
      </c>
      <c r="F458">
        <v>56</v>
      </c>
      <c r="G458" t="s">
        <v>3315</v>
      </c>
      <c r="H458">
        <v>20000</v>
      </c>
      <c r="I458" t="s">
        <v>3316</v>
      </c>
      <c r="J458">
        <v>20000</v>
      </c>
      <c r="K458">
        <v>80000</v>
      </c>
      <c r="L458" t="s">
        <v>118</v>
      </c>
      <c r="M458" t="s">
        <v>86</v>
      </c>
      <c r="N458" t="s">
        <v>120</v>
      </c>
      <c r="O458" t="s">
        <v>3446</v>
      </c>
      <c r="P458" s="5" t="s">
        <v>3318</v>
      </c>
      <c r="Q458">
        <v>4</v>
      </c>
    </row>
    <row r="459" spans="1:17" x14ac:dyDescent="0.3">
      <c r="A459" s="4">
        <v>44623</v>
      </c>
      <c r="B459" t="s">
        <v>3979</v>
      </c>
      <c r="C459" t="s">
        <v>3952</v>
      </c>
      <c r="D459" s="77">
        <v>0.70694444444444438</v>
      </c>
      <c r="E459" t="s">
        <v>3314</v>
      </c>
      <c r="F459">
        <v>56</v>
      </c>
      <c r="G459" t="s">
        <v>3315</v>
      </c>
      <c r="H459">
        <v>30000</v>
      </c>
      <c r="I459" t="s">
        <v>3316</v>
      </c>
      <c r="J459">
        <v>30000</v>
      </c>
      <c r="K459">
        <v>135000</v>
      </c>
      <c r="L459" t="s">
        <v>114</v>
      </c>
      <c r="M459" t="s">
        <v>30</v>
      </c>
      <c r="N459" t="s">
        <v>106</v>
      </c>
      <c r="O459" t="s">
        <v>3379</v>
      </c>
      <c r="P459" s="5" t="s">
        <v>3318</v>
      </c>
      <c r="Q459">
        <v>4.5</v>
      </c>
    </row>
    <row r="460" spans="1:17" x14ac:dyDescent="0.3">
      <c r="A460" s="4">
        <v>44623</v>
      </c>
      <c r="B460" t="s">
        <v>3980</v>
      </c>
      <c r="C460" t="s">
        <v>3959</v>
      </c>
      <c r="D460" s="77">
        <v>0.70833333333333337</v>
      </c>
      <c r="E460" t="s">
        <v>3314</v>
      </c>
      <c r="F460">
        <v>56</v>
      </c>
      <c r="G460" t="s">
        <v>3315</v>
      </c>
      <c r="H460">
        <v>20000</v>
      </c>
      <c r="I460" t="s">
        <v>3316</v>
      </c>
      <c r="J460">
        <v>20000</v>
      </c>
      <c r="K460">
        <v>80000</v>
      </c>
      <c r="L460" t="s">
        <v>118</v>
      </c>
      <c r="M460" t="s">
        <v>28</v>
      </c>
      <c r="N460" t="s">
        <v>132</v>
      </c>
      <c r="O460" t="s">
        <v>3449</v>
      </c>
      <c r="P460" s="5" t="s">
        <v>3318</v>
      </c>
      <c r="Q460">
        <v>4</v>
      </c>
    </row>
    <row r="461" spans="1:17" x14ac:dyDescent="0.3">
      <c r="A461" s="4">
        <v>44623</v>
      </c>
      <c r="B461" t="s">
        <v>3981</v>
      </c>
      <c r="C461" t="s">
        <v>3959</v>
      </c>
      <c r="D461" s="77">
        <v>0.71944444444444444</v>
      </c>
      <c r="E461" t="s">
        <v>3314</v>
      </c>
      <c r="F461">
        <v>51</v>
      </c>
      <c r="G461" t="s">
        <v>3315</v>
      </c>
      <c r="H461">
        <v>20000</v>
      </c>
      <c r="I461" t="s">
        <v>3316</v>
      </c>
      <c r="J461">
        <v>20000</v>
      </c>
      <c r="K461">
        <v>80000</v>
      </c>
      <c r="L461" t="s">
        <v>118</v>
      </c>
      <c r="M461" t="s">
        <v>28</v>
      </c>
      <c r="N461" t="s">
        <v>132</v>
      </c>
      <c r="O461" t="s">
        <v>3449</v>
      </c>
      <c r="P461" s="5" t="s">
        <v>3318</v>
      </c>
      <c r="Q461">
        <v>4</v>
      </c>
    </row>
    <row r="462" spans="1:17" x14ac:dyDescent="0.3">
      <c r="A462" s="4">
        <v>44623</v>
      </c>
      <c r="B462" t="s">
        <v>3982</v>
      </c>
      <c r="C462" t="s">
        <v>3965</v>
      </c>
      <c r="D462" s="77">
        <v>0.72222222222222221</v>
      </c>
      <c r="E462" t="s">
        <v>3332</v>
      </c>
      <c r="F462">
        <v>29</v>
      </c>
      <c r="G462" t="s">
        <v>3315</v>
      </c>
      <c r="H462">
        <v>20000</v>
      </c>
      <c r="I462" t="s">
        <v>3834</v>
      </c>
      <c r="J462">
        <v>20000</v>
      </c>
      <c r="K462">
        <v>100000</v>
      </c>
      <c r="L462" t="s">
        <v>116</v>
      </c>
      <c r="M462" t="s">
        <v>111</v>
      </c>
      <c r="N462" t="s">
        <v>112</v>
      </c>
      <c r="O462" t="s">
        <v>3345</v>
      </c>
      <c r="P462" s="5" t="s">
        <v>3318</v>
      </c>
      <c r="Q462">
        <v>5</v>
      </c>
    </row>
    <row r="463" spans="1:17" x14ac:dyDescent="0.3">
      <c r="A463" s="4">
        <v>44623</v>
      </c>
      <c r="B463" t="s">
        <v>3983</v>
      </c>
      <c r="C463" t="s">
        <v>3802</v>
      </c>
      <c r="D463" s="77">
        <v>0.72361111111111109</v>
      </c>
      <c r="E463" t="s">
        <v>3314</v>
      </c>
      <c r="F463">
        <v>43</v>
      </c>
      <c r="G463" t="s">
        <v>3315</v>
      </c>
      <c r="H463">
        <v>30000</v>
      </c>
      <c r="I463" t="s">
        <v>3316</v>
      </c>
      <c r="J463">
        <v>30000</v>
      </c>
      <c r="K463">
        <v>135000</v>
      </c>
      <c r="L463" t="s">
        <v>113</v>
      </c>
      <c r="M463" t="s">
        <v>22</v>
      </c>
      <c r="N463" t="s">
        <v>98</v>
      </c>
      <c r="O463" t="s">
        <v>3437</v>
      </c>
      <c r="P463" s="5" t="s">
        <v>3318</v>
      </c>
      <c r="Q463">
        <v>4.5</v>
      </c>
    </row>
    <row r="464" spans="1:17" x14ac:dyDescent="0.3">
      <c r="A464" s="4">
        <v>44623</v>
      </c>
      <c r="B464" t="s">
        <v>3984</v>
      </c>
      <c r="C464" t="s">
        <v>3959</v>
      </c>
      <c r="D464" s="77">
        <v>0.72916666666666663</v>
      </c>
      <c r="E464" t="s">
        <v>3314</v>
      </c>
      <c r="F464">
        <v>58</v>
      </c>
      <c r="G464" t="s">
        <v>3315</v>
      </c>
      <c r="H464">
        <v>30000</v>
      </c>
      <c r="I464" t="s">
        <v>3316</v>
      </c>
      <c r="J464">
        <v>30000</v>
      </c>
      <c r="K464">
        <v>120000</v>
      </c>
      <c r="L464" t="s">
        <v>118</v>
      </c>
      <c r="M464" t="s">
        <v>28</v>
      </c>
      <c r="N464" t="s">
        <v>132</v>
      </c>
      <c r="O464" t="s">
        <v>3449</v>
      </c>
      <c r="P464" s="5" t="s">
        <v>3318</v>
      </c>
      <c r="Q464">
        <v>4</v>
      </c>
    </row>
    <row r="465" spans="1:17" x14ac:dyDescent="0.3">
      <c r="A465" s="4">
        <v>44623</v>
      </c>
      <c r="B465" t="s">
        <v>3985</v>
      </c>
      <c r="C465" t="s">
        <v>3384</v>
      </c>
      <c r="D465" s="77">
        <v>0.74861111111111101</v>
      </c>
      <c r="E465" t="s">
        <v>3314</v>
      </c>
      <c r="F465">
        <v>72</v>
      </c>
      <c r="G465" t="s">
        <v>3315</v>
      </c>
      <c r="H465">
        <v>20000</v>
      </c>
      <c r="I465" t="s">
        <v>3834</v>
      </c>
      <c r="J465">
        <v>20000</v>
      </c>
      <c r="K465">
        <v>80000</v>
      </c>
      <c r="L465" t="s">
        <v>118</v>
      </c>
      <c r="M465" t="s">
        <v>91</v>
      </c>
      <c r="N465" t="s">
        <v>136</v>
      </c>
      <c r="O465" t="s">
        <v>3422</v>
      </c>
      <c r="P465" s="5" t="s">
        <v>3318</v>
      </c>
      <c r="Q465">
        <v>4</v>
      </c>
    </row>
    <row r="466" spans="1:17" x14ac:dyDescent="0.3">
      <c r="A466" s="4">
        <v>44623</v>
      </c>
      <c r="B466" t="s">
        <v>3986</v>
      </c>
      <c r="C466" t="s">
        <v>3802</v>
      </c>
      <c r="D466" s="77">
        <v>0.74861111111111101</v>
      </c>
      <c r="E466" t="s">
        <v>3314</v>
      </c>
      <c r="F466">
        <v>62</v>
      </c>
      <c r="G466" t="s">
        <v>3315</v>
      </c>
      <c r="H466">
        <v>30000</v>
      </c>
      <c r="I466" t="s">
        <v>3316</v>
      </c>
      <c r="J466">
        <v>30000</v>
      </c>
      <c r="K466">
        <v>135000</v>
      </c>
      <c r="L466" t="s">
        <v>113</v>
      </c>
      <c r="M466" t="s">
        <v>22</v>
      </c>
      <c r="N466" t="s">
        <v>98</v>
      </c>
      <c r="O466" t="s">
        <v>3437</v>
      </c>
      <c r="P466" s="5" t="s">
        <v>3318</v>
      </c>
      <c r="Q466">
        <v>4.5</v>
      </c>
    </row>
    <row r="467" spans="1:17" x14ac:dyDescent="0.3">
      <c r="A467" s="4">
        <v>44623</v>
      </c>
      <c r="B467" t="s">
        <v>3987</v>
      </c>
      <c r="C467" t="s">
        <v>3988</v>
      </c>
      <c r="D467" s="77">
        <v>0.76111111111111107</v>
      </c>
      <c r="E467" t="s">
        <v>3314</v>
      </c>
      <c r="F467">
        <v>30</v>
      </c>
      <c r="G467" t="s">
        <v>3315</v>
      </c>
      <c r="H467">
        <v>20000</v>
      </c>
      <c r="I467" t="s">
        <v>3316</v>
      </c>
      <c r="J467">
        <v>20000</v>
      </c>
      <c r="K467">
        <v>90000</v>
      </c>
      <c r="L467" t="s">
        <v>116</v>
      </c>
      <c r="M467" t="s">
        <v>76</v>
      </c>
      <c r="N467" t="s">
        <v>107</v>
      </c>
      <c r="O467" t="s">
        <v>3321</v>
      </c>
      <c r="P467" s="5" t="s">
        <v>3318</v>
      </c>
      <c r="Q467">
        <v>4.5</v>
      </c>
    </row>
    <row r="468" spans="1:17" x14ac:dyDescent="0.3">
      <c r="A468" s="4">
        <v>44623</v>
      </c>
      <c r="B468" t="s">
        <v>3989</v>
      </c>
      <c r="C468" t="s">
        <v>3671</v>
      </c>
      <c r="D468" s="77">
        <v>0.77083333333333337</v>
      </c>
      <c r="E468" t="s">
        <v>3314</v>
      </c>
      <c r="F468">
        <v>33</v>
      </c>
      <c r="G468" t="s">
        <v>3336</v>
      </c>
      <c r="H468">
        <v>30000</v>
      </c>
      <c r="I468" t="s">
        <v>3336</v>
      </c>
      <c r="J468">
        <v>30000</v>
      </c>
      <c r="K468">
        <v>135000</v>
      </c>
      <c r="L468" t="s">
        <v>114</v>
      </c>
      <c r="M468" t="s">
        <v>31</v>
      </c>
      <c r="N468" t="s">
        <v>105</v>
      </c>
      <c r="O468" t="s">
        <v>3339</v>
      </c>
      <c r="P468" s="5" t="s">
        <v>3318</v>
      </c>
      <c r="Q468">
        <v>4.5</v>
      </c>
    </row>
    <row r="469" spans="1:17" x14ac:dyDescent="0.3">
      <c r="A469" s="4">
        <v>44623</v>
      </c>
      <c r="B469" t="s">
        <v>3990</v>
      </c>
      <c r="C469" t="s">
        <v>3802</v>
      </c>
      <c r="D469" s="77">
        <v>0.77222222222222225</v>
      </c>
      <c r="E469" t="s">
        <v>3314</v>
      </c>
      <c r="F469">
        <v>39</v>
      </c>
      <c r="G469" t="s">
        <v>3315</v>
      </c>
      <c r="H469">
        <v>30000</v>
      </c>
      <c r="I469" t="s">
        <v>3316</v>
      </c>
      <c r="J469">
        <v>30000</v>
      </c>
      <c r="K469">
        <v>135000</v>
      </c>
      <c r="L469" t="s">
        <v>119</v>
      </c>
      <c r="M469" t="s">
        <v>27</v>
      </c>
      <c r="N469" t="s">
        <v>101</v>
      </c>
      <c r="O469" t="s">
        <v>3803</v>
      </c>
      <c r="P469" s="5" t="s">
        <v>3318</v>
      </c>
      <c r="Q469">
        <v>4.5</v>
      </c>
    </row>
    <row r="470" spans="1:17" x14ac:dyDescent="0.3">
      <c r="A470" s="4">
        <v>44623</v>
      </c>
      <c r="B470" t="s">
        <v>3991</v>
      </c>
      <c r="C470" t="s">
        <v>3965</v>
      </c>
      <c r="D470" s="77">
        <v>0.77777777777777779</v>
      </c>
      <c r="E470" t="s">
        <v>3332</v>
      </c>
      <c r="F470">
        <v>64</v>
      </c>
      <c r="G470" t="s">
        <v>3315</v>
      </c>
      <c r="H470">
        <v>30000</v>
      </c>
      <c r="I470" t="s">
        <v>3834</v>
      </c>
      <c r="J470">
        <v>30000</v>
      </c>
      <c r="K470">
        <v>150000</v>
      </c>
      <c r="L470" t="s">
        <v>116</v>
      </c>
      <c r="M470" t="s">
        <v>111</v>
      </c>
      <c r="N470" t="s">
        <v>112</v>
      </c>
      <c r="O470" t="s">
        <v>3345</v>
      </c>
      <c r="P470" s="5" t="s">
        <v>3318</v>
      </c>
      <c r="Q470">
        <v>5</v>
      </c>
    </row>
    <row r="471" spans="1:17" x14ac:dyDescent="0.3">
      <c r="A471" s="4">
        <v>44623</v>
      </c>
      <c r="B471" t="s">
        <v>3992</v>
      </c>
      <c r="C471" t="s">
        <v>3802</v>
      </c>
      <c r="D471" s="77">
        <v>0.77986111111111101</v>
      </c>
      <c r="E471" t="s">
        <v>3314</v>
      </c>
      <c r="F471">
        <v>40</v>
      </c>
      <c r="G471" t="s">
        <v>3315</v>
      </c>
      <c r="H471">
        <v>30000</v>
      </c>
      <c r="I471" t="s">
        <v>3316</v>
      </c>
      <c r="J471">
        <v>30000</v>
      </c>
      <c r="K471">
        <v>135000</v>
      </c>
      <c r="L471" t="s">
        <v>113</v>
      </c>
      <c r="M471" t="s">
        <v>22</v>
      </c>
      <c r="N471" t="s">
        <v>98</v>
      </c>
      <c r="O471" t="s">
        <v>3437</v>
      </c>
      <c r="P471" s="5" t="s">
        <v>3318</v>
      </c>
      <c r="Q471">
        <v>4.5</v>
      </c>
    </row>
    <row r="472" spans="1:17" x14ac:dyDescent="0.3">
      <c r="A472" s="4">
        <v>44623</v>
      </c>
      <c r="B472" t="s">
        <v>3993</v>
      </c>
      <c r="C472" t="s">
        <v>3671</v>
      </c>
      <c r="D472" s="77">
        <v>0.78680555555555554</v>
      </c>
      <c r="E472" t="s">
        <v>3314</v>
      </c>
      <c r="F472">
        <v>44</v>
      </c>
      <c r="G472" t="s">
        <v>3315</v>
      </c>
      <c r="H472">
        <v>20000</v>
      </c>
      <c r="I472" t="s">
        <v>3316</v>
      </c>
      <c r="J472">
        <v>20000</v>
      </c>
      <c r="K472">
        <v>60000</v>
      </c>
      <c r="L472" t="s">
        <v>149</v>
      </c>
      <c r="M472" t="s">
        <v>2845</v>
      </c>
      <c r="N472" t="s">
        <v>2847</v>
      </c>
      <c r="O472" t="s">
        <v>3361</v>
      </c>
      <c r="P472" s="5" t="s">
        <v>3318</v>
      </c>
      <c r="Q472">
        <v>3</v>
      </c>
    </row>
    <row r="473" spans="1:17" x14ac:dyDescent="0.3">
      <c r="A473" s="4">
        <v>44623</v>
      </c>
      <c r="B473" t="s">
        <v>3994</v>
      </c>
      <c r="C473" t="s">
        <v>3671</v>
      </c>
      <c r="D473" s="77">
        <v>0.79166666666666663</v>
      </c>
      <c r="E473" t="s">
        <v>3314</v>
      </c>
      <c r="F473">
        <v>60</v>
      </c>
      <c r="G473" t="s">
        <v>3889</v>
      </c>
      <c r="H473">
        <v>20000</v>
      </c>
      <c r="I473" t="s">
        <v>3889</v>
      </c>
      <c r="J473">
        <v>20000</v>
      </c>
      <c r="K473">
        <v>60000</v>
      </c>
      <c r="L473" t="s">
        <v>149</v>
      </c>
      <c r="M473" t="s">
        <v>2845</v>
      </c>
      <c r="N473" t="s">
        <v>2847</v>
      </c>
      <c r="O473" t="s">
        <v>3361</v>
      </c>
      <c r="P473" s="5" t="s">
        <v>3318</v>
      </c>
      <c r="Q473">
        <v>3</v>
      </c>
    </row>
    <row r="474" spans="1:17" x14ac:dyDescent="0.3">
      <c r="A474" s="4">
        <v>44623</v>
      </c>
      <c r="B474" t="s">
        <v>3995</v>
      </c>
      <c r="C474" t="s">
        <v>3802</v>
      </c>
      <c r="D474" s="77">
        <v>0.79513888888888884</v>
      </c>
      <c r="E474" t="s">
        <v>3314</v>
      </c>
      <c r="F474">
        <v>40</v>
      </c>
      <c r="G474" t="s">
        <v>3315</v>
      </c>
      <c r="H474">
        <v>30000</v>
      </c>
      <c r="I474" t="s">
        <v>3316</v>
      </c>
      <c r="J474">
        <v>30000</v>
      </c>
      <c r="K474">
        <v>135000</v>
      </c>
      <c r="L474" t="s">
        <v>119</v>
      </c>
      <c r="M474" t="s">
        <v>27</v>
      </c>
      <c r="N474" t="s">
        <v>101</v>
      </c>
      <c r="O474" t="s">
        <v>3803</v>
      </c>
      <c r="P474" s="5" t="s">
        <v>3318</v>
      </c>
      <c r="Q474">
        <v>4.5</v>
      </c>
    </row>
    <row r="475" spans="1:17" x14ac:dyDescent="0.3">
      <c r="A475" s="4">
        <v>44623</v>
      </c>
      <c r="B475" t="s">
        <v>3996</v>
      </c>
      <c r="C475" t="s">
        <v>3671</v>
      </c>
      <c r="D475" s="77">
        <v>0.79513888888888884</v>
      </c>
      <c r="E475" t="s">
        <v>3314</v>
      </c>
      <c r="F475">
        <v>36</v>
      </c>
      <c r="G475" t="s">
        <v>3315</v>
      </c>
      <c r="H475">
        <v>30000</v>
      </c>
      <c r="I475" t="s">
        <v>3316</v>
      </c>
      <c r="J475">
        <v>30000</v>
      </c>
      <c r="K475">
        <v>135000</v>
      </c>
      <c r="L475" t="s">
        <v>114</v>
      </c>
      <c r="M475" t="s">
        <v>31</v>
      </c>
      <c r="N475" t="s">
        <v>105</v>
      </c>
      <c r="O475" t="s">
        <v>3339</v>
      </c>
      <c r="P475" s="5" t="s">
        <v>3318</v>
      </c>
      <c r="Q475">
        <v>4.5</v>
      </c>
    </row>
    <row r="476" spans="1:17" x14ac:dyDescent="0.3">
      <c r="A476" s="4">
        <v>44623</v>
      </c>
      <c r="B476" t="s">
        <v>3997</v>
      </c>
      <c r="C476" t="s">
        <v>3790</v>
      </c>
      <c r="D476" s="77">
        <v>0.79583333333333339</v>
      </c>
      <c r="E476" t="s">
        <v>3314</v>
      </c>
      <c r="F476">
        <v>45</v>
      </c>
      <c r="G476" t="s">
        <v>3315</v>
      </c>
      <c r="H476">
        <v>20000</v>
      </c>
      <c r="I476" t="s">
        <v>3316</v>
      </c>
      <c r="J476">
        <v>20000</v>
      </c>
      <c r="K476">
        <v>80000</v>
      </c>
      <c r="L476" t="s">
        <v>118</v>
      </c>
      <c r="M476" t="s">
        <v>92</v>
      </c>
      <c r="N476" t="s">
        <v>137</v>
      </c>
      <c r="O476" t="s">
        <v>3476</v>
      </c>
      <c r="P476" s="5" t="s">
        <v>3318</v>
      </c>
      <c r="Q476">
        <v>4</v>
      </c>
    </row>
    <row r="477" spans="1:17" x14ac:dyDescent="0.3">
      <c r="A477" s="4">
        <v>44623</v>
      </c>
      <c r="B477" t="s">
        <v>3998</v>
      </c>
      <c r="C477" t="s">
        <v>3802</v>
      </c>
      <c r="D477" s="77">
        <v>0.80902777777777779</v>
      </c>
      <c r="E477" t="s">
        <v>3314</v>
      </c>
      <c r="F477">
        <v>57</v>
      </c>
      <c r="G477" t="s">
        <v>3315</v>
      </c>
      <c r="H477">
        <v>20000</v>
      </c>
      <c r="I477" t="s">
        <v>3316</v>
      </c>
      <c r="J477">
        <v>20000</v>
      </c>
      <c r="K477">
        <v>90000</v>
      </c>
      <c r="L477" t="s">
        <v>113</v>
      </c>
      <c r="M477" t="s">
        <v>22</v>
      </c>
      <c r="N477" t="s">
        <v>98</v>
      </c>
      <c r="O477" t="s">
        <v>3437</v>
      </c>
      <c r="P477" s="5" t="s">
        <v>3318</v>
      </c>
      <c r="Q477">
        <v>4.5</v>
      </c>
    </row>
    <row r="478" spans="1:17" x14ac:dyDescent="0.3">
      <c r="A478" s="4">
        <v>44623</v>
      </c>
      <c r="B478" t="s">
        <v>3999</v>
      </c>
      <c r="C478" t="s">
        <v>3790</v>
      </c>
      <c r="D478" s="77">
        <v>0.81319444444444444</v>
      </c>
      <c r="E478" t="s">
        <v>3314</v>
      </c>
      <c r="F478">
        <v>34</v>
      </c>
      <c r="G478" t="s">
        <v>3315</v>
      </c>
      <c r="H478">
        <v>20000</v>
      </c>
      <c r="I478" t="s">
        <v>3316</v>
      </c>
      <c r="J478">
        <v>20000</v>
      </c>
      <c r="K478">
        <v>80000</v>
      </c>
      <c r="L478" t="s">
        <v>118</v>
      </c>
      <c r="M478" t="s">
        <v>92</v>
      </c>
      <c r="N478" t="s">
        <v>137</v>
      </c>
      <c r="O478" t="s">
        <v>3476</v>
      </c>
      <c r="P478" s="5" t="s">
        <v>3318</v>
      </c>
      <c r="Q478">
        <v>4</v>
      </c>
    </row>
    <row r="479" spans="1:17" x14ac:dyDescent="0.3">
      <c r="A479" s="4">
        <v>44623</v>
      </c>
      <c r="B479" t="s">
        <v>4000</v>
      </c>
      <c r="C479" t="s">
        <v>3959</v>
      </c>
      <c r="D479" s="77">
        <v>0.83333333333333337</v>
      </c>
      <c r="E479" t="s">
        <v>3314</v>
      </c>
      <c r="F479">
        <v>29</v>
      </c>
      <c r="G479" t="s">
        <v>3315</v>
      </c>
      <c r="H479">
        <v>20000</v>
      </c>
      <c r="I479" t="s">
        <v>3316</v>
      </c>
      <c r="J479">
        <v>20000</v>
      </c>
      <c r="K479">
        <v>80000</v>
      </c>
      <c r="L479" t="s">
        <v>118</v>
      </c>
      <c r="M479" t="s">
        <v>28</v>
      </c>
      <c r="N479" t="s">
        <v>132</v>
      </c>
      <c r="O479" t="s">
        <v>3449</v>
      </c>
      <c r="P479" s="5" t="s">
        <v>3318</v>
      </c>
      <c r="Q479">
        <v>4</v>
      </c>
    </row>
    <row r="480" spans="1:17" x14ac:dyDescent="0.3">
      <c r="A480" s="4">
        <v>44623</v>
      </c>
      <c r="B480" t="s">
        <v>4001</v>
      </c>
      <c r="C480" t="s">
        <v>3802</v>
      </c>
      <c r="D480" s="77">
        <v>0.8520833333333333</v>
      </c>
      <c r="E480" t="s">
        <v>3314</v>
      </c>
      <c r="F480">
        <v>35</v>
      </c>
      <c r="G480" t="s">
        <v>3315</v>
      </c>
      <c r="H480">
        <v>30000</v>
      </c>
      <c r="I480" t="s">
        <v>3316</v>
      </c>
      <c r="J480">
        <v>30000</v>
      </c>
      <c r="K480">
        <v>135000</v>
      </c>
      <c r="L480" t="s">
        <v>119</v>
      </c>
      <c r="M480" t="s">
        <v>27</v>
      </c>
      <c r="N480" t="s">
        <v>101</v>
      </c>
      <c r="O480" t="s">
        <v>3803</v>
      </c>
      <c r="P480" s="5" t="s">
        <v>3318</v>
      </c>
      <c r="Q480">
        <v>4.5</v>
      </c>
    </row>
    <row r="481" spans="1:17" x14ac:dyDescent="0.3">
      <c r="A481" s="4">
        <v>44623</v>
      </c>
      <c r="B481" t="s">
        <v>4002</v>
      </c>
      <c r="C481" t="s">
        <v>3802</v>
      </c>
      <c r="D481" s="77">
        <v>0.86388888888888893</v>
      </c>
      <c r="E481" t="s">
        <v>3314</v>
      </c>
      <c r="F481">
        <v>37</v>
      </c>
      <c r="G481" t="s">
        <v>3315</v>
      </c>
      <c r="H481">
        <v>20000</v>
      </c>
      <c r="I481" t="s">
        <v>3834</v>
      </c>
      <c r="J481">
        <v>20000</v>
      </c>
      <c r="K481">
        <v>90000</v>
      </c>
      <c r="L481" t="s">
        <v>113</v>
      </c>
      <c r="M481" t="s">
        <v>22</v>
      </c>
      <c r="N481" t="s">
        <v>98</v>
      </c>
      <c r="O481" t="s">
        <v>3437</v>
      </c>
      <c r="P481" s="5" t="s">
        <v>3318</v>
      </c>
      <c r="Q481">
        <v>4.5</v>
      </c>
    </row>
    <row r="482" spans="1:17" x14ac:dyDescent="0.3">
      <c r="A482" s="4">
        <v>44624</v>
      </c>
      <c r="B482" t="s">
        <v>4003</v>
      </c>
      <c r="C482" t="s">
        <v>4004</v>
      </c>
      <c r="D482" s="77">
        <v>0.41666666666666669</v>
      </c>
      <c r="E482" t="s">
        <v>3314</v>
      </c>
      <c r="F482">
        <v>54</v>
      </c>
      <c r="G482" t="s">
        <v>3315</v>
      </c>
      <c r="H482">
        <v>20000</v>
      </c>
      <c r="I482" t="s">
        <v>3316</v>
      </c>
      <c r="J482">
        <v>20000</v>
      </c>
      <c r="K482">
        <v>90000</v>
      </c>
      <c r="L482" t="s">
        <v>119</v>
      </c>
      <c r="M482" t="s">
        <v>29</v>
      </c>
      <c r="N482" t="s">
        <v>104</v>
      </c>
      <c r="O482" t="s">
        <v>3457</v>
      </c>
      <c r="P482" s="5" t="s">
        <v>3318</v>
      </c>
      <c r="Q482">
        <v>4.5</v>
      </c>
    </row>
    <row r="483" spans="1:17" x14ac:dyDescent="0.3">
      <c r="A483" s="4">
        <v>44624</v>
      </c>
      <c r="B483" t="s">
        <v>4005</v>
      </c>
      <c r="C483" t="s">
        <v>4006</v>
      </c>
      <c r="D483" s="77">
        <v>0.4236111111111111</v>
      </c>
      <c r="E483" t="s">
        <v>3314</v>
      </c>
      <c r="F483">
        <v>33</v>
      </c>
      <c r="G483" t="s">
        <v>3315</v>
      </c>
      <c r="H483">
        <v>30000</v>
      </c>
      <c r="I483" t="s">
        <v>3316</v>
      </c>
      <c r="J483">
        <v>30000</v>
      </c>
      <c r="K483">
        <v>120000</v>
      </c>
      <c r="L483" t="s">
        <v>118</v>
      </c>
      <c r="M483" t="s">
        <v>24</v>
      </c>
      <c r="N483" t="s">
        <v>103</v>
      </c>
      <c r="O483" t="s">
        <v>3585</v>
      </c>
      <c r="P483" s="5" t="s">
        <v>3318</v>
      </c>
      <c r="Q483">
        <v>4</v>
      </c>
    </row>
    <row r="484" spans="1:17" x14ac:dyDescent="0.3">
      <c r="A484" s="4">
        <v>44624</v>
      </c>
      <c r="B484" t="s">
        <v>4007</v>
      </c>
      <c r="C484" t="s">
        <v>4008</v>
      </c>
      <c r="D484" s="77">
        <v>0.4458333333333333</v>
      </c>
      <c r="E484" t="s">
        <v>3314</v>
      </c>
      <c r="F484">
        <v>64</v>
      </c>
      <c r="G484" t="s">
        <v>3315</v>
      </c>
      <c r="H484">
        <v>20000</v>
      </c>
      <c r="I484" t="s">
        <v>3834</v>
      </c>
      <c r="J484">
        <v>20000</v>
      </c>
      <c r="K484">
        <v>90000</v>
      </c>
      <c r="L484" t="s">
        <v>116</v>
      </c>
      <c r="M484" t="s">
        <v>78</v>
      </c>
      <c r="N484" t="s">
        <v>100</v>
      </c>
      <c r="O484" t="s">
        <v>3629</v>
      </c>
      <c r="P484" s="5" t="s">
        <v>3318</v>
      </c>
      <c r="Q484">
        <v>4.5</v>
      </c>
    </row>
    <row r="485" spans="1:17" x14ac:dyDescent="0.3">
      <c r="A485" s="4">
        <v>44624</v>
      </c>
      <c r="B485" t="s">
        <v>4009</v>
      </c>
      <c r="C485" t="s">
        <v>3612</v>
      </c>
      <c r="D485" s="77">
        <v>0.46875</v>
      </c>
      <c r="E485" t="s">
        <v>3314</v>
      </c>
      <c r="F485">
        <v>62</v>
      </c>
      <c r="G485" t="s">
        <v>3315</v>
      </c>
      <c r="H485">
        <v>20000</v>
      </c>
      <c r="I485" t="s">
        <v>3834</v>
      </c>
      <c r="J485">
        <v>20000</v>
      </c>
      <c r="K485">
        <v>90000</v>
      </c>
      <c r="L485" t="s">
        <v>114</v>
      </c>
      <c r="M485" t="s">
        <v>79</v>
      </c>
      <c r="N485" t="s">
        <v>131</v>
      </c>
      <c r="O485" t="s">
        <v>3465</v>
      </c>
      <c r="P485" s="5" t="s">
        <v>3318</v>
      </c>
      <c r="Q485">
        <v>4.5</v>
      </c>
    </row>
    <row r="486" spans="1:17" x14ac:dyDescent="0.3">
      <c r="A486" s="4">
        <v>44624</v>
      </c>
      <c r="B486" t="s">
        <v>4010</v>
      </c>
      <c r="C486" t="s">
        <v>3818</v>
      </c>
      <c r="D486" s="77">
        <v>0.47916666666666669</v>
      </c>
      <c r="E486" t="s">
        <v>3314</v>
      </c>
      <c r="F486">
        <v>54</v>
      </c>
      <c r="G486" t="s">
        <v>3315</v>
      </c>
      <c r="H486">
        <v>20000</v>
      </c>
      <c r="I486" t="s">
        <v>3316</v>
      </c>
      <c r="J486">
        <v>20000</v>
      </c>
      <c r="K486">
        <v>80000</v>
      </c>
      <c r="L486" t="s">
        <v>118</v>
      </c>
      <c r="M486" t="s">
        <v>85</v>
      </c>
      <c r="N486" t="s">
        <v>109</v>
      </c>
      <c r="O486" t="s">
        <v>3342</v>
      </c>
      <c r="P486" s="5" t="s">
        <v>3318</v>
      </c>
      <c r="Q486">
        <v>4</v>
      </c>
    </row>
    <row r="487" spans="1:17" x14ac:dyDescent="0.3">
      <c r="A487" s="4">
        <v>44624</v>
      </c>
      <c r="B487" t="s">
        <v>4011</v>
      </c>
      <c r="C487" t="s">
        <v>4012</v>
      </c>
      <c r="D487" s="77">
        <v>0.50694444444444442</v>
      </c>
      <c r="E487" t="s">
        <v>3332</v>
      </c>
      <c r="F487">
        <v>56</v>
      </c>
      <c r="G487" t="s">
        <v>3889</v>
      </c>
      <c r="H487">
        <v>30000</v>
      </c>
      <c r="I487" t="s">
        <v>3889</v>
      </c>
      <c r="J487">
        <v>30000</v>
      </c>
      <c r="K487">
        <v>150000</v>
      </c>
      <c r="L487" t="s">
        <v>114</v>
      </c>
      <c r="M487" t="s">
        <v>23</v>
      </c>
      <c r="N487" t="s">
        <v>99</v>
      </c>
      <c r="O487" t="s">
        <v>3358</v>
      </c>
      <c r="P487" s="5" t="s">
        <v>3318</v>
      </c>
      <c r="Q487">
        <v>5</v>
      </c>
    </row>
    <row r="488" spans="1:17" x14ac:dyDescent="0.3">
      <c r="A488" s="4">
        <v>44624</v>
      </c>
      <c r="B488" t="s">
        <v>4013</v>
      </c>
      <c r="C488" t="s">
        <v>4012</v>
      </c>
      <c r="D488" s="77">
        <v>0.50694444444444442</v>
      </c>
      <c r="E488" t="s">
        <v>3332</v>
      </c>
      <c r="F488">
        <v>68</v>
      </c>
      <c r="G488" t="s">
        <v>3315</v>
      </c>
      <c r="H488">
        <v>20000</v>
      </c>
      <c r="I488" t="s">
        <v>3316</v>
      </c>
      <c r="J488">
        <v>20000</v>
      </c>
      <c r="K488">
        <v>80000</v>
      </c>
      <c r="L488" t="s">
        <v>118</v>
      </c>
      <c r="M488" t="s">
        <v>812</v>
      </c>
      <c r="N488" t="s">
        <v>814</v>
      </c>
      <c r="O488" t="s">
        <v>3412</v>
      </c>
      <c r="P488" s="5" t="s">
        <v>3318</v>
      </c>
      <c r="Q488">
        <v>4</v>
      </c>
    </row>
    <row r="489" spans="1:17" x14ac:dyDescent="0.3">
      <c r="A489" s="4">
        <v>44624</v>
      </c>
      <c r="B489" t="s">
        <v>4014</v>
      </c>
      <c r="C489" t="s">
        <v>4015</v>
      </c>
      <c r="D489" s="77">
        <v>0.56736111111111109</v>
      </c>
      <c r="E489" t="s">
        <v>3314</v>
      </c>
      <c r="F489">
        <v>54</v>
      </c>
      <c r="G489" t="s">
        <v>3315</v>
      </c>
      <c r="H489">
        <v>20000</v>
      </c>
      <c r="I489" t="s">
        <v>3316</v>
      </c>
      <c r="J489">
        <v>20000</v>
      </c>
      <c r="K489">
        <v>80000</v>
      </c>
      <c r="L489" t="s">
        <v>118</v>
      </c>
      <c r="M489" t="s">
        <v>86</v>
      </c>
      <c r="N489" t="s">
        <v>120</v>
      </c>
      <c r="O489" t="s">
        <v>3446</v>
      </c>
      <c r="P489" s="5" t="s">
        <v>3318</v>
      </c>
      <c r="Q489">
        <v>4</v>
      </c>
    </row>
    <row r="490" spans="1:17" x14ac:dyDescent="0.3">
      <c r="A490" s="4">
        <v>44624</v>
      </c>
      <c r="B490" t="s">
        <v>4016</v>
      </c>
      <c r="C490" t="s">
        <v>3818</v>
      </c>
      <c r="D490" s="77">
        <v>0.58333333333333337</v>
      </c>
      <c r="E490" t="s">
        <v>3314</v>
      </c>
      <c r="F490">
        <v>50</v>
      </c>
      <c r="G490" t="s">
        <v>3315</v>
      </c>
      <c r="H490">
        <v>20000</v>
      </c>
      <c r="I490" t="s">
        <v>3316</v>
      </c>
      <c r="J490">
        <v>20000</v>
      </c>
      <c r="K490">
        <v>80000</v>
      </c>
      <c r="L490" t="s">
        <v>118</v>
      </c>
      <c r="M490" t="s">
        <v>85</v>
      </c>
      <c r="N490" t="s">
        <v>109</v>
      </c>
      <c r="O490" t="s">
        <v>3342</v>
      </c>
      <c r="P490" s="5" t="s">
        <v>3318</v>
      </c>
      <c r="Q490">
        <v>4</v>
      </c>
    </row>
    <row r="491" spans="1:17" x14ac:dyDescent="0.3">
      <c r="A491" s="4">
        <v>44624</v>
      </c>
      <c r="B491" t="s">
        <v>4017</v>
      </c>
      <c r="C491" t="s">
        <v>4018</v>
      </c>
      <c r="D491" s="77">
        <v>0.58333333333333337</v>
      </c>
      <c r="E491" t="s">
        <v>3314</v>
      </c>
      <c r="F491">
        <v>32</v>
      </c>
      <c r="G491" t="s">
        <v>3315</v>
      </c>
      <c r="H491">
        <v>20000</v>
      </c>
      <c r="I491" t="s">
        <v>3316</v>
      </c>
      <c r="J491">
        <v>20000</v>
      </c>
      <c r="K491">
        <v>80000</v>
      </c>
      <c r="L491" t="s">
        <v>118</v>
      </c>
      <c r="M491" t="s">
        <v>84</v>
      </c>
      <c r="N491" t="s">
        <v>108</v>
      </c>
      <c r="O491" t="s">
        <v>3366</v>
      </c>
      <c r="P491" s="5" t="s">
        <v>3318</v>
      </c>
      <c r="Q491">
        <v>4</v>
      </c>
    </row>
    <row r="492" spans="1:17" x14ac:dyDescent="0.3">
      <c r="A492" s="4">
        <v>44624</v>
      </c>
      <c r="B492" t="s">
        <v>4019</v>
      </c>
      <c r="C492" t="s">
        <v>3802</v>
      </c>
      <c r="D492" s="77">
        <v>0.59722222222222221</v>
      </c>
      <c r="E492" t="s">
        <v>3314</v>
      </c>
      <c r="F492">
        <v>19</v>
      </c>
      <c r="G492" t="s">
        <v>3315</v>
      </c>
      <c r="H492">
        <v>20000</v>
      </c>
      <c r="I492" t="s">
        <v>3316</v>
      </c>
      <c r="J492">
        <v>20000</v>
      </c>
      <c r="K492">
        <v>90000</v>
      </c>
      <c r="L492" t="s">
        <v>113</v>
      </c>
      <c r="M492" t="s">
        <v>22</v>
      </c>
      <c r="N492" t="s">
        <v>98</v>
      </c>
      <c r="O492" t="s">
        <v>3437</v>
      </c>
      <c r="P492" s="5" t="s">
        <v>3318</v>
      </c>
      <c r="Q492">
        <v>4.5</v>
      </c>
    </row>
    <row r="493" spans="1:17" x14ac:dyDescent="0.3">
      <c r="A493" s="4">
        <v>44624</v>
      </c>
      <c r="B493" t="s">
        <v>4020</v>
      </c>
      <c r="C493" t="s">
        <v>3612</v>
      </c>
      <c r="D493" s="77">
        <v>0.59791666666666665</v>
      </c>
      <c r="E493" t="s">
        <v>3314</v>
      </c>
      <c r="F493">
        <v>44</v>
      </c>
      <c r="G493" t="s">
        <v>3315</v>
      </c>
      <c r="H493">
        <v>20000</v>
      </c>
      <c r="I493" t="s">
        <v>3316</v>
      </c>
      <c r="J493">
        <v>20000</v>
      </c>
      <c r="K493">
        <v>90000</v>
      </c>
      <c r="L493" t="s">
        <v>114</v>
      </c>
      <c r="M493" t="s">
        <v>79</v>
      </c>
      <c r="N493" t="s">
        <v>131</v>
      </c>
      <c r="O493" t="s">
        <v>3465</v>
      </c>
      <c r="P493" s="5" t="s">
        <v>3318</v>
      </c>
      <c r="Q493">
        <v>4.5</v>
      </c>
    </row>
    <row r="494" spans="1:17" x14ac:dyDescent="0.3">
      <c r="A494" s="4">
        <v>44624</v>
      </c>
      <c r="B494" t="s">
        <v>4021</v>
      </c>
      <c r="C494" t="s">
        <v>4018</v>
      </c>
      <c r="D494" s="77">
        <v>0.6</v>
      </c>
      <c r="E494" t="s">
        <v>3314</v>
      </c>
      <c r="F494">
        <v>69</v>
      </c>
      <c r="G494" t="s">
        <v>3315</v>
      </c>
      <c r="H494">
        <v>20000</v>
      </c>
      <c r="I494" t="s">
        <v>3316</v>
      </c>
      <c r="J494">
        <v>20000</v>
      </c>
      <c r="K494">
        <v>60000</v>
      </c>
      <c r="L494" t="s">
        <v>149</v>
      </c>
      <c r="M494" t="s">
        <v>94</v>
      </c>
      <c r="N494" t="s">
        <v>138</v>
      </c>
      <c r="O494" t="s">
        <v>3775</v>
      </c>
      <c r="P494" s="5" t="s">
        <v>3318</v>
      </c>
      <c r="Q494">
        <v>3</v>
      </c>
    </row>
    <row r="495" spans="1:17" x14ac:dyDescent="0.3">
      <c r="A495" s="4">
        <v>44624</v>
      </c>
      <c r="B495" t="s">
        <v>4022</v>
      </c>
      <c r="C495" t="s">
        <v>4015</v>
      </c>
      <c r="D495" s="77">
        <v>0.60555555555555551</v>
      </c>
      <c r="E495" t="s">
        <v>3314</v>
      </c>
      <c r="F495">
        <v>25</v>
      </c>
      <c r="G495" t="s">
        <v>3315</v>
      </c>
      <c r="H495">
        <v>20000</v>
      </c>
      <c r="I495" t="s">
        <v>3316</v>
      </c>
      <c r="J495">
        <v>20000</v>
      </c>
      <c r="K495">
        <v>60000</v>
      </c>
      <c r="L495" t="s">
        <v>149</v>
      </c>
      <c r="M495" t="s">
        <v>93</v>
      </c>
      <c r="N495" t="s">
        <v>121</v>
      </c>
      <c r="O495" t="s">
        <v>3781</v>
      </c>
      <c r="P495" s="5" t="s">
        <v>3318</v>
      </c>
      <c r="Q495">
        <v>3</v>
      </c>
    </row>
    <row r="496" spans="1:17" x14ac:dyDescent="0.3">
      <c r="A496" s="4">
        <v>44624</v>
      </c>
      <c r="B496" t="s">
        <v>4023</v>
      </c>
      <c r="C496" t="s">
        <v>4015</v>
      </c>
      <c r="D496" s="77">
        <v>0.60555555555555551</v>
      </c>
      <c r="E496" t="s">
        <v>3314</v>
      </c>
      <c r="F496">
        <v>67</v>
      </c>
      <c r="G496" t="s">
        <v>3315</v>
      </c>
      <c r="H496">
        <v>20000</v>
      </c>
      <c r="I496" t="s">
        <v>3316</v>
      </c>
      <c r="J496">
        <v>20000</v>
      </c>
      <c r="K496">
        <v>90000</v>
      </c>
      <c r="L496" t="s">
        <v>116</v>
      </c>
      <c r="M496" t="s">
        <v>65</v>
      </c>
      <c r="N496" t="s">
        <v>102</v>
      </c>
      <c r="O496" t="s">
        <v>3506</v>
      </c>
      <c r="P496" s="5" t="s">
        <v>3318</v>
      </c>
      <c r="Q496">
        <v>4.5</v>
      </c>
    </row>
    <row r="497" spans="1:17" x14ac:dyDescent="0.3">
      <c r="A497" s="4">
        <v>44624</v>
      </c>
      <c r="B497" t="s">
        <v>4024</v>
      </c>
      <c r="C497" t="s">
        <v>3612</v>
      </c>
      <c r="D497" s="77">
        <v>0.6118055555555556</v>
      </c>
      <c r="E497" t="s">
        <v>3314</v>
      </c>
      <c r="F497">
        <v>31</v>
      </c>
      <c r="G497" t="s">
        <v>3315</v>
      </c>
      <c r="H497">
        <v>20000</v>
      </c>
      <c r="I497" t="s">
        <v>3316</v>
      </c>
      <c r="J497">
        <v>20000</v>
      </c>
      <c r="K497">
        <v>90000</v>
      </c>
      <c r="L497" t="s">
        <v>114</v>
      </c>
      <c r="M497" t="s">
        <v>79</v>
      </c>
      <c r="N497" t="s">
        <v>131</v>
      </c>
      <c r="O497" t="s">
        <v>3465</v>
      </c>
      <c r="P497" s="5" t="s">
        <v>3318</v>
      </c>
      <c r="Q497">
        <v>4.5</v>
      </c>
    </row>
    <row r="498" spans="1:17" x14ac:dyDescent="0.3">
      <c r="A498" s="4">
        <v>44624</v>
      </c>
      <c r="B498" t="s">
        <v>4025</v>
      </c>
      <c r="C498" t="s">
        <v>3802</v>
      </c>
      <c r="D498" s="77">
        <v>0.61527777777777781</v>
      </c>
      <c r="E498" t="s">
        <v>3314</v>
      </c>
      <c r="F498">
        <v>44</v>
      </c>
      <c r="G498" t="s">
        <v>3315</v>
      </c>
      <c r="H498">
        <v>30000</v>
      </c>
      <c r="I498" t="s">
        <v>3316</v>
      </c>
      <c r="J498">
        <v>30000</v>
      </c>
      <c r="K498">
        <v>135000</v>
      </c>
      <c r="L498" t="s">
        <v>119</v>
      </c>
      <c r="M498" t="s">
        <v>27</v>
      </c>
      <c r="N498" t="s">
        <v>101</v>
      </c>
      <c r="O498" t="s">
        <v>3803</v>
      </c>
      <c r="P498" s="5" t="s">
        <v>3318</v>
      </c>
      <c r="Q498">
        <v>4.5</v>
      </c>
    </row>
    <row r="499" spans="1:17" x14ac:dyDescent="0.3">
      <c r="A499" s="4">
        <v>44624</v>
      </c>
      <c r="B499" t="s">
        <v>4026</v>
      </c>
      <c r="C499" t="s">
        <v>3480</v>
      </c>
      <c r="D499" s="77">
        <v>0.62847222222222221</v>
      </c>
      <c r="E499" t="s">
        <v>3314</v>
      </c>
      <c r="F499">
        <v>54</v>
      </c>
      <c r="G499" t="s">
        <v>3315</v>
      </c>
      <c r="H499">
        <v>20000</v>
      </c>
      <c r="I499" t="s">
        <v>3316</v>
      </c>
      <c r="J499">
        <v>20000</v>
      </c>
      <c r="K499">
        <v>60000</v>
      </c>
      <c r="L499" t="s">
        <v>149</v>
      </c>
      <c r="M499" t="s">
        <v>3020</v>
      </c>
      <c r="N499" t="s">
        <v>2852</v>
      </c>
      <c r="O499" t="s">
        <v>3661</v>
      </c>
      <c r="P499" s="5" t="s">
        <v>3318</v>
      </c>
      <c r="Q499">
        <v>3</v>
      </c>
    </row>
    <row r="500" spans="1:17" x14ac:dyDescent="0.3">
      <c r="A500" s="4">
        <v>44624</v>
      </c>
      <c r="B500" t="s">
        <v>4027</v>
      </c>
      <c r="C500" t="s">
        <v>3796</v>
      </c>
      <c r="D500" s="77">
        <v>0.62916666666666665</v>
      </c>
      <c r="E500" t="s">
        <v>3314</v>
      </c>
      <c r="F500">
        <v>55</v>
      </c>
      <c r="G500" t="s">
        <v>3315</v>
      </c>
      <c r="H500">
        <v>20000</v>
      </c>
      <c r="I500" t="s">
        <v>3316</v>
      </c>
      <c r="J500">
        <v>20000</v>
      </c>
      <c r="K500">
        <v>80000</v>
      </c>
      <c r="L500" t="s">
        <v>118</v>
      </c>
      <c r="M500" t="s">
        <v>3023</v>
      </c>
      <c r="N500" t="s">
        <v>3025</v>
      </c>
      <c r="O500" t="s">
        <v>3481</v>
      </c>
      <c r="P500" s="5" t="s">
        <v>3318</v>
      </c>
      <c r="Q500">
        <v>4</v>
      </c>
    </row>
    <row r="501" spans="1:17" x14ac:dyDescent="0.3">
      <c r="A501" s="4">
        <v>44624</v>
      </c>
      <c r="B501" t="s">
        <v>4028</v>
      </c>
      <c r="C501" t="s">
        <v>3695</v>
      </c>
      <c r="D501" s="77">
        <v>0.63263888888888886</v>
      </c>
      <c r="E501" t="s">
        <v>3314</v>
      </c>
      <c r="F501">
        <v>50</v>
      </c>
      <c r="G501" t="s">
        <v>3315</v>
      </c>
      <c r="H501">
        <v>20000</v>
      </c>
      <c r="I501" t="s">
        <v>3316</v>
      </c>
      <c r="J501">
        <v>20000</v>
      </c>
      <c r="K501">
        <v>60000</v>
      </c>
      <c r="L501" t="s">
        <v>149</v>
      </c>
      <c r="M501" t="s">
        <v>2845</v>
      </c>
      <c r="N501" t="s">
        <v>2847</v>
      </c>
      <c r="O501" t="s">
        <v>3361</v>
      </c>
      <c r="P501" s="5" t="s">
        <v>3318</v>
      </c>
      <c r="Q501">
        <v>3</v>
      </c>
    </row>
    <row r="502" spans="1:17" x14ac:dyDescent="0.3">
      <c r="A502" s="4">
        <v>44624</v>
      </c>
      <c r="B502" t="s">
        <v>4029</v>
      </c>
      <c r="C502" t="s">
        <v>3612</v>
      </c>
      <c r="D502" s="77">
        <v>0.63472222222222219</v>
      </c>
      <c r="E502" t="s">
        <v>3314</v>
      </c>
      <c r="F502">
        <v>32</v>
      </c>
      <c r="G502" t="s">
        <v>3315</v>
      </c>
      <c r="H502">
        <v>30000</v>
      </c>
      <c r="I502" t="s">
        <v>3316</v>
      </c>
      <c r="J502">
        <v>30000</v>
      </c>
      <c r="K502">
        <v>135000</v>
      </c>
      <c r="L502" t="s">
        <v>114</v>
      </c>
      <c r="M502" t="s">
        <v>79</v>
      </c>
      <c r="N502" t="s">
        <v>131</v>
      </c>
      <c r="O502" t="s">
        <v>3465</v>
      </c>
      <c r="P502" s="5" t="s">
        <v>3318</v>
      </c>
      <c r="Q502">
        <v>4.5</v>
      </c>
    </row>
    <row r="503" spans="1:17" x14ac:dyDescent="0.3">
      <c r="A503" s="4">
        <v>44624</v>
      </c>
      <c r="B503" t="s">
        <v>4030</v>
      </c>
      <c r="C503" t="s">
        <v>4008</v>
      </c>
      <c r="D503" s="77">
        <v>0.63541666666666663</v>
      </c>
      <c r="E503" t="s">
        <v>3314</v>
      </c>
      <c r="F503">
        <v>46</v>
      </c>
      <c r="G503" t="s">
        <v>3315</v>
      </c>
      <c r="H503">
        <v>30000</v>
      </c>
      <c r="I503" t="s">
        <v>3834</v>
      </c>
      <c r="J503">
        <v>30000</v>
      </c>
      <c r="K503">
        <v>135000</v>
      </c>
      <c r="L503" t="s">
        <v>116</v>
      </c>
      <c r="M503" t="s">
        <v>78</v>
      </c>
      <c r="N503" t="s">
        <v>100</v>
      </c>
      <c r="O503" t="s">
        <v>3629</v>
      </c>
      <c r="P503" s="5" t="s">
        <v>3318</v>
      </c>
      <c r="Q503">
        <v>4.5</v>
      </c>
    </row>
    <row r="504" spans="1:17" x14ac:dyDescent="0.3">
      <c r="A504" s="4">
        <v>44624</v>
      </c>
      <c r="B504" t="s">
        <v>4031</v>
      </c>
      <c r="C504" t="s">
        <v>3802</v>
      </c>
      <c r="D504" s="77">
        <v>0.63680555555555551</v>
      </c>
      <c r="E504" t="s">
        <v>3314</v>
      </c>
      <c r="F504">
        <v>48</v>
      </c>
      <c r="G504" t="s">
        <v>3315</v>
      </c>
      <c r="H504">
        <v>30000</v>
      </c>
      <c r="I504" t="s">
        <v>3316</v>
      </c>
      <c r="J504">
        <v>30000</v>
      </c>
      <c r="K504">
        <v>135000</v>
      </c>
      <c r="L504" t="s">
        <v>113</v>
      </c>
      <c r="M504" t="s">
        <v>22</v>
      </c>
      <c r="N504" t="s">
        <v>98</v>
      </c>
      <c r="O504" t="s">
        <v>3437</v>
      </c>
      <c r="P504" s="5" t="s">
        <v>3318</v>
      </c>
      <c r="Q504">
        <v>4.5</v>
      </c>
    </row>
    <row r="505" spans="1:17" x14ac:dyDescent="0.3">
      <c r="A505" s="4">
        <v>44624</v>
      </c>
      <c r="B505" t="s">
        <v>4032</v>
      </c>
      <c r="C505" t="s">
        <v>3612</v>
      </c>
      <c r="D505" s="77">
        <v>0.63958333333333328</v>
      </c>
      <c r="E505" t="s">
        <v>3314</v>
      </c>
      <c r="F505">
        <v>33</v>
      </c>
      <c r="G505" t="s">
        <v>3315</v>
      </c>
      <c r="H505">
        <v>20000</v>
      </c>
      <c r="I505" t="s">
        <v>3316</v>
      </c>
      <c r="J505">
        <v>20000</v>
      </c>
      <c r="K505">
        <v>90000</v>
      </c>
      <c r="L505" t="s">
        <v>114</v>
      </c>
      <c r="M505" t="s">
        <v>79</v>
      </c>
      <c r="N505" t="s">
        <v>131</v>
      </c>
      <c r="O505" t="s">
        <v>3465</v>
      </c>
      <c r="P505" s="5" t="s">
        <v>3318</v>
      </c>
      <c r="Q505">
        <v>4.5</v>
      </c>
    </row>
    <row r="506" spans="1:17" x14ac:dyDescent="0.3">
      <c r="A506" s="4">
        <v>44624</v>
      </c>
      <c r="B506" t="s">
        <v>4033</v>
      </c>
      <c r="C506" t="s">
        <v>3790</v>
      </c>
      <c r="D506" s="77">
        <v>0.64027777777777783</v>
      </c>
      <c r="E506" t="s">
        <v>3314</v>
      </c>
      <c r="F506">
        <v>47</v>
      </c>
      <c r="G506" t="s">
        <v>3315</v>
      </c>
      <c r="H506">
        <v>20000</v>
      </c>
      <c r="I506" t="s">
        <v>3316</v>
      </c>
      <c r="J506">
        <v>20000</v>
      </c>
      <c r="K506">
        <v>80000</v>
      </c>
      <c r="L506" t="s">
        <v>118</v>
      </c>
      <c r="M506" t="s">
        <v>92</v>
      </c>
      <c r="N506" t="s">
        <v>137</v>
      </c>
      <c r="O506" t="s">
        <v>3476</v>
      </c>
      <c r="P506" s="5" t="s">
        <v>3318</v>
      </c>
      <c r="Q506">
        <v>4</v>
      </c>
    </row>
    <row r="507" spans="1:17" x14ac:dyDescent="0.3">
      <c r="A507" s="4">
        <v>44624</v>
      </c>
      <c r="B507" t="s">
        <v>4034</v>
      </c>
      <c r="C507" t="s">
        <v>4035</v>
      </c>
      <c r="D507" s="77">
        <v>0.64027777777777783</v>
      </c>
      <c r="E507" t="s">
        <v>3332</v>
      </c>
      <c r="F507">
        <v>26</v>
      </c>
      <c r="G507" t="s">
        <v>3315</v>
      </c>
      <c r="H507">
        <v>30000</v>
      </c>
      <c r="I507" t="s">
        <v>3316</v>
      </c>
      <c r="J507">
        <v>30000</v>
      </c>
      <c r="K507">
        <v>90000</v>
      </c>
      <c r="L507" t="s">
        <v>149</v>
      </c>
      <c r="M507" t="s">
        <v>145</v>
      </c>
      <c r="N507" t="s">
        <v>146</v>
      </c>
      <c r="O507" t="s">
        <v>3333</v>
      </c>
      <c r="P507" s="5" t="s">
        <v>3318</v>
      </c>
      <c r="Q507">
        <v>3</v>
      </c>
    </row>
    <row r="508" spans="1:17" x14ac:dyDescent="0.3">
      <c r="A508" s="4">
        <v>44624</v>
      </c>
      <c r="B508" t="s">
        <v>4036</v>
      </c>
      <c r="C508" t="s">
        <v>4018</v>
      </c>
      <c r="D508" s="77">
        <v>0.64861111111111114</v>
      </c>
      <c r="E508" t="s">
        <v>3314</v>
      </c>
      <c r="F508">
        <v>40</v>
      </c>
      <c r="G508" t="s">
        <v>3315</v>
      </c>
      <c r="H508">
        <v>20000</v>
      </c>
      <c r="I508" t="s">
        <v>3834</v>
      </c>
      <c r="J508">
        <v>20000</v>
      </c>
      <c r="K508">
        <v>80000</v>
      </c>
      <c r="L508" t="s">
        <v>118</v>
      </c>
      <c r="M508" t="s">
        <v>84</v>
      </c>
      <c r="N508" t="s">
        <v>108</v>
      </c>
      <c r="O508" t="s">
        <v>3366</v>
      </c>
      <c r="P508" s="5" t="s">
        <v>3318</v>
      </c>
      <c r="Q508">
        <v>4</v>
      </c>
    </row>
    <row r="509" spans="1:17" x14ac:dyDescent="0.3">
      <c r="A509" s="4">
        <v>44624</v>
      </c>
      <c r="B509" t="s">
        <v>4037</v>
      </c>
      <c r="C509" t="s">
        <v>3612</v>
      </c>
      <c r="D509" s="77">
        <v>0.64930555555555558</v>
      </c>
      <c r="E509" t="s">
        <v>3314</v>
      </c>
      <c r="F509">
        <v>52</v>
      </c>
      <c r="G509" t="s">
        <v>3315</v>
      </c>
      <c r="H509">
        <v>20000</v>
      </c>
      <c r="I509" t="s">
        <v>3316</v>
      </c>
      <c r="J509">
        <v>20000</v>
      </c>
      <c r="K509">
        <v>90000</v>
      </c>
      <c r="L509" t="s">
        <v>114</v>
      </c>
      <c r="M509" t="s">
        <v>79</v>
      </c>
      <c r="N509" t="s">
        <v>131</v>
      </c>
      <c r="O509" t="s">
        <v>3465</v>
      </c>
      <c r="P509" s="5" t="s">
        <v>3318</v>
      </c>
      <c r="Q509">
        <v>4.5</v>
      </c>
    </row>
    <row r="510" spans="1:17" x14ac:dyDescent="0.3">
      <c r="A510" s="4">
        <v>44624</v>
      </c>
      <c r="B510" t="s">
        <v>4038</v>
      </c>
      <c r="C510" t="s">
        <v>4004</v>
      </c>
      <c r="D510" s="77">
        <v>0.65625</v>
      </c>
      <c r="E510" t="s">
        <v>3314</v>
      </c>
      <c r="F510">
        <v>54</v>
      </c>
      <c r="G510" t="s">
        <v>3315</v>
      </c>
      <c r="H510">
        <v>20000</v>
      </c>
      <c r="I510" t="s">
        <v>3316</v>
      </c>
      <c r="J510">
        <v>20000</v>
      </c>
      <c r="K510">
        <v>90000</v>
      </c>
      <c r="L510" t="s">
        <v>119</v>
      </c>
      <c r="M510" t="s">
        <v>29</v>
      </c>
      <c r="N510" t="s">
        <v>104</v>
      </c>
      <c r="O510" t="s">
        <v>3457</v>
      </c>
      <c r="P510" s="5" t="s">
        <v>3318</v>
      </c>
      <c r="Q510">
        <v>4.5</v>
      </c>
    </row>
    <row r="511" spans="1:17" x14ac:dyDescent="0.3">
      <c r="A511" s="4">
        <v>44624</v>
      </c>
      <c r="B511" t="s">
        <v>4039</v>
      </c>
      <c r="C511" t="s">
        <v>3671</v>
      </c>
      <c r="D511" s="77">
        <v>0.66319444444444442</v>
      </c>
      <c r="E511" t="s">
        <v>3314</v>
      </c>
      <c r="F511">
        <v>71</v>
      </c>
      <c r="G511" t="s">
        <v>3315</v>
      </c>
      <c r="H511">
        <v>20000</v>
      </c>
      <c r="I511" t="s">
        <v>3316</v>
      </c>
      <c r="J511">
        <v>20000</v>
      </c>
      <c r="K511">
        <v>80000</v>
      </c>
      <c r="L511" t="s">
        <v>118</v>
      </c>
      <c r="M511" t="s">
        <v>87</v>
      </c>
      <c r="N511" t="s">
        <v>134</v>
      </c>
      <c r="O511" t="s">
        <v>3528</v>
      </c>
      <c r="P511" s="5" t="s">
        <v>3318</v>
      </c>
      <c r="Q511">
        <v>4</v>
      </c>
    </row>
    <row r="512" spans="1:17" x14ac:dyDescent="0.3">
      <c r="A512" s="4">
        <v>44624</v>
      </c>
      <c r="B512" t="s">
        <v>4040</v>
      </c>
      <c r="C512" t="s">
        <v>4015</v>
      </c>
      <c r="D512" s="77">
        <v>0.66319444444444442</v>
      </c>
      <c r="E512" t="s">
        <v>3314</v>
      </c>
      <c r="F512">
        <v>70</v>
      </c>
      <c r="G512" t="s">
        <v>3889</v>
      </c>
      <c r="H512">
        <v>30000</v>
      </c>
      <c r="I512" t="s">
        <v>3889</v>
      </c>
      <c r="J512">
        <v>30000</v>
      </c>
      <c r="K512">
        <v>90000</v>
      </c>
      <c r="L512" t="s">
        <v>149</v>
      </c>
      <c r="M512" t="s">
        <v>93</v>
      </c>
      <c r="N512" t="s">
        <v>121</v>
      </c>
      <c r="O512" t="s">
        <v>3781</v>
      </c>
      <c r="P512" s="5" t="s">
        <v>3318</v>
      </c>
      <c r="Q512">
        <v>3</v>
      </c>
    </row>
    <row r="513" spans="1:17" x14ac:dyDescent="0.3">
      <c r="A513" s="4">
        <v>44624</v>
      </c>
      <c r="B513" t="s">
        <v>4041</v>
      </c>
      <c r="C513" t="s">
        <v>4018</v>
      </c>
      <c r="D513" s="77">
        <v>0.66319444444444442</v>
      </c>
      <c r="E513" t="s">
        <v>3314</v>
      </c>
      <c r="F513">
        <v>67</v>
      </c>
      <c r="G513" t="s">
        <v>3315</v>
      </c>
      <c r="H513">
        <v>20000</v>
      </c>
      <c r="I513" t="s">
        <v>3316</v>
      </c>
      <c r="J513">
        <v>20000</v>
      </c>
      <c r="K513">
        <v>80000</v>
      </c>
      <c r="L513" t="s">
        <v>118</v>
      </c>
      <c r="M513" t="s">
        <v>84</v>
      </c>
      <c r="N513" t="s">
        <v>108</v>
      </c>
      <c r="O513" t="s">
        <v>3366</v>
      </c>
      <c r="P513" s="5" t="s">
        <v>3318</v>
      </c>
      <c r="Q513">
        <v>4</v>
      </c>
    </row>
    <row r="514" spans="1:17" x14ac:dyDescent="0.3">
      <c r="A514" s="4">
        <v>44624</v>
      </c>
      <c r="B514" t="s">
        <v>4042</v>
      </c>
      <c r="C514" t="s">
        <v>4008</v>
      </c>
      <c r="D514" s="77">
        <v>0.6645833333333333</v>
      </c>
      <c r="E514" t="s">
        <v>3314</v>
      </c>
      <c r="F514">
        <v>42</v>
      </c>
      <c r="G514" t="s">
        <v>3315</v>
      </c>
      <c r="H514">
        <v>30000</v>
      </c>
      <c r="I514" t="s">
        <v>3316</v>
      </c>
      <c r="J514">
        <v>30000</v>
      </c>
      <c r="K514">
        <v>120000</v>
      </c>
      <c r="L514" t="s">
        <v>118</v>
      </c>
      <c r="M514" t="s">
        <v>88</v>
      </c>
      <c r="N514" t="s">
        <v>117</v>
      </c>
      <c r="O514" t="s">
        <v>3494</v>
      </c>
      <c r="P514" s="5" t="s">
        <v>3318</v>
      </c>
      <c r="Q514">
        <v>4</v>
      </c>
    </row>
    <row r="515" spans="1:17" x14ac:dyDescent="0.3">
      <c r="A515" s="4">
        <v>44624</v>
      </c>
      <c r="B515" t="s">
        <v>4043</v>
      </c>
      <c r="C515" t="s">
        <v>4015</v>
      </c>
      <c r="D515" s="77">
        <v>0.66666666666666663</v>
      </c>
      <c r="E515" t="s">
        <v>3314</v>
      </c>
      <c r="F515">
        <v>49</v>
      </c>
      <c r="G515" t="s">
        <v>3315</v>
      </c>
      <c r="H515">
        <v>30000</v>
      </c>
      <c r="I515" t="s">
        <v>3316</v>
      </c>
      <c r="J515">
        <v>30000</v>
      </c>
      <c r="K515">
        <v>120000</v>
      </c>
      <c r="L515" t="s">
        <v>118</v>
      </c>
      <c r="M515" t="s">
        <v>86</v>
      </c>
      <c r="N515" t="s">
        <v>120</v>
      </c>
      <c r="O515" t="s">
        <v>3446</v>
      </c>
      <c r="P515" s="5" t="s">
        <v>3318</v>
      </c>
      <c r="Q515">
        <v>4</v>
      </c>
    </row>
    <row r="516" spans="1:17" x14ac:dyDescent="0.3">
      <c r="A516" s="4">
        <v>44624</v>
      </c>
      <c r="B516" t="s">
        <v>4044</v>
      </c>
      <c r="C516" t="s">
        <v>3802</v>
      </c>
      <c r="D516" s="77">
        <v>0.66736111111111107</v>
      </c>
      <c r="E516" t="s">
        <v>3314</v>
      </c>
      <c r="F516">
        <v>41</v>
      </c>
      <c r="G516" t="s">
        <v>3315</v>
      </c>
      <c r="H516">
        <v>20000</v>
      </c>
      <c r="I516" t="s">
        <v>3316</v>
      </c>
      <c r="J516">
        <v>20000</v>
      </c>
      <c r="K516">
        <v>90000</v>
      </c>
      <c r="L516" t="s">
        <v>119</v>
      </c>
      <c r="M516" t="s">
        <v>27</v>
      </c>
      <c r="N516" t="s">
        <v>101</v>
      </c>
      <c r="O516" t="s">
        <v>3803</v>
      </c>
      <c r="P516" s="5" t="s">
        <v>3318</v>
      </c>
      <c r="Q516">
        <v>4.5</v>
      </c>
    </row>
    <row r="517" spans="1:17" x14ac:dyDescent="0.3">
      <c r="A517" s="4">
        <v>44624</v>
      </c>
      <c r="B517" t="s">
        <v>4045</v>
      </c>
      <c r="C517" t="s">
        <v>3796</v>
      </c>
      <c r="D517" s="77">
        <v>0.66875000000000007</v>
      </c>
      <c r="E517" t="s">
        <v>3314</v>
      </c>
      <c r="F517">
        <v>30</v>
      </c>
      <c r="G517" t="s">
        <v>3315</v>
      </c>
      <c r="H517">
        <v>20000</v>
      </c>
      <c r="I517" t="s">
        <v>3316</v>
      </c>
      <c r="J517">
        <v>20000</v>
      </c>
      <c r="K517">
        <v>80000</v>
      </c>
      <c r="L517" t="s">
        <v>118</v>
      </c>
      <c r="M517" t="s">
        <v>92</v>
      </c>
      <c r="N517" t="s">
        <v>137</v>
      </c>
      <c r="O517" t="s">
        <v>3476</v>
      </c>
      <c r="P517" s="5" t="s">
        <v>3318</v>
      </c>
      <c r="Q517">
        <v>4</v>
      </c>
    </row>
    <row r="518" spans="1:17" x14ac:dyDescent="0.3">
      <c r="A518" s="4">
        <v>44624</v>
      </c>
      <c r="B518" t="s">
        <v>4046</v>
      </c>
      <c r="C518" t="s">
        <v>4012</v>
      </c>
      <c r="D518" s="77">
        <v>0.67361111111111116</v>
      </c>
      <c r="E518" t="s">
        <v>3332</v>
      </c>
      <c r="F518">
        <v>43</v>
      </c>
      <c r="G518" t="s">
        <v>3315</v>
      </c>
      <c r="H518">
        <v>20000</v>
      </c>
      <c r="I518" t="s">
        <v>3316</v>
      </c>
      <c r="J518">
        <v>20000</v>
      </c>
      <c r="K518">
        <v>100000</v>
      </c>
      <c r="L518" t="s">
        <v>114</v>
      </c>
      <c r="M518" t="s">
        <v>23</v>
      </c>
      <c r="N518" t="s">
        <v>99</v>
      </c>
      <c r="O518" t="s">
        <v>3358</v>
      </c>
      <c r="P518" s="5" t="s">
        <v>3318</v>
      </c>
      <c r="Q518">
        <v>5</v>
      </c>
    </row>
    <row r="519" spans="1:17" x14ac:dyDescent="0.3">
      <c r="A519" s="4">
        <v>44624</v>
      </c>
      <c r="B519" t="s">
        <v>4047</v>
      </c>
      <c r="C519" t="s">
        <v>4018</v>
      </c>
      <c r="D519" s="77">
        <v>0.67361111111111116</v>
      </c>
      <c r="E519" t="s">
        <v>3314</v>
      </c>
      <c r="F519">
        <v>41</v>
      </c>
      <c r="G519" t="s">
        <v>3315</v>
      </c>
      <c r="H519">
        <v>20000</v>
      </c>
      <c r="I519" t="s">
        <v>3834</v>
      </c>
      <c r="J519">
        <v>20000</v>
      </c>
      <c r="K519">
        <v>60000</v>
      </c>
      <c r="L519" t="s">
        <v>149</v>
      </c>
      <c r="M519" t="s">
        <v>94</v>
      </c>
      <c r="N519" t="s">
        <v>138</v>
      </c>
      <c r="O519" t="s">
        <v>3775</v>
      </c>
      <c r="P519" s="5" t="s">
        <v>3318</v>
      </c>
      <c r="Q519">
        <v>3</v>
      </c>
    </row>
    <row r="520" spans="1:17" x14ac:dyDescent="0.3">
      <c r="A520" s="4">
        <v>44624</v>
      </c>
      <c r="B520" t="s">
        <v>4048</v>
      </c>
      <c r="C520" t="s">
        <v>4015</v>
      </c>
      <c r="D520" s="77">
        <v>0.6777777777777777</v>
      </c>
      <c r="E520" t="s">
        <v>3314</v>
      </c>
      <c r="F520">
        <v>43</v>
      </c>
      <c r="G520" t="s">
        <v>3336</v>
      </c>
      <c r="H520">
        <v>30000</v>
      </c>
      <c r="I520" t="s">
        <v>3336</v>
      </c>
      <c r="J520">
        <v>30000</v>
      </c>
      <c r="K520">
        <v>135000</v>
      </c>
      <c r="L520" t="s">
        <v>116</v>
      </c>
      <c r="M520" t="s">
        <v>65</v>
      </c>
      <c r="N520" t="s">
        <v>102</v>
      </c>
      <c r="O520" t="s">
        <v>3506</v>
      </c>
      <c r="P520" s="5" t="s">
        <v>3318</v>
      </c>
      <c r="Q520">
        <v>4.5</v>
      </c>
    </row>
    <row r="521" spans="1:17" x14ac:dyDescent="0.3">
      <c r="A521" s="4">
        <v>44624</v>
      </c>
      <c r="B521" t="s">
        <v>4049</v>
      </c>
      <c r="C521" t="s">
        <v>3612</v>
      </c>
      <c r="D521" s="77">
        <v>0.69027777777777777</v>
      </c>
      <c r="E521" t="s">
        <v>3314</v>
      </c>
      <c r="F521">
        <v>32</v>
      </c>
      <c r="G521" t="s">
        <v>3315</v>
      </c>
      <c r="H521">
        <v>20000</v>
      </c>
      <c r="I521" t="s">
        <v>3316</v>
      </c>
      <c r="J521">
        <v>20000</v>
      </c>
      <c r="K521">
        <v>90000</v>
      </c>
      <c r="L521" t="s">
        <v>114</v>
      </c>
      <c r="M521" t="s">
        <v>79</v>
      </c>
      <c r="N521" t="s">
        <v>131</v>
      </c>
      <c r="O521" t="s">
        <v>3465</v>
      </c>
      <c r="P521" s="5" t="s">
        <v>3318</v>
      </c>
      <c r="Q521">
        <v>4.5</v>
      </c>
    </row>
    <row r="522" spans="1:17" x14ac:dyDescent="0.3">
      <c r="A522" s="4">
        <v>44624</v>
      </c>
      <c r="B522" t="s">
        <v>4050</v>
      </c>
      <c r="C522" t="s">
        <v>3612</v>
      </c>
      <c r="D522" s="77">
        <v>0.69513888888888886</v>
      </c>
      <c r="E522" t="s">
        <v>3314</v>
      </c>
      <c r="F522">
        <v>33</v>
      </c>
      <c r="G522" t="s">
        <v>3315</v>
      </c>
      <c r="H522">
        <v>20000</v>
      </c>
      <c r="I522" t="s">
        <v>3316</v>
      </c>
      <c r="J522">
        <v>20000</v>
      </c>
      <c r="K522">
        <v>90000</v>
      </c>
      <c r="L522" t="s">
        <v>114</v>
      </c>
      <c r="M522" t="s">
        <v>79</v>
      </c>
      <c r="N522" t="s">
        <v>131</v>
      </c>
      <c r="O522" t="s">
        <v>3465</v>
      </c>
      <c r="P522" s="5" t="s">
        <v>3318</v>
      </c>
      <c r="Q522">
        <v>4.5</v>
      </c>
    </row>
    <row r="523" spans="1:17" x14ac:dyDescent="0.3">
      <c r="A523" s="4">
        <v>44624</v>
      </c>
      <c r="B523" t="s">
        <v>4051</v>
      </c>
      <c r="C523" t="s">
        <v>3612</v>
      </c>
      <c r="D523" s="77">
        <v>0.7006944444444444</v>
      </c>
      <c r="E523" t="s">
        <v>3314</v>
      </c>
      <c r="F523">
        <v>39</v>
      </c>
      <c r="G523" t="s">
        <v>3488</v>
      </c>
      <c r="H523">
        <v>10000</v>
      </c>
      <c r="I523" t="s">
        <v>3488</v>
      </c>
      <c r="J523">
        <v>10000</v>
      </c>
      <c r="K523">
        <v>45000</v>
      </c>
      <c r="L523" t="s">
        <v>114</v>
      </c>
      <c r="M523" t="s">
        <v>79</v>
      </c>
      <c r="N523" t="s">
        <v>131</v>
      </c>
      <c r="O523" t="s">
        <v>3465</v>
      </c>
      <c r="P523" s="5" t="s">
        <v>3318</v>
      </c>
      <c r="Q523">
        <v>4.5</v>
      </c>
    </row>
    <row r="524" spans="1:17" x14ac:dyDescent="0.3">
      <c r="A524" s="4">
        <v>44624</v>
      </c>
      <c r="B524" t="s">
        <v>4052</v>
      </c>
      <c r="C524" t="s">
        <v>3671</v>
      </c>
      <c r="D524" s="77">
        <v>0.71875</v>
      </c>
      <c r="E524" t="s">
        <v>3314</v>
      </c>
      <c r="F524">
        <v>55</v>
      </c>
      <c r="G524" t="s">
        <v>3315</v>
      </c>
      <c r="H524">
        <v>30000</v>
      </c>
      <c r="I524" t="s">
        <v>3316</v>
      </c>
      <c r="J524">
        <v>30000</v>
      </c>
      <c r="K524">
        <v>120000</v>
      </c>
      <c r="L524" t="s">
        <v>118</v>
      </c>
      <c r="M524" t="s">
        <v>87</v>
      </c>
      <c r="N524" t="s">
        <v>134</v>
      </c>
      <c r="O524" t="s">
        <v>3528</v>
      </c>
      <c r="P524" s="5" t="s">
        <v>3318</v>
      </c>
      <c r="Q524">
        <v>4</v>
      </c>
    </row>
    <row r="525" spans="1:17" x14ac:dyDescent="0.3">
      <c r="A525" s="4">
        <v>44624</v>
      </c>
      <c r="B525" t="s">
        <v>4053</v>
      </c>
      <c r="C525" t="s">
        <v>3802</v>
      </c>
      <c r="D525" s="77">
        <v>0.73125000000000007</v>
      </c>
      <c r="E525" t="s">
        <v>3314</v>
      </c>
      <c r="F525">
        <v>45</v>
      </c>
      <c r="G525" t="s">
        <v>3315</v>
      </c>
      <c r="H525">
        <v>30000</v>
      </c>
      <c r="I525" t="s">
        <v>3316</v>
      </c>
      <c r="J525">
        <v>30000</v>
      </c>
      <c r="K525">
        <v>135000</v>
      </c>
      <c r="L525" t="s">
        <v>119</v>
      </c>
      <c r="M525" t="s">
        <v>27</v>
      </c>
      <c r="N525" t="s">
        <v>101</v>
      </c>
      <c r="O525" t="s">
        <v>3803</v>
      </c>
      <c r="P525" s="5" t="s">
        <v>3318</v>
      </c>
      <c r="Q525">
        <v>4.5</v>
      </c>
    </row>
    <row r="526" spans="1:17" x14ac:dyDescent="0.3">
      <c r="A526" s="4">
        <v>44624</v>
      </c>
      <c r="B526" t="s">
        <v>4054</v>
      </c>
      <c r="C526" t="s">
        <v>3695</v>
      </c>
      <c r="D526" s="77">
        <v>0.73819444444444438</v>
      </c>
      <c r="E526" t="s">
        <v>3314</v>
      </c>
      <c r="F526">
        <v>52</v>
      </c>
      <c r="G526" t="s">
        <v>3315</v>
      </c>
      <c r="H526">
        <v>30000</v>
      </c>
      <c r="I526" t="s">
        <v>3316</v>
      </c>
      <c r="J526">
        <v>30000</v>
      </c>
      <c r="K526">
        <v>90000</v>
      </c>
      <c r="L526" t="s">
        <v>149</v>
      </c>
      <c r="M526" t="s">
        <v>2845</v>
      </c>
      <c r="N526" t="s">
        <v>2847</v>
      </c>
      <c r="O526" t="s">
        <v>3361</v>
      </c>
      <c r="P526" s="5" t="s">
        <v>3318</v>
      </c>
      <c r="Q526">
        <v>3</v>
      </c>
    </row>
    <row r="527" spans="1:17" x14ac:dyDescent="0.3">
      <c r="A527" s="4">
        <v>44624</v>
      </c>
      <c r="B527" t="s">
        <v>4055</v>
      </c>
      <c r="C527" t="s">
        <v>3796</v>
      </c>
      <c r="D527" s="77">
        <v>0.74652777777777779</v>
      </c>
      <c r="E527" t="s">
        <v>3314</v>
      </c>
      <c r="F527">
        <v>49</v>
      </c>
      <c r="G527" t="s">
        <v>3315</v>
      </c>
      <c r="H527">
        <v>20000</v>
      </c>
      <c r="I527" t="s">
        <v>3834</v>
      </c>
      <c r="J527">
        <v>20000</v>
      </c>
      <c r="K527">
        <v>80000</v>
      </c>
      <c r="L527" t="s">
        <v>118</v>
      </c>
      <c r="M527" t="s">
        <v>3023</v>
      </c>
      <c r="N527" t="s">
        <v>3025</v>
      </c>
      <c r="O527" t="s">
        <v>3481</v>
      </c>
      <c r="P527" s="5" t="s">
        <v>3318</v>
      </c>
      <c r="Q527">
        <v>4</v>
      </c>
    </row>
    <row r="528" spans="1:17" x14ac:dyDescent="0.3">
      <c r="A528" s="4">
        <v>44624</v>
      </c>
      <c r="B528" t="s">
        <v>4056</v>
      </c>
      <c r="C528" t="s">
        <v>3802</v>
      </c>
      <c r="D528" s="77">
        <v>0.75694444444444453</v>
      </c>
      <c r="E528" t="s">
        <v>3314</v>
      </c>
      <c r="F528">
        <v>56</v>
      </c>
      <c r="G528" t="s">
        <v>3315</v>
      </c>
      <c r="H528">
        <v>20000</v>
      </c>
      <c r="I528" t="s">
        <v>3316</v>
      </c>
      <c r="J528">
        <v>20000</v>
      </c>
      <c r="K528">
        <v>90000</v>
      </c>
      <c r="L528" t="s">
        <v>113</v>
      </c>
      <c r="M528" t="s">
        <v>22</v>
      </c>
      <c r="N528" t="s">
        <v>98</v>
      </c>
      <c r="O528" t="s">
        <v>3437</v>
      </c>
      <c r="P528" s="5" t="s">
        <v>3318</v>
      </c>
      <c r="Q528">
        <v>4.5</v>
      </c>
    </row>
    <row r="529" spans="1:17" x14ac:dyDescent="0.3">
      <c r="A529" s="4">
        <v>44624</v>
      </c>
      <c r="B529" t="s">
        <v>4057</v>
      </c>
      <c r="C529" t="s">
        <v>4004</v>
      </c>
      <c r="D529" s="77">
        <v>0.76736111111111116</v>
      </c>
      <c r="E529" t="s">
        <v>3314</v>
      </c>
      <c r="F529">
        <v>74</v>
      </c>
      <c r="G529" t="s">
        <v>3315</v>
      </c>
      <c r="H529">
        <v>30000</v>
      </c>
      <c r="I529" t="s">
        <v>3316</v>
      </c>
      <c r="J529">
        <v>30000</v>
      </c>
      <c r="K529">
        <v>135000</v>
      </c>
      <c r="L529" t="s">
        <v>119</v>
      </c>
      <c r="M529" t="s">
        <v>29</v>
      </c>
      <c r="N529" t="s">
        <v>104</v>
      </c>
      <c r="O529" t="s">
        <v>3457</v>
      </c>
      <c r="P529" s="5" t="s">
        <v>3318</v>
      </c>
      <c r="Q529">
        <v>4.5</v>
      </c>
    </row>
    <row r="530" spans="1:17" x14ac:dyDescent="0.3">
      <c r="A530" s="4">
        <v>44624</v>
      </c>
      <c r="B530" t="s">
        <v>4058</v>
      </c>
      <c r="C530" t="s">
        <v>3818</v>
      </c>
      <c r="D530" s="77">
        <v>0.7729166666666667</v>
      </c>
      <c r="E530" t="s">
        <v>3314</v>
      </c>
      <c r="F530">
        <v>29</v>
      </c>
      <c r="G530" t="s">
        <v>3315</v>
      </c>
      <c r="H530">
        <v>30000</v>
      </c>
      <c r="I530" t="s">
        <v>3834</v>
      </c>
      <c r="J530">
        <v>30000</v>
      </c>
      <c r="K530">
        <v>120000</v>
      </c>
      <c r="L530" t="s">
        <v>118</v>
      </c>
      <c r="M530" t="s">
        <v>91</v>
      </c>
      <c r="N530" t="s">
        <v>136</v>
      </c>
      <c r="O530" t="s">
        <v>3422</v>
      </c>
      <c r="P530" s="5" t="s">
        <v>3318</v>
      </c>
      <c r="Q530">
        <v>4</v>
      </c>
    </row>
    <row r="531" spans="1:17" x14ac:dyDescent="0.3">
      <c r="A531" s="4">
        <v>44624</v>
      </c>
      <c r="B531" t="s">
        <v>4059</v>
      </c>
      <c r="C531" t="s">
        <v>3802</v>
      </c>
      <c r="D531" s="77">
        <v>0.77847222222222223</v>
      </c>
      <c r="E531" t="s">
        <v>3314</v>
      </c>
      <c r="F531">
        <v>54</v>
      </c>
      <c r="G531" t="s">
        <v>3315</v>
      </c>
      <c r="H531">
        <v>30000</v>
      </c>
      <c r="I531" t="s">
        <v>3316</v>
      </c>
      <c r="J531">
        <v>30000</v>
      </c>
      <c r="K531">
        <v>135000</v>
      </c>
      <c r="L531" t="s">
        <v>119</v>
      </c>
      <c r="M531" t="s">
        <v>27</v>
      </c>
      <c r="N531" t="s">
        <v>101</v>
      </c>
      <c r="O531" t="s">
        <v>3803</v>
      </c>
      <c r="P531" s="5" t="s">
        <v>3318</v>
      </c>
      <c r="Q531">
        <v>4.5</v>
      </c>
    </row>
    <row r="532" spans="1:17" x14ac:dyDescent="0.3">
      <c r="A532" s="4">
        <v>44624</v>
      </c>
      <c r="B532" t="s">
        <v>4060</v>
      </c>
      <c r="C532" t="s">
        <v>4004</v>
      </c>
      <c r="D532" s="77">
        <v>0.79861111111111116</v>
      </c>
      <c r="E532" t="s">
        <v>3314</v>
      </c>
      <c r="F532">
        <v>38</v>
      </c>
      <c r="G532" t="s">
        <v>3315</v>
      </c>
      <c r="H532">
        <v>20000</v>
      </c>
      <c r="I532" t="s">
        <v>3316</v>
      </c>
      <c r="J532">
        <v>20000</v>
      </c>
      <c r="K532">
        <v>80000</v>
      </c>
      <c r="L532" t="s">
        <v>118</v>
      </c>
      <c r="M532" t="s">
        <v>3033</v>
      </c>
      <c r="N532" t="s">
        <v>3035</v>
      </c>
      <c r="O532" t="s">
        <v>3542</v>
      </c>
      <c r="P532" s="5" t="s">
        <v>3318</v>
      </c>
      <c r="Q532">
        <v>4</v>
      </c>
    </row>
    <row r="533" spans="1:17" x14ac:dyDescent="0.3">
      <c r="A533" s="4">
        <v>44624</v>
      </c>
      <c r="B533" t="s">
        <v>4061</v>
      </c>
      <c r="C533" t="s">
        <v>3802</v>
      </c>
      <c r="D533" s="77">
        <v>0.81874999999999998</v>
      </c>
      <c r="E533" t="s">
        <v>3314</v>
      </c>
      <c r="F533">
        <v>29</v>
      </c>
      <c r="G533" t="s">
        <v>3315</v>
      </c>
      <c r="H533">
        <v>30000</v>
      </c>
      <c r="I533" t="s">
        <v>3316</v>
      </c>
      <c r="J533">
        <v>30000</v>
      </c>
      <c r="K533">
        <v>135000</v>
      </c>
      <c r="L533" t="s">
        <v>113</v>
      </c>
      <c r="M533" t="s">
        <v>22</v>
      </c>
      <c r="N533" t="s">
        <v>98</v>
      </c>
      <c r="O533" t="s">
        <v>3437</v>
      </c>
      <c r="P533" s="5" t="s">
        <v>3318</v>
      </c>
      <c r="Q533">
        <v>4.5</v>
      </c>
    </row>
    <row r="534" spans="1:17" x14ac:dyDescent="0.3">
      <c r="A534" s="4">
        <v>44625</v>
      </c>
      <c r="B534" t="s">
        <v>4062</v>
      </c>
      <c r="C534" t="s">
        <v>4063</v>
      </c>
      <c r="D534" s="77">
        <v>0.51944444444444449</v>
      </c>
      <c r="E534" t="s">
        <v>3332</v>
      </c>
      <c r="F534">
        <v>26</v>
      </c>
      <c r="G534" t="s">
        <v>3336</v>
      </c>
      <c r="H534">
        <v>20000</v>
      </c>
      <c r="I534" t="s">
        <v>3336</v>
      </c>
      <c r="J534">
        <v>20000</v>
      </c>
      <c r="K534">
        <v>60000</v>
      </c>
      <c r="L534" t="s">
        <v>149</v>
      </c>
      <c r="M534" t="s">
        <v>145</v>
      </c>
      <c r="N534" t="s">
        <v>146</v>
      </c>
      <c r="O534" t="s">
        <v>3333</v>
      </c>
      <c r="P534" s="5" t="s">
        <v>3318</v>
      </c>
      <c r="Q534">
        <v>3</v>
      </c>
    </row>
    <row r="535" spans="1:17" x14ac:dyDescent="0.3">
      <c r="A535" s="4">
        <v>44625</v>
      </c>
      <c r="B535" t="s">
        <v>4064</v>
      </c>
      <c r="C535" t="s">
        <v>4065</v>
      </c>
      <c r="D535" s="77">
        <v>0.5625</v>
      </c>
      <c r="E535" t="s">
        <v>3314</v>
      </c>
      <c r="F535">
        <v>84</v>
      </c>
      <c r="G535" t="s">
        <v>3315</v>
      </c>
      <c r="H535">
        <v>20000</v>
      </c>
      <c r="I535" t="s">
        <v>3316</v>
      </c>
      <c r="J535">
        <v>20000</v>
      </c>
      <c r="K535">
        <v>80000</v>
      </c>
      <c r="L535" t="s">
        <v>118</v>
      </c>
      <c r="M535" t="s">
        <v>28</v>
      </c>
      <c r="N535" t="s">
        <v>132</v>
      </c>
      <c r="O535" t="s">
        <v>3449</v>
      </c>
      <c r="P535" s="5" t="s">
        <v>3318</v>
      </c>
      <c r="Q535">
        <v>4</v>
      </c>
    </row>
    <row r="536" spans="1:17" x14ac:dyDescent="0.3">
      <c r="A536" s="4">
        <v>44625</v>
      </c>
      <c r="B536" t="s">
        <v>4066</v>
      </c>
      <c r="C536" t="s">
        <v>4067</v>
      </c>
      <c r="D536" s="77">
        <v>0.57986111111111105</v>
      </c>
      <c r="E536" t="s">
        <v>3314</v>
      </c>
      <c r="F536">
        <v>47</v>
      </c>
      <c r="G536" t="s">
        <v>3315</v>
      </c>
      <c r="H536">
        <v>20000</v>
      </c>
      <c r="I536" t="s">
        <v>3316</v>
      </c>
      <c r="J536">
        <v>20000</v>
      </c>
      <c r="K536">
        <v>80000</v>
      </c>
      <c r="L536" t="s">
        <v>118</v>
      </c>
      <c r="M536" t="s">
        <v>91</v>
      </c>
      <c r="N536" t="s">
        <v>136</v>
      </c>
      <c r="O536" t="s">
        <v>3422</v>
      </c>
      <c r="P536" s="5" t="s">
        <v>3318</v>
      </c>
      <c r="Q536">
        <v>4</v>
      </c>
    </row>
    <row r="537" spans="1:17" x14ac:dyDescent="0.3">
      <c r="A537" s="4">
        <v>44625</v>
      </c>
      <c r="B537" t="s">
        <v>4068</v>
      </c>
      <c r="C537" t="s">
        <v>4063</v>
      </c>
      <c r="D537" s="77">
        <v>0.59791666666666665</v>
      </c>
      <c r="E537" t="s">
        <v>3332</v>
      </c>
      <c r="F537">
        <v>29</v>
      </c>
      <c r="G537" t="s">
        <v>3315</v>
      </c>
      <c r="H537">
        <v>30000</v>
      </c>
      <c r="I537" t="s">
        <v>3834</v>
      </c>
      <c r="J537">
        <v>30000</v>
      </c>
      <c r="K537">
        <v>150000</v>
      </c>
      <c r="L537" t="s">
        <v>116</v>
      </c>
      <c r="M537" t="s">
        <v>111</v>
      </c>
      <c r="N537" t="s">
        <v>112</v>
      </c>
      <c r="O537" t="s">
        <v>3345</v>
      </c>
      <c r="P537" s="5" t="s">
        <v>3318</v>
      </c>
      <c r="Q537">
        <v>5</v>
      </c>
    </row>
    <row r="538" spans="1:17" x14ac:dyDescent="0.3">
      <c r="A538" s="4">
        <v>44625</v>
      </c>
      <c r="B538" t="s">
        <v>4069</v>
      </c>
      <c r="C538" t="s">
        <v>4067</v>
      </c>
      <c r="D538" s="77">
        <v>0.61111111111111105</v>
      </c>
      <c r="E538" t="s">
        <v>3314</v>
      </c>
      <c r="F538">
        <v>51</v>
      </c>
      <c r="G538" t="s">
        <v>3315</v>
      </c>
      <c r="H538">
        <v>20000</v>
      </c>
      <c r="I538" t="s">
        <v>3834</v>
      </c>
      <c r="J538">
        <v>20000</v>
      </c>
      <c r="K538">
        <v>80000</v>
      </c>
      <c r="L538" t="s">
        <v>118</v>
      </c>
      <c r="M538" t="s">
        <v>85</v>
      </c>
      <c r="N538" t="s">
        <v>109</v>
      </c>
      <c r="O538" t="s">
        <v>3342</v>
      </c>
      <c r="P538" s="5" t="s">
        <v>3318</v>
      </c>
      <c r="Q538">
        <v>4</v>
      </c>
    </row>
    <row r="539" spans="1:17" x14ac:dyDescent="0.3">
      <c r="A539" s="4">
        <v>44625</v>
      </c>
      <c r="B539" t="s">
        <v>4070</v>
      </c>
      <c r="C539" t="s">
        <v>4063</v>
      </c>
      <c r="D539" s="77">
        <v>0.61458333333333337</v>
      </c>
      <c r="E539" t="s">
        <v>3332</v>
      </c>
      <c r="F539">
        <v>32</v>
      </c>
      <c r="G539" t="s">
        <v>3889</v>
      </c>
      <c r="H539">
        <v>30000</v>
      </c>
      <c r="I539" t="s">
        <v>3889</v>
      </c>
      <c r="J539">
        <v>30000</v>
      </c>
      <c r="K539">
        <v>150000</v>
      </c>
      <c r="L539" t="s">
        <v>116</v>
      </c>
      <c r="M539" t="s">
        <v>111</v>
      </c>
      <c r="N539" t="s">
        <v>112</v>
      </c>
      <c r="O539" t="s">
        <v>3345</v>
      </c>
      <c r="P539" s="5" t="s">
        <v>3318</v>
      </c>
      <c r="Q539">
        <v>5</v>
      </c>
    </row>
    <row r="540" spans="1:17" x14ac:dyDescent="0.3">
      <c r="A540" s="4">
        <v>44625</v>
      </c>
      <c r="B540" t="s">
        <v>4071</v>
      </c>
      <c r="C540" t="s">
        <v>4067</v>
      </c>
      <c r="D540" s="77">
        <v>0.61805555555555558</v>
      </c>
      <c r="E540" t="s">
        <v>3314</v>
      </c>
      <c r="F540">
        <v>60</v>
      </c>
      <c r="G540" t="s">
        <v>3315</v>
      </c>
      <c r="H540">
        <v>20000</v>
      </c>
      <c r="I540" t="s">
        <v>3316</v>
      </c>
      <c r="J540">
        <v>20000</v>
      </c>
      <c r="K540">
        <v>80000</v>
      </c>
      <c r="L540" t="s">
        <v>118</v>
      </c>
      <c r="M540" t="s">
        <v>85</v>
      </c>
      <c r="N540" t="s">
        <v>109</v>
      </c>
      <c r="O540" t="s">
        <v>3342</v>
      </c>
      <c r="P540" s="5" t="s">
        <v>3318</v>
      </c>
      <c r="Q540">
        <v>4</v>
      </c>
    </row>
    <row r="541" spans="1:17" x14ac:dyDescent="0.3">
      <c r="A541" s="4">
        <v>44625</v>
      </c>
      <c r="B541" t="s">
        <v>4072</v>
      </c>
      <c r="C541" t="s">
        <v>4065</v>
      </c>
      <c r="D541" s="77">
        <v>0.625</v>
      </c>
      <c r="E541" t="s">
        <v>3314</v>
      </c>
      <c r="F541">
        <v>57</v>
      </c>
      <c r="G541" t="s">
        <v>3315</v>
      </c>
      <c r="H541">
        <v>30000</v>
      </c>
      <c r="I541" t="s">
        <v>3316</v>
      </c>
      <c r="J541">
        <v>30000</v>
      </c>
      <c r="K541">
        <v>120000</v>
      </c>
      <c r="L541" t="s">
        <v>118</v>
      </c>
      <c r="M541" t="s">
        <v>28</v>
      </c>
      <c r="N541" t="s">
        <v>132</v>
      </c>
      <c r="O541" t="s">
        <v>3449</v>
      </c>
      <c r="P541" s="5" t="s">
        <v>3318</v>
      </c>
      <c r="Q541">
        <v>4</v>
      </c>
    </row>
    <row r="542" spans="1:17" x14ac:dyDescent="0.3">
      <c r="A542" s="4">
        <v>44625</v>
      </c>
      <c r="B542" t="s">
        <v>4073</v>
      </c>
      <c r="C542" t="s">
        <v>3729</v>
      </c>
      <c r="D542" s="77">
        <v>0.63402777777777775</v>
      </c>
      <c r="E542" t="s">
        <v>3314</v>
      </c>
      <c r="F542">
        <v>65</v>
      </c>
      <c r="G542" t="s">
        <v>3315</v>
      </c>
      <c r="H542">
        <v>20000</v>
      </c>
      <c r="I542" t="s">
        <v>3316</v>
      </c>
      <c r="J542">
        <v>20000</v>
      </c>
      <c r="K542">
        <v>60000</v>
      </c>
      <c r="L542" t="s">
        <v>149</v>
      </c>
      <c r="M542" t="s">
        <v>2845</v>
      </c>
      <c r="N542" t="s">
        <v>2847</v>
      </c>
      <c r="O542" t="s">
        <v>3361</v>
      </c>
      <c r="P542" s="5" t="s">
        <v>3318</v>
      </c>
      <c r="Q542">
        <v>3</v>
      </c>
    </row>
    <row r="543" spans="1:17" x14ac:dyDescent="0.3">
      <c r="A543" s="4">
        <v>44625</v>
      </c>
      <c r="B543" t="s">
        <v>4074</v>
      </c>
      <c r="C543" t="s">
        <v>3729</v>
      </c>
      <c r="D543" s="77">
        <v>0.64374999999999993</v>
      </c>
      <c r="E543" t="s">
        <v>3314</v>
      </c>
      <c r="F543">
        <v>57</v>
      </c>
      <c r="G543" t="s">
        <v>3315</v>
      </c>
      <c r="H543">
        <v>30000</v>
      </c>
      <c r="I543" t="s">
        <v>3316</v>
      </c>
      <c r="J543">
        <v>30000</v>
      </c>
      <c r="K543">
        <v>135000</v>
      </c>
      <c r="L543" t="s">
        <v>114</v>
      </c>
      <c r="M543" t="s">
        <v>31</v>
      </c>
      <c r="N543" t="s">
        <v>105</v>
      </c>
      <c r="O543" t="s">
        <v>3339</v>
      </c>
      <c r="P543" s="5" t="s">
        <v>3318</v>
      </c>
      <c r="Q543">
        <v>4.5</v>
      </c>
    </row>
    <row r="544" spans="1:17" x14ac:dyDescent="0.3">
      <c r="A544" s="4">
        <v>44625</v>
      </c>
      <c r="B544" t="s">
        <v>4075</v>
      </c>
      <c r="C544" t="s">
        <v>4067</v>
      </c>
      <c r="D544" s="77">
        <v>0.65625</v>
      </c>
      <c r="E544" t="s">
        <v>3314</v>
      </c>
      <c r="F544">
        <v>59</v>
      </c>
      <c r="G544" t="s">
        <v>3315</v>
      </c>
      <c r="H544">
        <v>20000</v>
      </c>
      <c r="I544" t="s">
        <v>3316</v>
      </c>
      <c r="J544">
        <v>20000</v>
      </c>
      <c r="K544">
        <v>80000</v>
      </c>
      <c r="L544" t="s">
        <v>118</v>
      </c>
      <c r="M544" t="s">
        <v>84</v>
      </c>
      <c r="N544" t="s">
        <v>108</v>
      </c>
      <c r="O544" t="s">
        <v>3366</v>
      </c>
      <c r="P544" s="5" t="s">
        <v>3318</v>
      </c>
      <c r="Q544">
        <v>4</v>
      </c>
    </row>
    <row r="545" spans="1:17" x14ac:dyDescent="0.3">
      <c r="A545" s="4">
        <v>44625</v>
      </c>
      <c r="B545" t="s">
        <v>4076</v>
      </c>
      <c r="C545" t="s">
        <v>3729</v>
      </c>
      <c r="D545" s="77">
        <v>0.65972222222222221</v>
      </c>
      <c r="E545" t="s">
        <v>3314</v>
      </c>
      <c r="F545">
        <v>41</v>
      </c>
      <c r="G545" t="s">
        <v>3315</v>
      </c>
      <c r="H545">
        <v>30000</v>
      </c>
      <c r="I545" t="s">
        <v>3316</v>
      </c>
      <c r="J545">
        <v>30000</v>
      </c>
      <c r="K545">
        <v>90000</v>
      </c>
      <c r="L545" t="s">
        <v>149</v>
      </c>
      <c r="M545" t="s">
        <v>2845</v>
      </c>
      <c r="N545" t="s">
        <v>2847</v>
      </c>
      <c r="O545" t="s">
        <v>3361</v>
      </c>
      <c r="P545" s="5" t="s">
        <v>3318</v>
      </c>
      <c r="Q545">
        <v>3</v>
      </c>
    </row>
    <row r="546" spans="1:17" x14ac:dyDescent="0.3">
      <c r="A546" s="4">
        <v>44625</v>
      </c>
      <c r="B546" t="s">
        <v>4077</v>
      </c>
      <c r="C546" t="s">
        <v>4065</v>
      </c>
      <c r="D546" s="77">
        <v>0.66666666666666663</v>
      </c>
      <c r="E546" t="s">
        <v>3314</v>
      </c>
      <c r="F546">
        <v>48</v>
      </c>
      <c r="G546" t="s">
        <v>3315</v>
      </c>
      <c r="H546">
        <v>20000</v>
      </c>
      <c r="I546" t="s">
        <v>3316</v>
      </c>
      <c r="J546">
        <v>20000</v>
      </c>
      <c r="K546">
        <v>80000</v>
      </c>
      <c r="L546" t="s">
        <v>118</v>
      </c>
      <c r="M546" t="s">
        <v>28</v>
      </c>
      <c r="N546" t="s">
        <v>132</v>
      </c>
      <c r="O546" t="s">
        <v>3449</v>
      </c>
      <c r="P546" s="5" t="s">
        <v>3318</v>
      </c>
      <c r="Q546">
        <v>4</v>
      </c>
    </row>
    <row r="547" spans="1:17" x14ac:dyDescent="0.3">
      <c r="A547" s="4">
        <v>44625</v>
      </c>
      <c r="B547" t="s">
        <v>4078</v>
      </c>
      <c r="C547" t="s">
        <v>3729</v>
      </c>
      <c r="D547" s="77">
        <v>0.6694444444444444</v>
      </c>
      <c r="E547" t="s">
        <v>3314</v>
      </c>
      <c r="F547">
        <v>44</v>
      </c>
      <c r="G547" t="s">
        <v>3315</v>
      </c>
      <c r="H547">
        <v>20000</v>
      </c>
      <c r="I547" t="s">
        <v>3316</v>
      </c>
      <c r="J547">
        <v>20000</v>
      </c>
      <c r="K547">
        <v>90000</v>
      </c>
      <c r="L547" t="s">
        <v>114</v>
      </c>
      <c r="M547" t="s">
        <v>31</v>
      </c>
      <c r="N547" t="s">
        <v>105</v>
      </c>
      <c r="O547" t="s">
        <v>3339</v>
      </c>
      <c r="P547" s="5" t="s">
        <v>3318</v>
      </c>
      <c r="Q547">
        <v>4.5</v>
      </c>
    </row>
    <row r="548" spans="1:17" x14ac:dyDescent="0.3">
      <c r="A548" s="4">
        <v>44625</v>
      </c>
      <c r="B548" t="s">
        <v>4079</v>
      </c>
      <c r="C548" t="s">
        <v>4080</v>
      </c>
      <c r="D548" s="77">
        <v>0.67013888888888884</v>
      </c>
      <c r="E548" t="s">
        <v>3314</v>
      </c>
      <c r="F548">
        <v>60</v>
      </c>
      <c r="G548" t="s">
        <v>3315</v>
      </c>
      <c r="H548">
        <v>20000</v>
      </c>
      <c r="I548" t="s">
        <v>3316</v>
      </c>
      <c r="J548">
        <v>20000</v>
      </c>
      <c r="K548">
        <v>90000</v>
      </c>
      <c r="L548" t="s">
        <v>116</v>
      </c>
      <c r="M548" t="s">
        <v>76</v>
      </c>
      <c r="N548" t="s">
        <v>107</v>
      </c>
      <c r="O548" t="s">
        <v>3321</v>
      </c>
      <c r="P548" s="5" t="s">
        <v>3318</v>
      </c>
      <c r="Q548">
        <v>4.5</v>
      </c>
    </row>
    <row r="549" spans="1:17" x14ac:dyDescent="0.3">
      <c r="A549" s="4">
        <v>44625</v>
      </c>
      <c r="B549" t="s">
        <v>4081</v>
      </c>
      <c r="C549" t="s">
        <v>3729</v>
      </c>
      <c r="D549" s="77">
        <v>0.6777777777777777</v>
      </c>
      <c r="E549" t="s">
        <v>3314</v>
      </c>
      <c r="F549">
        <v>43</v>
      </c>
      <c r="G549" t="s">
        <v>3315</v>
      </c>
      <c r="H549">
        <v>20000</v>
      </c>
      <c r="I549" t="s">
        <v>3316</v>
      </c>
      <c r="J549">
        <v>20000</v>
      </c>
      <c r="K549">
        <v>60000</v>
      </c>
      <c r="L549" t="s">
        <v>149</v>
      </c>
      <c r="M549" t="s">
        <v>2845</v>
      </c>
      <c r="N549" t="s">
        <v>2847</v>
      </c>
      <c r="O549" t="s">
        <v>3361</v>
      </c>
      <c r="P549" s="5" t="s">
        <v>3318</v>
      </c>
      <c r="Q549">
        <v>3</v>
      </c>
    </row>
    <row r="550" spans="1:17" x14ac:dyDescent="0.3">
      <c r="A550" s="4">
        <v>44625</v>
      </c>
      <c r="B550" t="s">
        <v>4082</v>
      </c>
      <c r="C550" t="s">
        <v>3729</v>
      </c>
      <c r="D550" s="77">
        <v>0.67847222222222225</v>
      </c>
      <c r="E550" t="s">
        <v>3314</v>
      </c>
      <c r="F550">
        <v>59</v>
      </c>
      <c r="G550" t="s">
        <v>3315</v>
      </c>
      <c r="H550">
        <v>30000</v>
      </c>
      <c r="I550" t="s">
        <v>3316</v>
      </c>
      <c r="J550">
        <v>30000</v>
      </c>
      <c r="K550">
        <v>135000</v>
      </c>
      <c r="L550" t="s">
        <v>114</v>
      </c>
      <c r="M550" t="s">
        <v>31</v>
      </c>
      <c r="N550" t="s">
        <v>105</v>
      </c>
      <c r="O550" t="s">
        <v>3339</v>
      </c>
      <c r="P550" s="5" t="s">
        <v>3318</v>
      </c>
      <c r="Q550">
        <v>4.5</v>
      </c>
    </row>
    <row r="551" spans="1:17" x14ac:dyDescent="0.3">
      <c r="A551" s="4">
        <v>44625</v>
      </c>
      <c r="B551" t="s">
        <v>4083</v>
      </c>
      <c r="C551" t="s">
        <v>4067</v>
      </c>
      <c r="D551" s="77">
        <v>0.68263888888888891</v>
      </c>
      <c r="E551" t="s">
        <v>3314</v>
      </c>
      <c r="F551">
        <v>42</v>
      </c>
      <c r="G551" t="s">
        <v>3336</v>
      </c>
      <c r="H551">
        <v>30000</v>
      </c>
      <c r="I551" t="s">
        <v>3336</v>
      </c>
      <c r="J551">
        <v>30000</v>
      </c>
      <c r="K551">
        <v>120000</v>
      </c>
      <c r="L551" t="s">
        <v>118</v>
      </c>
      <c r="M551" t="s">
        <v>91</v>
      </c>
      <c r="N551" t="s">
        <v>136</v>
      </c>
      <c r="O551" t="s">
        <v>3422</v>
      </c>
      <c r="P551" s="5" t="s">
        <v>3318</v>
      </c>
      <c r="Q551">
        <v>4</v>
      </c>
    </row>
    <row r="552" spans="1:17" x14ac:dyDescent="0.3">
      <c r="A552" s="4">
        <v>44625</v>
      </c>
      <c r="B552" t="s">
        <v>4084</v>
      </c>
      <c r="C552" t="s">
        <v>3729</v>
      </c>
      <c r="D552" s="77">
        <v>0.6875</v>
      </c>
      <c r="E552" t="s">
        <v>3314</v>
      </c>
      <c r="F552">
        <v>52</v>
      </c>
      <c r="G552" t="s">
        <v>3315</v>
      </c>
      <c r="H552">
        <v>20000</v>
      </c>
      <c r="I552" t="s">
        <v>3316</v>
      </c>
      <c r="J552">
        <v>20000</v>
      </c>
      <c r="K552">
        <v>90000</v>
      </c>
      <c r="L552" t="s">
        <v>114</v>
      </c>
      <c r="M552" t="s">
        <v>31</v>
      </c>
      <c r="N552" t="s">
        <v>105</v>
      </c>
      <c r="O552" t="s">
        <v>3339</v>
      </c>
      <c r="P552" s="5" t="s">
        <v>3318</v>
      </c>
      <c r="Q552">
        <v>4.5</v>
      </c>
    </row>
    <row r="553" spans="1:17" x14ac:dyDescent="0.3">
      <c r="A553" s="4">
        <v>44625</v>
      </c>
      <c r="B553" t="s">
        <v>4085</v>
      </c>
      <c r="C553" t="s">
        <v>4067</v>
      </c>
      <c r="D553" s="77">
        <v>0.6875</v>
      </c>
      <c r="E553" t="s">
        <v>3314</v>
      </c>
      <c r="F553">
        <v>63</v>
      </c>
      <c r="G553" t="s">
        <v>3315</v>
      </c>
      <c r="H553">
        <v>30000</v>
      </c>
      <c r="I553" t="s">
        <v>3316</v>
      </c>
      <c r="J553">
        <v>30000</v>
      </c>
      <c r="K553">
        <v>120000</v>
      </c>
      <c r="L553" t="s">
        <v>118</v>
      </c>
      <c r="M553" t="s">
        <v>85</v>
      </c>
      <c r="N553" t="s">
        <v>109</v>
      </c>
      <c r="O553" t="s">
        <v>3342</v>
      </c>
      <c r="P553" s="5" t="s">
        <v>3318</v>
      </c>
      <c r="Q553">
        <v>4</v>
      </c>
    </row>
    <row r="554" spans="1:17" x14ac:dyDescent="0.3">
      <c r="A554" s="4">
        <v>44625</v>
      </c>
      <c r="B554" t="s">
        <v>4086</v>
      </c>
      <c r="C554" t="s">
        <v>4080</v>
      </c>
      <c r="D554" s="77">
        <v>0.76041666666666663</v>
      </c>
      <c r="E554" t="s">
        <v>3314</v>
      </c>
      <c r="F554">
        <v>66</v>
      </c>
      <c r="G554" t="s">
        <v>3315</v>
      </c>
      <c r="H554">
        <v>20000</v>
      </c>
      <c r="I554" t="s">
        <v>3316</v>
      </c>
      <c r="J554">
        <v>20000</v>
      </c>
      <c r="K554">
        <v>90000</v>
      </c>
      <c r="L554" t="s">
        <v>116</v>
      </c>
      <c r="M554" t="s">
        <v>76</v>
      </c>
      <c r="N554" t="s">
        <v>107</v>
      </c>
      <c r="O554" t="s">
        <v>3321</v>
      </c>
      <c r="P554" s="5" t="s">
        <v>3318</v>
      </c>
      <c r="Q554">
        <v>4.5</v>
      </c>
    </row>
    <row r="555" spans="1:17" x14ac:dyDescent="0.3">
      <c r="A555" s="4">
        <v>44625</v>
      </c>
      <c r="B555" t="s">
        <v>4087</v>
      </c>
      <c r="C555" t="s">
        <v>4080</v>
      </c>
      <c r="D555" s="77">
        <v>0.78125</v>
      </c>
      <c r="E555" t="s">
        <v>3314</v>
      </c>
      <c r="F555">
        <v>39</v>
      </c>
      <c r="G555" t="s">
        <v>3315</v>
      </c>
      <c r="H555">
        <v>30000</v>
      </c>
      <c r="I555" t="s">
        <v>3316</v>
      </c>
      <c r="J555">
        <v>30000</v>
      </c>
      <c r="K555">
        <v>120000</v>
      </c>
      <c r="L555" t="s">
        <v>118</v>
      </c>
      <c r="M555" t="s">
        <v>87</v>
      </c>
      <c r="N555" t="s">
        <v>134</v>
      </c>
      <c r="O555" t="s">
        <v>3528</v>
      </c>
      <c r="P555" s="5" t="s">
        <v>3318</v>
      </c>
      <c r="Q555">
        <v>4</v>
      </c>
    </row>
    <row r="556" spans="1:17" x14ac:dyDescent="0.3">
      <c r="A556" s="4">
        <v>44625</v>
      </c>
      <c r="B556" t="s">
        <v>4088</v>
      </c>
      <c r="C556" t="s">
        <v>4080</v>
      </c>
      <c r="D556" s="77">
        <v>0.82291666666666663</v>
      </c>
      <c r="E556" t="s">
        <v>3314</v>
      </c>
      <c r="F556">
        <v>55</v>
      </c>
      <c r="G556" t="s">
        <v>3315</v>
      </c>
      <c r="H556">
        <v>20000</v>
      </c>
      <c r="I556" t="s">
        <v>3316</v>
      </c>
      <c r="J556">
        <v>20000</v>
      </c>
      <c r="K556">
        <v>90000</v>
      </c>
      <c r="L556" t="s">
        <v>116</v>
      </c>
      <c r="M556" t="s">
        <v>76</v>
      </c>
      <c r="N556" t="s">
        <v>107</v>
      </c>
      <c r="O556" t="s">
        <v>3321</v>
      </c>
      <c r="P556" s="5" t="s">
        <v>3318</v>
      </c>
      <c r="Q556">
        <v>4.5</v>
      </c>
    </row>
    <row r="557" spans="1:17" x14ac:dyDescent="0.3">
      <c r="A557" s="4">
        <v>44625</v>
      </c>
      <c r="B557" t="s">
        <v>4089</v>
      </c>
      <c r="C557" t="s">
        <v>4067</v>
      </c>
      <c r="D557" s="77">
        <v>0.82291666666666663</v>
      </c>
      <c r="E557" t="s">
        <v>3314</v>
      </c>
      <c r="F557">
        <v>38</v>
      </c>
      <c r="G557" t="s">
        <v>3315</v>
      </c>
      <c r="H557">
        <v>30000</v>
      </c>
      <c r="I557" t="s">
        <v>3316</v>
      </c>
      <c r="J557">
        <v>30000</v>
      </c>
      <c r="K557">
        <v>120000</v>
      </c>
      <c r="L557" t="s">
        <v>118</v>
      </c>
      <c r="M557" t="s">
        <v>91</v>
      </c>
      <c r="N557" t="s">
        <v>136</v>
      </c>
      <c r="O557" t="s">
        <v>3422</v>
      </c>
      <c r="P557" s="5" t="s">
        <v>3318</v>
      </c>
      <c r="Q557">
        <v>4</v>
      </c>
    </row>
    <row r="558" spans="1:17" x14ac:dyDescent="0.3">
      <c r="A558" s="4">
        <v>44625</v>
      </c>
      <c r="B558" t="s">
        <v>4090</v>
      </c>
      <c r="C558" t="s">
        <v>4080</v>
      </c>
      <c r="D558" s="77">
        <v>0.83819444444444446</v>
      </c>
      <c r="E558" t="s">
        <v>3314</v>
      </c>
      <c r="F558">
        <v>56</v>
      </c>
      <c r="G558" t="s">
        <v>3315</v>
      </c>
      <c r="H558">
        <v>20000</v>
      </c>
      <c r="I558" t="s">
        <v>3834</v>
      </c>
      <c r="J558">
        <v>20000</v>
      </c>
      <c r="K558">
        <v>80000</v>
      </c>
      <c r="L558" t="s">
        <v>118</v>
      </c>
      <c r="M558" t="s">
        <v>87</v>
      </c>
      <c r="N558" t="s">
        <v>134</v>
      </c>
      <c r="O558" t="s">
        <v>3528</v>
      </c>
      <c r="P558" s="5" t="s">
        <v>3318</v>
      </c>
      <c r="Q558">
        <v>4</v>
      </c>
    </row>
    <row r="559" spans="1:17" x14ac:dyDescent="0.3">
      <c r="A559" s="4">
        <v>44626</v>
      </c>
      <c r="B559" t="s">
        <v>4091</v>
      </c>
      <c r="C559" t="s">
        <v>4092</v>
      </c>
      <c r="D559" s="77">
        <v>0.56319444444444444</v>
      </c>
      <c r="E559" t="s">
        <v>3332</v>
      </c>
      <c r="F559">
        <v>26</v>
      </c>
      <c r="G559" t="s">
        <v>3315</v>
      </c>
      <c r="H559">
        <v>30000</v>
      </c>
      <c r="I559" t="s">
        <v>3834</v>
      </c>
      <c r="J559">
        <v>30000</v>
      </c>
      <c r="K559">
        <v>90000</v>
      </c>
      <c r="L559" t="s">
        <v>149</v>
      </c>
      <c r="M559" t="s">
        <v>145</v>
      </c>
      <c r="N559" t="s">
        <v>146</v>
      </c>
      <c r="O559" t="s">
        <v>3333</v>
      </c>
      <c r="P559" s="5" t="s">
        <v>3318</v>
      </c>
      <c r="Q559">
        <v>3</v>
      </c>
    </row>
    <row r="560" spans="1:17" x14ac:dyDescent="0.3">
      <c r="A560" s="4">
        <v>44626</v>
      </c>
      <c r="B560" t="s">
        <v>4093</v>
      </c>
      <c r="C560" t="s">
        <v>4092</v>
      </c>
      <c r="D560" s="77">
        <v>0.60555555555555551</v>
      </c>
      <c r="E560" t="s">
        <v>3332</v>
      </c>
      <c r="F560">
        <v>29</v>
      </c>
      <c r="G560" t="s">
        <v>3315</v>
      </c>
      <c r="H560">
        <v>30000</v>
      </c>
      <c r="I560" t="s">
        <v>3834</v>
      </c>
      <c r="J560">
        <v>30000</v>
      </c>
      <c r="K560">
        <v>90000</v>
      </c>
      <c r="L560" t="s">
        <v>149</v>
      </c>
      <c r="M560" t="s">
        <v>145</v>
      </c>
      <c r="N560" t="s">
        <v>146</v>
      </c>
      <c r="O560" t="s">
        <v>3333</v>
      </c>
      <c r="P560" s="5" t="s">
        <v>3318</v>
      </c>
      <c r="Q560">
        <v>3</v>
      </c>
    </row>
    <row r="561" spans="1:17" x14ac:dyDescent="0.3">
      <c r="A561" s="4">
        <v>44626</v>
      </c>
      <c r="B561" t="s">
        <v>4094</v>
      </c>
      <c r="C561" t="s">
        <v>4092</v>
      </c>
      <c r="D561" s="77">
        <v>0.62083333333333335</v>
      </c>
      <c r="E561" t="s">
        <v>3332</v>
      </c>
      <c r="F561">
        <v>28</v>
      </c>
      <c r="G561" t="s">
        <v>3315</v>
      </c>
      <c r="H561">
        <v>20000</v>
      </c>
      <c r="I561" t="s">
        <v>3834</v>
      </c>
      <c r="J561">
        <v>20000</v>
      </c>
      <c r="K561">
        <v>60000</v>
      </c>
      <c r="L561" t="s">
        <v>149</v>
      </c>
      <c r="M561" t="s">
        <v>145</v>
      </c>
      <c r="N561" t="s">
        <v>146</v>
      </c>
      <c r="O561" t="s">
        <v>3333</v>
      </c>
      <c r="P561" s="5" t="s">
        <v>3318</v>
      </c>
      <c r="Q561">
        <v>3</v>
      </c>
    </row>
    <row r="562" spans="1:17" x14ac:dyDescent="0.3">
      <c r="A562" s="4">
        <v>44627</v>
      </c>
      <c r="B562" t="s">
        <v>4095</v>
      </c>
      <c r="C562" t="s">
        <v>3774</v>
      </c>
      <c r="D562" s="77">
        <v>0.50347222222222221</v>
      </c>
      <c r="E562" t="s">
        <v>3314</v>
      </c>
      <c r="F562">
        <v>53</v>
      </c>
      <c r="G562" t="s">
        <v>3315</v>
      </c>
      <c r="H562">
        <v>20000</v>
      </c>
      <c r="I562" t="s">
        <v>3834</v>
      </c>
      <c r="J562">
        <v>20000</v>
      </c>
      <c r="K562">
        <v>80000</v>
      </c>
      <c r="L562" t="s">
        <v>118</v>
      </c>
      <c r="M562" t="s">
        <v>84</v>
      </c>
      <c r="N562" t="s">
        <v>108</v>
      </c>
      <c r="O562" t="s">
        <v>3366</v>
      </c>
      <c r="P562" s="5" t="s">
        <v>3318</v>
      </c>
      <c r="Q562">
        <v>4</v>
      </c>
    </row>
    <row r="563" spans="1:17" x14ac:dyDescent="0.3">
      <c r="A563" s="4">
        <v>44627</v>
      </c>
      <c r="B563" t="s">
        <v>4096</v>
      </c>
      <c r="C563" t="s">
        <v>4097</v>
      </c>
      <c r="D563" s="77">
        <v>0.56597222222222221</v>
      </c>
      <c r="E563" t="s">
        <v>3314</v>
      </c>
      <c r="F563">
        <v>52</v>
      </c>
      <c r="G563" t="s">
        <v>3315</v>
      </c>
      <c r="H563">
        <v>20000</v>
      </c>
      <c r="I563" t="s">
        <v>3316</v>
      </c>
      <c r="J563">
        <v>20000</v>
      </c>
      <c r="K563">
        <v>80000</v>
      </c>
      <c r="L563" t="s">
        <v>118</v>
      </c>
      <c r="M563" t="s">
        <v>3023</v>
      </c>
      <c r="N563" t="s">
        <v>3025</v>
      </c>
      <c r="O563" t="s">
        <v>3481</v>
      </c>
      <c r="P563" s="5" t="s">
        <v>3318</v>
      </c>
      <c r="Q563">
        <v>4</v>
      </c>
    </row>
    <row r="564" spans="1:17" x14ac:dyDescent="0.3">
      <c r="A564" s="4">
        <v>44627</v>
      </c>
      <c r="B564" t="s">
        <v>4098</v>
      </c>
      <c r="C564" t="s">
        <v>4099</v>
      </c>
      <c r="D564" s="77">
        <v>0.56944444444444442</v>
      </c>
      <c r="E564" t="s">
        <v>3314</v>
      </c>
      <c r="F564">
        <v>60</v>
      </c>
      <c r="G564" t="s">
        <v>3315</v>
      </c>
      <c r="H564">
        <v>20000</v>
      </c>
      <c r="I564" t="s">
        <v>3316</v>
      </c>
      <c r="J564">
        <v>20000</v>
      </c>
      <c r="K564">
        <v>80000</v>
      </c>
      <c r="L564" t="s">
        <v>118</v>
      </c>
      <c r="M564" t="s">
        <v>92</v>
      </c>
      <c r="N564" t="s">
        <v>137</v>
      </c>
      <c r="O564" t="s">
        <v>3476</v>
      </c>
      <c r="P564" s="5" t="s">
        <v>3318</v>
      </c>
      <c r="Q564">
        <v>4</v>
      </c>
    </row>
    <row r="565" spans="1:17" x14ac:dyDescent="0.3">
      <c r="A565" s="4">
        <v>44627</v>
      </c>
      <c r="B565" t="s">
        <v>4100</v>
      </c>
      <c r="C565" t="s">
        <v>3774</v>
      </c>
      <c r="D565" s="77">
        <v>0.57013888888888886</v>
      </c>
      <c r="E565" t="s">
        <v>3314</v>
      </c>
      <c r="F565">
        <v>54</v>
      </c>
      <c r="G565" t="s">
        <v>3315</v>
      </c>
      <c r="H565">
        <v>30000</v>
      </c>
      <c r="I565" t="s">
        <v>3316</v>
      </c>
      <c r="J565">
        <v>30000</v>
      </c>
      <c r="K565">
        <v>120000</v>
      </c>
      <c r="L565" t="s">
        <v>118</v>
      </c>
      <c r="M565" t="s">
        <v>84</v>
      </c>
      <c r="N565" t="s">
        <v>108</v>
      </c>
      <c r="O565" t="s">
        <v>3366</v>
      </c>
      <c r="P565" s="5" t="s">
        <v>3318</v>
      </c>
      <c r="Q565">
        <v>4</v>
      </c>
    </row>
    <row r="566" spans="1:17" x14ac:dyDescent="0.3">
      <c r="A566" s="4">
        <v>44627</v>
      </c>
      <c r="B566" t="s">
        <v>4101</v>
      </c>
      <c r="C566" t="s">
        <v>4099</v>
      </c>
      <c r="D566" s="77">
        <v>0.57916666666666672</v>
      </c>
      <c r="E566" t="s">
        <v>3314</v>
      </c>
      <c r="F566">
        <v>49</v>
      </c>
      <c r="G566" t="s">
        <v>3315</v>
      </c>
      <c r="H566">
        <v>20000</v>
      </c>
      <c r="I566" t="s">
        <v>3316</v>
      </c>
      <c r="J566">
        <v>20000</v>
      </c>
      <c r="K566">
        <v>80000</v>
      </c>
      <c r="L566" t="s">
        <v>118</v>
      </c>
      <c r="M566" t="s">
        <v>92</v>
      </c>
      <c r="N566" t="s">
        <v>137</v>
      </c>
      <c r="O566" t="s">
        <v>3476</v>
      </c>
      <c r="P566" s="5" t="s">
        <v>3318</v>
      </c>
      <c r="Q566">
        <v>4</v>
      </c>
    </row>
    <row r="567" spans="1:17" x14ac:dyDescent="0.3">
      <c r="A567" s="4">
        <v>44627</v>
      </c>
      <c r="B567" t="s">
        <v>4102</v>
      </c>
      <c r="C567" t="s">
        <v>3612</v>
      </c>
      <c r="D567" s="77">
        <v>0.59375</v>
      </c>
      <c r="E567" t="s">
        <v>3314</v>
      </c>
      <c r="F567">
        <v>49</v>
      </c>
      <c r="G567" t="s">
        <v>3315</v>
      </c>
      <c r="H567">
        <v>20000</v>
      </c>
      <c r="I567" t="s">
        <v>3316</v>
      </c>
      <c r="J567">
        <v>20000</v>
      </c>
      <c r="K567">
        <v>90000</v>
      </c>
      <c r="L567" t="s">
        <v>114</v>
      </c>
      <c r="M567" t="s">
        <v>79</v>
      </c>
      <c r="N567" t="s">
        <v>131</v>
      </c>
      <c r="O567" t="s">
        <v>3465</v>
      </c>
      <c r="P567" s="5" t="s">
        <v>3318</v>
      </c>
      <c r="Q567">
        <v>4.5</v>
      </c>
    </row>
    <row r="568" spans="1:17" x14ac:dyDescent="0.3">
      <c r="A568" s="4">
        <v>44627</v>
      </c>
      <c r="B568" t="s">
        <v>4103</v>
      </c>
      <c r="C568" t="s">
        <v>4092</v>
      </c>
      <c r="D568" s="77">
        <v>0.59375</v>
      </c>
      <c r="E568" t="s">
        <v>3332</v>
      </c>
      <c r="F568">
        <v>60</v>
      </c>
      <c r="G568" t="s">
        <v>3315</v>
      </c>
      <c r="H568">
        <v>20000</v>
      </c>
      <c r="I568" t="s">
        <v>3316</v>
      </c>
      <c r="J568">
        <v>20000</v>
      </c>
      <c r="K568">
        <v>80000</v>
      </c>
      <c r="L568" t="s">
        <v>118</v>
      </c>
      <c r="M568" t="s">
        <v>145</v>
      </c>
      <c r="N568" t="s">
        <v>146</v>
      </c>
      <c r="O568" t="s">
        <v>3333</v>
      </c>
      <c r="P568" s="5" t="s">
        <v>3318</v>
      </c>
      <c r="Q568">
        <v>4</v>
      </c>
    </row>
    <row r="569" spans="1:17" x14ac:dyDescent="0.3">
      <c r="A569" s="4">
        <v>44627</v>
      </c>
      <c r="B569" t="s">
        <v>4104</v>
      </c>
      <c r="C569" t="s">
        <v>3695</v>
      </c>
      <c r="D569" s="77">
        <v>0.59375</v>
      </c>
      <c r="E569" t="s">
        <v>3314</v>
      </c>
      <c r="F569">
        <v>38</v>
      </c>
      <c r="G569" t="s">
        <v>3889</v>
      </c>
      <c r="H569">
        <v>20000</v>
      </c>
      <c r="I569" t="s">
        <v>3889</v>
      </c>
      <c r="J569">
        <v>20000</v>
      </c>
      <c r="K569">
        <v>60000</v>
      </c>
      <c r="L569" t="s">
        <v>149</v>
      </c>
      <c r="M569" t="s">
        <v>96</v>
      </c>
      <c r="N569" t="s">
        <v>140</v>
      </c>
      <c r="O569" t="s">
        <v>4105</v>
      </c>
      <c r="P569" s="5" t="s">
        <v>3318</v>
      </c>
      <c r="Q569">
        <v>3</v>
      </c>
    </row>
    <row r="570" spans="1:17" x14ac:dyDescent="0.3">
      <c r="A570" s="4">
        <v>44627</v>
      </c>
      <c r="B570" t="s">
        <v>4106</v>
      </c>
      <c r="C570" t="s">
        <v>4099</v>
      </c>
      <c r="D570" s="77">
        <v>0.6</v>
      </c>
      <c r="E570" t="s">
        <v>3314</v>
      </c>
      <c r="F570">
        <v>53</v>
      </c>
      <c r="G570" t="s">
        <v>3315</v>
      </c>
      <c r="H570">
        <v>20000</v>
      </c>
      <c r="I570" t="s">
        <v>3316</v>
      </c>
      <c r="J570">
        <v>20000</v>
      </c>
      <c r="K570">
        <v>80000</v>
      </c>
      <c r="L570" t="s">
        <v>118</v>
      </c>
      <c r="M570" t="s">
        <v>92</v>
      </c>
      <c r="N570" t="s">
        <v>137</v>
      </c>
      <c r="O570" t="s">
        <v>3476</v>
      </c>
      <c r="P570" s="5" t="s">
        <v>3318</v>
      </c>
      <c r="Q570">
        <v>4</v>
      </c>
    </row>
    <row r="571" spans="1:17" x14ac:dyDescent="0.3">
      <c r="A571" s="4">
        <v>44627</v>
      </c>
      <c r="B571" t="s">
        <v>4107</v>
      </c>
      <c r="C571" t="s">
        <v>3612</v>
      </c>
      <c r="D571" s="77">
        <v>0.60486111111111118</v>
      </c>
      <c r="E571" t="s">
        <v>3314</v>
      </c>
      <c r="F571">
        <v>48</v>
      </c>
      <c r="G571" t="s">
        <v>3315</v>
      </c>
      <c r="H571">
        <v>20000</v>
      </c>
      <c r="I571" t="s">
        <v>3316</v>
      </c>
      <c r="J571">
        <v>20000</v>
      </c>
      <c r="K571">
        <v>90000</v>
      </c>
      <c r="L571" t="s">
        <v>114</v>
      </c>
      <c r="M571" t="s">
        <v>79</v>
      </c>
      <c r="N571" t="s">
        <v>131</v>
      </c>
      <c r="O571" t="s">
        <v>3465</v>
      </c>
      <c r="P571" s="5" t="s">
        <v>3318</v>
      </c>
      <c r="Q571">
        <v>4.5</v>
      </c>
    </row>
    <row r="572" spans="1:17" x14ac:dyDescent="0.3">
      <c r="A572" s="4">
        <v>44627</v>
      </c>
      <c r="B572" t="s">
        <v>4108</v>
      </c>
      <c r="C572" t="s">
        <v>4109</v>
      </c>
      <c r="D572" s="77">
        <v>0.60763888888888895</v>
      </c>
      <c r="E572" t="s">
        <v>3314</v>
      </c>
      <c r="F572">
        <v>42</v>
      </c>
      <c r="G572" t="s">
        <v>3315</v>
      </c>
      <c r="H572">
        <v>30000</v>
      </c>
      <c r="I572" t="s">
        <v>3834</v>
      </c>
      <c r="J572">
        <v>30000</v>
      </c>
      <c r="K572">
        <v>135000</v>
      </c>
      <c r="L572" t="s">
        <v>119</v>
      </c>
      <c r="M572" t="s">
        <v>29</v>
      </c>
      <c r="N572" t="s">
        <v>104</v>
      </c>
      <c r="O572" t="s">
        <v>3457</v>
      </c>
      <c r="P572" s="5" t="s">
        <v>3318</v>
      </c>
      <c r="Q572">
        <v>4.5</v>
      </c>
    </row>
    <row r="573" spans="1:17" x14ac:dyDescent="0.3">
      <c r="A573" s="4">
        <v>44627</v>
      </c>
      <c r="B573" t="s">
        <v>4110</v>
      </c>
      <c r="C573" t="s">
        <v>3774</v>
      </c>
      <c r="D573" s="77">
        <v>0.61041666666666672</v>
      </c>
      <c r="E573" t="s">
        <v>3314</v>
      </c>
      <c r="F573">
        <v>36</v>
      </c>
      <c r="G573" t="s">
        <v>3315</v>
      </c>
      <c r="H573">
        <v>20000</v>
      </c>
      <c r="I573" t="s">
        <v>3834</v>
      </c>
      <c r="J573">
        <v>20000</v>
      </c>
      <c r="K573">
        <v>80000</v>
      </c>
      <c r="L573" t="s">
        <v>118</v>
      </c>
      <c r="M573" t="s">
        <v>84</v>
      </c>
      <c r="N573" t="s">
        <v>108</v>
      </c>
      <c r="O573" t="s">
        <v>3366</v>
      </c>
      <c r="P573" s="5" t="s">
        <v>3318</v>
      </c>
      <c r="Q573">
        <v>4</v>
      </c>
    </row>
    <row r="574" spans="1:17" x14ac:dyDescent="0.3">
      <c r="A574" s="4">
        <v>44627</v>
      </c>
      <c r="B574" t="s">
        <v>4111</v>
      </c>
      <c r="C574" t="s">
        <v>3462</v>
      </c>
      <c r="D574" s="77">
        <v>0.61111111111111105</v>
      </c>
      <c r="E574" t="s">
        <v>3314</v>
      </c>
      <c r="F574">
        <v>40</v>
      </c>
      <c r="G574" t="s">
        <v>3315</v>
      </c>
      <c r="H574">
        <v>30000</v>
      </c>
      <c r="I574" t="s">
        <v>3316</v>
      </c>
      <c r="J574">
        <v>30000</v>
      </c>
      <c r="K574">
        <v>120000</v>
      </c>
      <c r="L574" t="s">
        <v>118</v>
      </c>
      <c r="M574" t="s">
        <v>87</v>
      </c>
      <c r="N574" t="s">
        <v>134</v>
      </c>
      <c r="O574" t="s">
        <v>3528</v>
      </c>
      <c r="P574" s="5" t="s">
        <v>3318</v>
      </c>
      <c r="Q574">
        <v>4</v>
      </c>
    </row>
    <row r="575" spans="1:17" x14ac:dyDescent="0.3">
      <c r="A575" s="4">
        <v>44627</v>
      </c>
      <c r="B575" t="s">
        <v>4112</v>
      </c>
      <c r="C575" t="s">
        <v>4109</v>
      </c>
      <c r="D575" s="77">
        <v>0.625</v>
      </c>
      <c r="E575" t="s">
        <v>3314</v>
      </c>
      <c r="F575">
        <v>35</v>
      </c>
      <c r="G575" t="s">
        <v>3315</v>
      </c>
      <c r="H575">
        <v>20000</v>
      </c>
      <c r="I575" t="s">
        <v>3316</v>
      </c>
      <c r="J575">
        <v>20000</v>
      </c>
      <c r="K575">
        <v>60000</v>
      </c>
      <c r="L575" t="s">
        <v>149</v>
      </c>
      <c r="M575" t="s">
        <v>3020</v>
      </c>
      <c r="N575" t="s">
        <v>2852</v>
      </c>
      <c r="O575" t="s">
        <v>3661</v>
      </c>
      <c r="P575" s="5" t="s">
        <v>3318</v>
      </c>
      <c r="Q575">
        <v>3</v>
      </c>
    </row>
    <row r="576" spans="1:17" x14ac:dyDescent="0.3">
      <c r="A576" s="4">
        <v>44627</v>
      </c>
      <c r="B576" t="s">
        <v>4113</v>
      </c>
      <c r="C576" t="s">
        <v>4109</v>
      </c>
      <c r="D576" s="77">
        <v>0.625</v>
      </c>
      <c r="E576" t="s">
        <v>3314</v>
      </c>
      <c r="F576">
        <v>51</v>
      </c>
      <c r="G576" t="s">
        <v>3315</v>
      </c>
      <c r="H576">
        <v>20000</v>
      </c>
      <c r="I576" t="s">
        <v>3316</v>
      </c>
      <c r="J576">
        <v>20000</v>
      </c>
      <c r="K576">
        <v>90000</v>
      </c>
      <c r="L576" t="s">
        <v>119</v>
      </c>
      <c r="M576" t="s">
        <v>29</v>
      </c>
      <c r="N576" t="s">
        <v>104</v>
      </c>
      <c r="O576" t="s">
        <v>3457</v>
      </c>
      <c r="P576" s="5" t="s">
        <v>3318</v>
      </c>
      <c r="Q576">
        <v>4.5</v>
      </c>
    </row>
    <row r="577" spans="1:17" x14ac:dyDescent="0.3">
      <c r="A577" s="4">
        <v>44627</v>
      </c>
      <c r="B577" t="s">
        <v>4114</v>
      </c>
      <c r="C577" t="s">
        <v>4115</v>
      </c>
      <c r="D577" s="77">
        <v>0.62916666666666665</v>
      </c>
      <c r="E577" t="s">
        <v>3314</v>
      </c>
      <c r="F577">
        <v>29</v>
      </c>
      <c r="G577" t="s">
        <v>3315</v>
      </c>
      <c r="H577">
        <v>30000</v>
      </c>
      <c r="I577" t="s">
        <v>3316</v>
      </c>
      <c r="J577">
        <v>30000</v>
      </c>
      <c r="K577">
        <v>120000</v>
      </c>
      <c r="L577" t="s">
        <v>118</v>
      </c>
      <c r="M577" t="s">
        <v>94</v>
      </c>
      <c r="N577" t="s">
        <v>138</v>
      </c>
      <c r="O577" t="s">
        <v>3775</v>
      </c>
      <c r="P577" s="5" t="s">
        <v>3318</v>
      </c>
      <c r="Q577">
        <v>4</v>
      </c>
    </row>
    <row r="578" spans="1:17" x14ac:dyDescent="0.3">
      <c r="A578" s="4">
        <v>44627</v>
      </c>
      <c r="B578" t="s">
        <v>4116</v>
      </c>
      <c r="C578" t="s">
        <v>4117</v>
      </c>
      <c r="D578" s="77">
        <v>0.6333333333333333</v>
      </c>
      <c r="E578" t="s">
        <v>3314</v>
      </c>
      <c r="F578">
        <v>36</v>
      </c>
      <c r="G578" t="s">
        <v>3315</v>
      </c>
      <c r="H578">
        <v>20000</v>
      </c>
      <c r="I578" t="s">
        <v>3316</v>
      </c>
      <c r="J578">
        <v>20000</v>
      </c>
      <c r="K578">
        <v>80000</v>
      </c>
      <c r="L578" t="s">
        <v>118</v>
      </c>
      <c r="M578" t="s">
        <v>88</v>
      </c>
      <c r="N578" t="s">
        <v>117</v>
      </c>
      <c r="O578" t="s">
        <v>3494</v>
      </c>
      <c r="P578" s="5" t="s">
        <v>3318</v>
      </c>
      <c r="Q578">
        <v>4</v>
      </c>
    </row>
    <row r="579" spans="1:17" x14ac:dyDescent="0.3">
      <c r="A579" s="4">
        <v>44627</v>
      </c>
      <c r="B579" t="s">
        <v>4118</v>
      </c>
      <c r="C579" t="s">
        <v>3612</v>
      </c>
      <c r="D579" s="77">
        <v>0.63472222222222219</v>
      </c>
      <c r="E579" t="s">
        <v>3314</v>
      </c>
      <c r="F579">
        <v>53</v>
      </c>
      <c r="G579" t="s">
        <v>3315</v>
      </c>
      <c r="H579">
        <v>30000</v>
      </c>
      <c r="I579" t="s">
        <v>3316</v>
      </c>
      <c r="J579">
        <v>30000</v>
      </c>
      <c r="K579">
        <v>135000</v>
      </c>
      <c r="L579" t="s">
        <v>114</v>
      </c>
      <c r="M579" t="s">
        <v>79</v>
      </c>
      <c r="N579" t="s">
        <v>131</v>
      </c>
      <c r="O579" t="s">
        <v>3465</v>
      </c>
      <c r="P579" s="5" t="s">
        <v>3318</v>
      </c>
      <c r="Q579">
        <v>4.5</v>
      </c>
    </row>
    <row r="580" spans="1:17" x14ac:dyDescent="0.3">
      <c r="A580" s="4">
        <v>44627</v>
      </c>
      <c r="B580" t="s">
        <v>4119</v>
      </c>
      <c r="C580" t="s">
        <v>4099</v>
      </c>
      <c r="D580" s="77">
        <v>0.63888888888888895</v>
      </c>
      <c r="E580" t="s">
        <v>3314</v>
      </c>
      <c r="F580">
        <v>52</v>
      </c>
      <c r="G580" t="s">
        <v>3315</v>
      </c>
      <c r="H580">
        <v>20000</v>
      </c>
      <c r="I580" t="s">
        <v>3316</v>
      </c>
      <c r="J580">
        <v>20000</v>
      </c>
      <c r="K580">
        <v>80000</v>
      </c>
      <c r="L580" t="s">
        <v>118</v>
      </c>
      <c r="M580" t="s">
        <v>92</v>
      </c>
      <c r="N580" t="s">
        <v>137</v>
      </c>
      <c r="O580" t="s">
        <v>3476</v>
      </c>
      <c r="P580" s="5" t="s">
        <v>3318</v>
      </c>
      <c r="Q580">
        <v>4</v>
      </c>
    </row>
    <row r="581" spans="1:17" x14ac:dyDescent="0.3">
      <c r="A581" s="4">
        <v>44627</v>
      </c>
      <c r="B581" t="s">
        <v>4120</v>
      </c>
      <c r="C581" t="s">
        <v>3774</v>
      </c>
      <c r="D581" s="77">
        <v>0.64027777777777783</v>
      </c>
      <c r="E581" t="s">
        <v>3314</v>
      </c>
      <c r="F581">
        <v>61</v>
      </c>
      <c r="G581" t="s">
        <v>3315</v>
      </c>
      <c r="H581">
        <v>20000</v>
      </c>
      <c r="I581" t="s">
        <v>3316</v>
      </c>
      <c r="J581">
        <v>20000</v>
      </c>
      <c r="K581">
        <v>80000</v>
      </c>
      <c r="L581" t="s">
        <v>118</v>
      </c>
      <c r="M581" t="s">
        <v>94</v>
      </c>
      <c r="N581" t="s">
        <v>138</v>
      </c>
      <c r="O581" t="s">
        <v>3775</v>
      </c>
      <c r="P581" s="5" t="s">
        <v>3318</v>
      </c>
      <c r="Q581">
        <v>4</v>
      </c>
    </row>
    <row r="582" spans="1:17" x14ac:dyDescent="0.3">
      <c r="A582" s="4">
        <v>44627</v>
      </c>
      <c r="B582" t="s">
        <v>4121</v>
      </c>
      <c r="C582" t="s">
        <v>3612</v>
      </c>
      <c r="D582" s="77">
        <v>0.64097222222222217</v>
      </c>
      <c r="E582" t="s">
        <v>3314</v>
      </c>
      <c r="F582">
        <v>28</v>
      </c>
      <c r="G582" t="s">
        <v>3315</v>
      </c>
      <c r="H582">
        <v>20000</v>
      </c>
      <c r="I582" t="s">
        <v>3316</v>
      </c>
      <c r="J582">
        <v>20000</v>
      </c>
      <c r="K582">
        <v>90000</v>
      </c>
      <c r="L582" t="s">
        <v>114</v>
      </c>
      <c r="M582" t="s">
        <v>79</v>
      </c>
      <c r="N582" t="s">
        <v>131</v>
      </c>
      <c r="O582" t="s">
        <v>3465</v>
      </c>
      <c r="P582" s="5" t="s">
        <v>3318</v>
      </c>
      <c r="Q582">
        <v>4.5</v>
      </c>
    </row>
    <row r="583" spans="1:17" x14ac:dyDescent="0.3">
      <c r="A583" s="4">
        <v>44627</v>
      </c>
      <c r="B583" t="s">
        <v>4122</v>
      </c>
      <c r="C583" t="s">
        <v>4109</v>
      </c>
      <c r="D583" s="77">
        <v>0.64444444444444449</v>
      </c>
      <c r="E583" t="s">
        <v>3314</v>
      </c>
      <c r="F583">
        <v>76</v>
      </c>
      <c r="G583" t="s">
        <v>3315</v>
      </c>
      <c r="H583">
        <v>20000</v>
      </c>
      <c r="I583" t="s">
        <v>3316</v>
      </c>
      <c r="J583">
        <v>20000</v>
      </c>
      <c r="K583">
        <v>60000</v>
      </c>
      <c r="L583" t="s">
        <v>149</v>
      </c>
      <c r="M583" t="s">
        <v>3020</v>
      </c>
      <c r="N583" t="s">
        <v>2852</v>
      </c>
      <c r="O583" t="s">
        <v>3661</v>
      </c>
      <c r="P583" s="5" t="s">
        <v>3318</v>
      </c>
      <c r="Q583">
        <v>3</v>
      </c>
    </row>
    <row r="584" spans="1:17" x14ac:dyDescent="0.3">
      <c r="A584" s="4">
        <v>44627</v>
      </c>
      <c r="B584" t="s">
        <v>4123</v>
      </c>
      <c r="C584" t="s">
        <v>4109</v>
      </c>
      <c r="D584" s="77">
        <v>0.65625</v>
      </c>
      <c r="E584" t="s">
        <v>3314</v>
      </c>
      <c r="F584">
        <v>58</v>
      </c>
      <c r="G584" t="s">
        <v>3315</v>
      </c>
      <c r="H584">
        <v>20000</v>
      </c>
      <c r="I584" t="s">
        <v>3834</v>
      </c>
      <c r="J584">
        <v>20000</v>
      </c>
      <c r="K584">
        <v>90000</v>
      </c>
      <c r="L584" t="s">
        <v>119</v>
      </c>
      <c r="M584" t="s">
        <v>29</v>
      </c>
      <c r="N584" t="s">
        <v>104</v>
      </c>
      <c r="O584" t="s">
        <v>3457</v>
      </c>
      <c r="P584" s="5" t="s">
        <v>3318</v>
      </c>
      <c r="Q584">
        <v>4.5</v>
      </c>
    </row>
    <row r="585" spans="1:17" x14ac:dyDescent="0.3">
      <c r="A585" s="4">
        <v>44627</v>
      </c>
      <c r="B585" t="s">
        <v>4124</v>
      </c>
      <c r="C585" t="s">
        <v>4109</v>
      </c>
      <c r="D585" s="77">
        <v>0.65833333333333333</v>
      </c>
      <c r="E585" t="s">
        <v>3314</v>
      </c>
      <c r="F585">
        <v>55</v>
      </c>
      <c r="G585" t="s">
        <v>3315</v>
      </c>
      <c r="H585">
        <v>30000</v>
      </c>
      <c r="I585" t="s">
        <v>3316</v>
      </c>
      <c r="J585">
        <v>30000</v>
      </c>
      <c r="K585">
        <v>120000</v>
      </c>
      <c r="L585" t="s">
        <v>118</v>
      </c>
      <c r="M585" t="s">
        <v>3033</v>
      </c>
      <c r="N585" t="s">
        <v>3035</v>
      </c>
      <c r="O585" t="s">
        <v>3542</v>
      </c>
      <c r="P585" s="5" t="s">
        <v>3318</v>
      </c>
      <c r="Q585">
        <v>4</v>
      </c>
    </row>
    <row r="586" spans="1:17" x14ac:dyDescent="0.3">
      <c r="A586" s="4">
        <v>44627</v>
      </c>
      <c r="B586" t="s">
        <v>4125</v>
      </c>
      <c r="C586" t="s">
        <v>3462</v>
      </c>
      <c r="D586" s="77">
        <v>0.66180555555555554</v>
      </c>
      <c r="E586" t="s">
        <v>3314</v>
      </c>
      <c r="F586">
        <v>60</v>
      </c>
      <c r="G586" t="s">
        <v>3315</v>
      </c>
      <c r="H586">
        <v>20000</v>
      </c>
      <c r="I586" t="s">
        <v>3316</v>
      </c>
      <c r="J586">
        <v>20000</v>
      </c>
      <c r="K586">
        <v>90000</v>
      </c>
      <c r="L586" t="s">
        <v>114</v>
      </c>
      <c r="M586" t="s">
        <v>31</v>
      </c>
      <c r="N586" t="s">
        <v>105</v>
      </c>
      <c r="O586" t="s">
        <v>3339</v>
      </c>
      <c r="P586" s="5" t="s">
        <v>3318</v>
      </c>
      <c r="Q586">
        <v>4.5</v>
      </c>
    </row>
    <row r="587" spans="1:17" x14ac:dyDescent="0.3">
      <c r="A587" s="4">
        <v>44627</v>
      </c>
      <c r="B587" t="s">
        <v>4126</v>
      </c>
      <c r="C587" t="s">
        <v>3612</v>
      </c>
      <c r="D587" s="77">
        <v>0.66388888888888886</v>
      </c>
      <c r="E587" t="s">
        <v>3314</v>
      </c>
      <c r="F587">
        <v>52</v>
      </c>
      <c r="G587" t="s">
        <v>3315</v>
      </c>
      <c r="H587">
        <v>20000</v>
      </c>
      <c r="I587" t="s">
        <v>3316</v>
      </c>
      <c r="J587">
        <v>20000</v>
      </c>
      <c r="K587">
        <v>90000</v>
      </c>
      <c r="L587" t="s">
        <v>114</v>
      </c>
      <c r="M587" t="s">
        <v>79</v>
      </c>
      <c r="N587" t="s">
        <v>131</v>
      </c>
      <c r="O587" t="s">
        <v>3465</v>
      </c>
      <c r="P587" s="5" t="s">
        <v>3318</v>
      </c>
      <c r="Q587">
        <v>4.5</v>
      </c>
    </row>
    <row r="588" spans="1:17" x14ac:dyDescent="0.3">
      <c r="A588" s="4">
        <v>44627</v>
      </c>
      <c r="B588" t="s">
        <v>4127</v>
      </c>
      <c r="C588" t="s">
        <v>3695</v>
      </c>
      <c r="D588" s="77">
        <v>0.68055555555555547</v>
      </c>
      <c r="E588" t="s">
        <v>3314</v>
      </c>
      <c r="F588">
        <v>49</v>
      </c>
      <c r="G588" t="s">
        <v>3315</v>
      </c>
      <c r="H588">
        <v>20000</v>
      </c>
      <c r="I588" t="s">
        <v>3316</v>
      </c>
      <c r="J588">
        <v>20000</v>
      </c>
      <c r="K588">
        <v>90000</v>
      </c>
      <c r="L588" t="s">
        <v>116</v>
      </c>
      <c r="M588" t="s">
        <v>76</v>
      </c>
      <c r="N588" t="s">
        <v>107</v>
      </c>
      <c r="O588" t="s">
        <v>3321</v>
      </c>
      <c r="P588" s="5" t="s">
        <v>3318</v>
      </c>
      <c r="Q588">
        <v>4.5</v>
      </c>
    </row>
    <row r="589" spans="1:17" x14ac:dyDescent="0.3">
      <c r="A589" s="4">
        <v>44627</v>
      </c>
      <c r="B589" t="s">
        <v>4128</v>
      </c>
      <c r="C589" t="s">
        <v>4129</v>
      </c>
      <c r="D589" s="77">
        <v>0.68333333333333324</v>
      </c>
      <c r="E589" t="s">
        <v>3314</v>
      </c>
      <c r="F589">
        <v>58</v>
      </c>
      <c r="G589" t="s">
        <v>3315</v>
      </c>
      <c r="H589">
        <v>20000</v>
      </c>
      <c r="I589" t="s">
        <v>3316</v>
      </c>
      <c r="J589">
        <v>20000</v>
      </c>
      <c r="K589">
        <v>80000</v>
      </c>
      <c r="L589" t="s">
        <v>118</v>
      </c>
      <c r="M589" t="s">
        <v>93</v>
      </c>
      <c r="N589" t="s">
        <v>121</v>
      </c>
      <c r="O589" t="s">
        <v>3781</v>
      </c>
      <c r="P589" s="5" t="s">
        <v>3318</v>
      </c>
      <c r="Q589">
        <v>4</v>
      </c>
    </row>
    <row r="590" spans="1:17" x14ac:dyDescent="0.3">
      <c r="A590" s="4">
        <v>44627</v>
      </c>
      <c r="B590" t="s">
        <v>4130</v>
      </c>
      <c r="C590" t="s">
        <v>3462</v>
      </c>
      <c r="D590" s="77">
        <v>0.6875</v>
      </c>
      <c r="E590" t="s">
        <v>3314</v>
      </c>
      <c r="F590">
        <v>55</v>
      </c>
      <c r="G590" t="s">
        <v>3336</v>
      </c>
      <c r="H590">
        <v>20000</v>
      </c>
      <c r="I590" t="s">
        <v>3336</v>
      </c>
      <c r="J590">
        <v>20000</v>
      </c>
      <c r="K590">
        <v>90000</v>
      </c>
      <c r="L590" t="s">
        <v>114</v>
      </c>
      <c r="M590" t="s">
        <v>31</v>
      </c>
      <c r="N590" t="s">
        <v>105</v>
      </c>
      <c r="O590" t="s">
        <v>3339</v>
      </c>
      <c r="P590" s="5" t="s">
        <v>3318</v>
      </c>
      <c r="Q590">
        <v>4.5</v>
      </c>
    </row>
    <row r="591" spans="1:17" x14ac:dyDescent="0.3">
      <c r="A591" s="4">
        <v>44627</v>
      </c>
      <c r="B591" t="s">
        <v>4131</v>
      </c>
      <c r="C591" t="s">
        <v>4097</v>
      </c>
      <c r="D591" s="77">
        <v>0.69236111111111109</v>
      </c>
      <c r="E591" t="s">
        <v>3314</v>
      </c>
      <c r="F591">
        <v>24</v>
      </c>
      <c r="G591" t="s">
        <v>3575</v>
      </c>
      <c r="H591">
        <v>30000</v>
      </c>
      <c r="I591" t="s">
        <v>3575</v>
      </c>
      <c r="J591">
        <v>30000</v>
      </c>
      <c r="K591">
        <v>120000</v>
      </c>
      <c r="L591" t="s">
        <v>118</v>
      </c>
      <c r="M591" t="s">
        <v>3023</v>
      </c>
      <c r="N591" t="s">
        <v>3025</v>
      </c>
      <c r="O591" t="s">
        <v>3481</v>
      </c>
      <c r="P591" s="5" t="s">
        <v>3318</v>
      </c>
      <c r="Q591">
        <v>4</v>
      </c>
    </row>
    <row r="592" spans="1:17" x14ac:dyDescent="0.3">
      <c r="A592" s="4">
        <v>44627</v>
      </c>
      <c r="B592" t="s">
        <v>4132</v>
      </c>
      <c r="C592" t="s">
        <v>4117</v>
      </c>
      <c r="D592" s="77">
        <v>0.69374999999999998</v>
      </c>
      <c r="E592" t="s">
        <v>3314</v>
      </c>
      <c r="F592">
        <v>52</v>
      </c>
      <c r="G592" t="s">
        <v>3315</v>
      </c>
      <c r="H592">
        <v>30000</v>
      </c>
      <c r="I592" t="s">
        <v>3348</v>
      </c>
      <c r="J592">
        <v>30000</v>
      </c>
      <c r="K592">
        <v>135000</v>
      </c>
      <c r="L592" t="s">
        <v>116</v>
      </c>
      <c r="M592" t="s">
        <v>78</v>
      </c>
      <c r="N592" t="s">
        <v>100</v>
      </c>
      <c r="O592" t="s">
        <v>3629</v>
      </c>
      <c r="P592" s="5" t="s">
        <v>3318</v>
      </c>
      <c r="Q592">
        <v>4.5</v>
      </c>
    </row>
    <row r="593" spans="1:17" x14ac:dyDescent="0.3">
      <c r="A593" s="4">
        <v>44627</v>
      </c>
      <c r="B593" t="s">
        <v>4133</v>
      </c>
      <c r="C593" t="s">
        <v>3610</v>
      </c>
      <c r="D593" s="77">
        <v>0.6958333333333333</v>
      </c>
      <c r="E593" t="s">
        <v>3314</v>
      </c>
      <c r="F593">
        <v>25</v>
      </c>
      <c r="G593" t="s">
        <v>3315</v>
      </c>
      <c r="H593">
        <v>20000</v>
      </c>
      <c r="I593" t="s">
        <v>3316</v>
      </c>
      <c r="J593">
        <v>20000</v>
      </c>
      <c r="K593">
        <v>90000</v>
      </c>
      <c r="L593" t="s">
        <v>119</v>
      </c>
      <c r="M593" t="s">
        <v>27</v>
      </c>
      <c r="N593" t="s">
        <v>101</v>
      </c>
      <c r="O593" t="s">
        <v>3803</v>
      </c>
      <c r="P593" s="5" t="s">
        <v>3318</v>
      </c>
      <c r="Q593">
        <v>4.5</v>
      </c>
    </row>
    <row r="594" spans="1:17" x14ac:dyDescent="0.3">
      <c r="A594" s="4">
        <v>44627</v>
      </c>
      <c r="B594" t="s">
        <v>4134</v>
      </c>
      <c r="C594" t="s">
        <v>3610</v>
      </c>
      <c r="D594" s="77">
        <v>0.6958333333333333</v>
      </c>
      <c r="E594" t="s">
        <v>3314</v>
      </c>
      <c r="F594">
        <v>56</v>
      </c>
      <c r="G594" t="s">
        <v>3315</v>
      </c>
      <c r="H594">
        <v>30000</v>
      </c>
      <c r="I594" t="s">
        <v>3316</v>
      </c>
      <c r="J594">
        <v>30000</v>
      </c>
      <c r="K594">
        <v>135000</v>
      </c>
      <c r="L594" t="s">
        <v>116</v>
      </c>
      <c r="M594" t="s">
        <v>65</v>
      </c>
      <c r="N594" t="s">
        <v>102</v>
      </c>
      <c r="O594" t="s">
        <v>3506</v>
      </c>
      <c r="P594" s="5" t="s">
        <v>3318</v>
      </c>
      <c r="Q594">
        <v>4.5</v>
      </c>
    </row>
    <row r="595" spans="1:17" x14ac:dyDescent="0.3">
      <c r="A595" s="4">
        <v>44627</v>
      </c>
      <c r="B595" t="s">
        <v>4135</v>
      </c>
      <c r="C595" t="s">
        <v>4136</v>
      </c>
      <c r="D595" s="77">
        <v>0.70624999999999993</v>
      </c>
      <c r="E595" t="s">
        <v>3314</v>
      </c>
      <c r="F595">
        <v>31</v>
      </c>
      <c r="G595" t="s">
        <v>3315</v>
      </c>
      <c r="H595">
        <v>20000</v>
      </c>
      <c r="I595" t="s">
        <v>3834</v>
      </c>
      <c r="J595">
        <v>20000</v>
      </c>
      <c r="K595">
        <v>60000</v>
      </c>
      <c r="L595" t="s">
        <v>149</v>
      </c>
      <c r="M595" t="s">
        <v>2845</v>
      </c>
      <c r="N595" t="s">
        <v>2847</v>
      </c>
      <c r="O595" t="s">
        <v>3361</v>
      </c>
      <c r="P595" s="5" t="s">
        <v>3318</v>
      </c>
      <c r="Q595">
        <v>3</v>
      </c>
    </row>
    <row r="596" spans="1:17" x14ac:dyDescent="0.3">
      <c r="A596" s="4">
        <v>44627</v>
      </c>
      <c r="B596" t="s">
        <v>4137</v>
      </c>
      <c r="C596" t="s">
        <v>3610</v>
      </c>
      <c r="D596" s="77">
        <v>0.70694444444444438</v>
      </c>
      <c r="E596" t="s">
        <v>3314</v>
      </c>
      <c r="F596">
        <v>26</v>
      </c>
      <c r="G596" t="s">
        <v>3315</v>
      </c>
      <c r="H596">
        <v>20000</v>
      </c>
      <c r="I596" t="s">
        <v>3316</v>
      </c>
      <c r="J596">
        <v>20000</v>
      </c>
      <c r="K596">
        <v>90000</v>
      </c>
      <c r="L596" t="s">
        <v>119</v>
      </c>
      <c r="M596" t="s">
        <v>27</v>
      </c>
      <c r="N596" t="s">
        <v>101</v>
      </c>
      <c r="O596" t="s">
        <v>3803</v>
      </c>
      <c r="P596" s="5" t="s">
        <v>3318</v>
      </c>
      <c r="Q596">
        <v>4.5</v>
      </c>
    </row>
    <row r="597" spans="1:17" x14ac:dyDescent="0.3">
      <c r="A597" s="4">
        <v>44627</v>
      </c>
      <c r="B597" t="s">
        <v>4138</v>
      </c>
      <c r="C597" t="s">
        <v>4139</v>
      </c>
      <c r="D597" s="77">
        <v>0.70833333333333337</v>
      </c>
      <c r="E597" t="s">
        <v>3314</v>
      </c>
      <c r="F597">
        <v>37</v>
      </c>
      <c r="G597" t="s">
        <v>3315</v>
      </c>
      <c r="H597">
        <v>30000</v>
      </c>
      <c r="I597" t="s">
        <v>3316</v>
      </c>
      <c r="J597">
        <v>30000</v>
      </c>
      <c r="K597">
        <v>120000</v>
      </c>
      <c r="L597" t="s">
        <v>118</v>
      </c>
      <c r="M597" t="s">
        <v>28</v>
      </c>
      <c r="N597" t="s">
        <v>132</v>
      </c>
      <c r="O597" t="s">
        <v>3449</v>
      </c>
      <c r="P597" s="5" t="s">
        <v>3318</v>
      </c>
      <c r="Q597">
        <v>4</v>
      </c>
    </row>
    <row r="598" spans="1:17" x14ac:dyDescent="0.3">
      <c r="A598" s="4">
        <v>44627</v>
      </c>
      <c r="B598" t="s">
        <v>4140</v>
      </c>
      <c r="C598" t="s">
        <v>3384</v>
      </c>
      <c r="D598" s="77">
        <v>0.72361111111111109</v>
      </c>
      <c r="E598" t="s">
        <v>3314</v>
      </c>
      <c r="F598">
        <v>31</v>
      </c>
      <c r="G598" t="s">
        <v>3315</v>
      </c>
      <c r="H598">
        <v>20000</v>
      </c>
      <c r="I598" t="s">
        <v>3316</v>
      </c>
      <c r="J598">
        <v>20000</v>
      </c>
      <c r="K598">
        <v>90000</v>
      </c>
      <c r="L598" t="s">
        <v>116</v>
      </c>
      <c r="M598" t="s">
        <v>77</v>
      </c>
      <c r="N598" t="s">
        <v>133</v>
      </c>
      <c r="O598" t="s">
        <v>3376</v>
      </c>
      <c r="P598" s="5" t="s">
        <v>3318</v>
      </c>
      <c r="Q598">
        <v>4.5</v>
      </c>
    </row>
    <row r="599" spans="1:17" x14ac:dyDescent="0.3">
      <c r="A599" s="4">
        <v>44627</v>
      </c>
      <c r="B599" t="s">
        <v>4141</v>
      </c>
      <c r="C599" t="s">
        <v>3610</v>
      </c>
      <c r="D599" s="77">
        <v>0.72638888888888886</v>
      </c>
      <c r="E599" t="s">
        <v>3314</v>
      </c>
      <c r="F599">
        <v>60</v>
      </c>
      <c r="G599" t="s">
        <v>3315</v>
      </c>
      <c r="H599">
        <v>20000</v>
      </c>
      <c r="I599" t="s">
        <v>3316</v>
      </c>
      <c r="J599">
        <v>20000</v>
      </c>
      <c r="K599">
        <v>90000</v>
      </c>
      <c r="L599" t="s">
        <v>119</v>
      </c>
      <c r="M599" t="s">
        <v>27</v>
      </c>
      <c r="N599" t="s">
        <v>101</v>
      </c>
      <c r="O599" t="s">
        <v>3803</v>
      </c>
      <c r="P599" s="5" t="s">
        <v>3318</v>
      </c>
      <c r="Q599">
        <v>4.5</v>
      </c>
    </row>
    <row r="600" spans="1:17" x14ac:dyDescent="0.3">
      <c r="A600" s="4">
        <v>44627</v>
      </c>
      <c r="B600" t="s">
        <v>4142</v>
      </c>
      <c r="C600" t="s">
        <v>3610</v>
      </c>
      <c r="D600" s="77">
        <v>0.72638888888888886</v>
      </c>
      <c r="E600" t="s">
        <v>3314</v>
      </c>
      <c r="F600">
        <v>67</v>
      </c>
      <c r="G600" t="s">
        <v>3315</v>
      </c>
      <c r="H600">
        <v>30000</v>
      </c>
      <c r="I600" t="s">
        <v>3834</v>
      </c>
      <c r="J600">
        <v>30000</v>
      </c>
      <c r="K600">
        <v>135000</v>
      </c>
      <c r="L600" t="s">
        <v>116</v>
      </c>
      <c r="M600" t="s">
        <v>65</v>
      </c>
      <c r="N600" t="s">
        <v>102</v>
      </c>
      <c r="O600" t="s">
        <v>3506</v>
      </c>
      <c r="P600" s="5" t="s">
        <v>3318</v>
      </c>
      <c r="Q600">
        <v>4.5</v>
      </c>
    </row>
    <row r="601" spans="1:17" x14ac:dyDescent="0.3">
      <c r="A601" s="4">
        <v>44627</v>
      </c>
      <c r="B601" t="s">
        <v>4143</v>
      </c>
      <c r="C601" t="s">
        <v>3384</v>
      </c>
      <c r="D601" s="77">
        <v>0.72916666666666663</v>
      </c>
      <c r="E601" t="s">
        <v>3314</v>
      </c>
      <c r="F601">
        <v>25</v>
      </c>
      <c r="G601" t="s">
        <v>3315</v>
      </c>
      <c r="H601">
        <v>20000</v>
      </c>
      <c r="I601" t="s">
        <v>3348</v>
      </c>
      <c r="J601">
        <v>20000</v>
      </c>
      <c r="K601">
        <v>90000</v>
      </c>
      <c r="L601" t="s">
        <v>116</v>
      </c>
      <c r="M601" t="s">
        <v>77</v>
      </c>
      <c r="N601" t="s">
        <v>133</v>
      </c>
      <c r="O601" t="s">
        <v>3376</v>
      </c>
      <c r="P601" s="5" t="s">
        <v>3318</v>
      </c>
      <c r="Q601">
        <v>4.5</v>
      </c>
    </row>
    <row r="602" spans="1:17" x14ac:dyDescent="0.3">
      <c r="A602" s="4">
        <v>44627</v>
      </c>
      <c r="B602" t="s">
        <v>4144</v>
      </c>
      <c r="C602" t="s">
        <v>3384</v>
      </c>
      <c r="D602" s="77">
        <v>0.73125000000000007</v>
      </c>
      <c r="E602" t="s">
        <v>3314</v>
      </c>
      <c r="F602">
        <v>42</v>
      </c>
      <c r="G602" t="s">
        <v>3315</v>
      </c>
      <c r="H602">
        <v>20000</v>
      </c>
      <c r="I602" t="s">
        <v>3316</v>
      </c>
      <c r="J602">
        <v>20000</v>
      </c>
      <c r="K602">
        <v>80000</v>
      </c>
      <c r="L602" t="s">
        <v>118</v>
      </c>
      <c r="M602" t="s">
        <v>91</v>
      </c>
      <c r="N602" t="s">
        <v>136</v>
      </c>
      <c r="O602" t="s">
        <v>3422</v>
      </c>
      <c r="P602" s="5" t="s">
        <v>3318</v>
      </c>
      <c r="Q602">
        <v>4</v>
      </c>
    </row>
    <row r="603" spans="1:17" x14ac:dyDescent="0.3">
      <c r="A603" s="4">
        <v>44627</v>
      </c>
      <c r="B603" t="s">
        <v>4145</v>
      </c>
      <c r="C603" t="s">
        <v>4099</v>
      </c>
      <c r="D603" s="77">
        <v>0.73611111111111116</v>
      </c>
      <c r="E603" t="s">
        <v>3314</v>
      </c>
      <c r="F603">
        <v>49</v>
      </c>
      <c r="G603" t="s">
        <v>3315</v>
      </c>
      <c r="H603">
        <v>20000</v>
      </c>
      <c r="I603" t="s">
        <v>3316</v>
      </c>
      <c r="J603">
        <v>20000</v>
      </c>
      <c r="K603">
        <v>80000</v>
      </c>
      <c r="L603" t="s">
        <v>118</v>
      </c>
      <c r="M603" t="s">
        <v>92</v>
      </c>
      <c r="N603" t="s">
        <v>137</v>
      </c>
      <c r="O603" t="s">
        <v>3476</v>
      </c>
      <c r="P603" s="5" t="s">
        <v>3318</v>
      </c>
      <c r="Q603">
        <v>4</v>
      </c>
    </row>
    <row r="604" spans="1:17" x14ac:dyDescent="0.3">
      <c r="A604" s="4">
        <v>44627</v>
      </c>
      <c r="B604" t="s">
        <v>4146</v>
      </c>
      <c r="C604" t="s">
        <v>4115</v>
      </c>
      <c r="D604" s="77">
        <v>0.74305555555555547</v>
      </c>
      <c r="E604" t="s">
        <v>3314</v>
      </c>
      <c r="F604">
        <v>45</v>
      </c>
      <c r="G604" t="s">
        <v>3315</v>
      </c>
      <c r="H604">
        <v>20000</v>
      </c>
      <c r="I604" t="s">
        <v>3834</v>
      </c>
      <c r="J604">
        <v>20000</v>
      </c>
      <c r="K604">
        <v>80000</v>
      </c>
      <c r="L604" t="s">
        <v>118</v>
      </c>
      <c r="M604" t="s">
        <v>84</v>
      </c>
      <c r="N604" t="s">
        <v>108</v>
      </c>
      <c r="O604" t="s">
        <v>3366</v>
      </c>
      <c r="P604" s="5" t="s">
        <v>3318</v>
      </c>
      <c r="Q604">
        <v>4</v>
      </c>
    </row>
    <row r="605" spans="1:17" x14ac:dyDescent="0.3">
      <c r="A605" s="4">
        <v>44627</v>
      </c>
      <c r="B605" t="s">
        <v>4147</v>
      </c>
      <c r="C605" t="s">
        <v>4148</v>
      </c>
      <c r="D605" s="77">
        <v>0.74305555555555547</v>
      </c>
      <c r="E605" t="s">
        <v>3332</v>
      </c>
      <c r="F605">
        <v>51</v>
      </c>
      <c r="G605" t="s">
        <v>3315</v>
      </c>
      <c r="H605">
        <v>30000</v>
      </c>
      <c r="I605" t="s">
        <v>3316</v>
      </c>
      <c r="J605">
        <v>30000</v>
      </c>
      <c r="K605">
        <v>150000</v>
      </c>
      <c r="L605" t="s">
        <v>114</v>
      </c>
      <c r="M605" t="s">
        <v>23</v>
      </c>
      <c r="N605" t="s">
        <v>99</v>
      </c>
      <c r="O605" t="s">
        <v>3358</v>
      </c>
      <c r="P605" s="5" t="s">
        <v>3318</v>
      </c>
      <c r="Q605">
        <v>5</v>
      </c>
    </row>
    <row r="606" spans="1:17" x14ac:dyDescent="0.3">
      <c r="A606" s="4">
        <v>44627</v>
      </c>
      <c r="B606" t="s">
        <v>4149</v>
      </c>
      <c r="C606" t="s">
        <v>4109</v>
      </c>
      <c r="D606" s="77">
        <v>0.74305555555555547</v>
      </c>
      <c r="E606" t="s">
        <v>3314</v>
      </c>
      <c r="F606">
        <v>63</v>
      </c>
      <c r="G606" t="s">
        <v>3315</v>
      </c>
      <c r="H606">
        <v>20000</v>
      </c>
      <c r="I606" t="s">
        <v>3316</v>
      </c>
      <c r="J606">
        <v>20000</v>
      </c>
      <c r="K606">
        <v>90000</v>
      </c>
      <c r="L606" t="s">
        <v>119</v>
      </c>
      <c r="M606" t="s">
        <v>29</v>
      </c>
      <c r="N606" t="s">
        <v>104</v>
      </c>
      <c r="O606" t="s">
        <v>3457</v>
      </c>
      <c r="P606" s="5" t="s">
        <v>3318</v>
      </c>
      <c r="Q606">
        <v>4.5</v>
      </c>
    </row>
    <row r="607" spans="1:17" x14ac:dyDescent="0.3">
      <c r="A607" s="4">
        <v>44627</v>
      </c>
      <c r="B607" t="s">
        <v>4150</v>
      </c>
      <c r="C607" t="s">
        <v>4117</v>
      </c>
      <c r="D607" s="77">
        <v>0.74513888888888891</v>
      </c>
      <c r="E607" t="s">
        <v>3314</v>
      </c>
      <c r="F607">
        <v>48</v>
      </c>
      <c r="G607" t="s">
        <v>3315</v>
      </c>
      <c r="H607">
        <v>20000</v>
      </c>
      <c r="I607" t="s">
        <v>3316</v>
      </c>
      <c r="J607">
        <v>20000</v>
      </c>
      <c r="K607">
        <v>90000</v>
      </c>
      <c r="L607" t="s">
        <v>116</v>
      </c>
      <c r="M607" t="s">
        <v>78</v>
      </c>
      <c r="N607" t="s">
        <v>100</v>
      </c>
      <c r="O607" t="s">
        <v>3629</v>
      </c>
      <c r="P607" s="5" t="s">
        <v>3318</v>
      </c>
      <c r="Q607">
        <v>4.5</v>
      </c>
    </row>
    <row r="608" spans="1:17" x14ac:dyDescent="0.3">
      <c r="A608" s="4">
        <v>44627</v>
      </c>
      <c r="B608" t="s">
        <v>4151</v>
      </c>
      <c r="C608" t="s">
        <v>4117</v>
      </c>
      <c r="D608" s="77">
        <v>0.74513888888888891</v>
      </c>
      <c r="E608" t="s">
        <v>3314</v>
      </c>
      <c r="F608">
        <v>58</v>
      </c>
      <c r="G608" t="s">
        <v>3336</v>
      </c>
      <c r="H608">
        <v>30000</v>
      </c>
      <c r="I608" t="s">
        <v>3336</v>
      </c>
      <c r="J608">
        <v>30000</v>
      </c>
      <c r="K608">
        <v>120000</v>
      </c>
      <c r="L608" t="s">
        <v>118</v>
      </c>
      <c r="M608" t="s">
        <v>88</v>
      </c>
      <c r="N608" t="s">
        <v>117</v>
      </c>
      <c r="O608" t="s">
        <v>3494</v>
      </c>
      <c r="P608" s="5" t="s">
        <v>3318</v>
      </c>
      <c r="Q608">
        <v>4</v>
      </c>
    </row>
    <row r="609" spans="1:17" x14ac:dyDescent="0.3">
      <c r="A609" s="4">
        <v>44627</v>
      </c>
      <c r="B609" t="s">
        <v>4152</v>
      </c>
      <c r="C609" t="s">
        <v>3462</v>
      </c>
      <c r="D609" s="77">
        <v>0.74583333333333324</v>
      </c>
      <c r="E609" t="s">
        <v>3314</v>
      </c>
      <c r="F609">
        <v>65</v>
      </c>
      <c r="G609" t="s">
        <v>3315</v>
      </c>
      <c r="H609">
        <v>20000</v>
      </c>
      <c r="I609" t="s">
        <v>3316</v>
      </c>
      <c r="J609">
        <v>20000</v>
      </c>
      <c r="K609">
        <v>80000</v>
      </c>
      <c r="L609" t="s">
        <v>118</v>
      </c>
      <c r="M609" t="s">
        <v>87</v>
      </c>
      <c r="N609" t="s">
        <v>134</v>
      </c>
      <c r="O609" t="s">
        <v>3528</v>
      </c>
      <c r="P609" s="5" t="s">
        <v>3318</v>
      </c>
      <c r="Q609">
        <v>4</v>
      </c>
    </row>
    <row r="610" spans="1:17" x14ac:dyDescent="0.3">
      <c r="A610" s="4">
        <v>44627</v>
      </c>
      <c r="B610" t="s">
        <v>4153</v>
      </c>
      <c r="C610" t="s">
        <v>4139</v>
      </c>
      <c r="D610" s="77">
        <v>0.75</v>
      </c>
      <c r="E610" t="s">
        <v>3314</v>
      </c>
      <c r="F610">
        <v>40</v>
      </c>
      <c r="G610" t="s">
        <v>3315</v>
      </c>
      <c r="H610">
        <v>20000</v>
      </c>
      <c r="I610" t="s">
        <v>3316</v>
      </c>
      <c r="J610">
        <v>20000</v>
      </c>
      <c r="K610">
        <v>80000</v>
      </c>
      <c r="L610" t="s">
        <v>118</v>
      </c>
      <c r="M610" t="s">
        <v>28</v>
      </c>
      <c r="N610" t="s">
        <v>132</v>
      </c>
      <c r="O610" t="s">
        <v>3449</v>
      </c>
      <c r="P610" s="5" t="s">
        <v>3318</v>
      </c>
      <c r="Q610">
        <v>4</v>
      </c>
    </row>
    <row r="611" spans="1:17" x14ac:dyDescent="0.3">
      <c r="A611" s="4">
        <v>44627</v>
      </c>
      <c r="B611" t="s">
        <v>4154</v>
      </c>
      <c r="C611" t="s">
        <v>4115</v>
      </c>
      <c r="D611" s="77">
        <v>0.75416666666666676</v>
      </c>
      <c r="E611" t="s">
        <v>3314</v>
      </c>
      <c r="F611">
        <v>57</v>
      </c>
      <c r="G611" t="s">
        <v>3315</v>
      </c>
      <c r="H611">
        <v>20000</v>
      </c>
      <c r="I611" t="s">
        <v>3316</v>
      </c>
      <c r="J611">
        <v>20000</v>
      </c>
      <c r="K611">
        <v>80000</v>
      </c>
      <c r="L611" t="s">
        <v>118</v>
      </c>
      <c r="M611" t="s">
        <v>94</v>
      </c>
      <c r="N611" t="s">
        <v>138</v>
      </c>
      <c r="O611" t="s">
        <v>3775</v>
      </c>
      <c r="P611" s="5" t="s">
        <v>3318</v>
      </c>
      <c r="Q611">
        <v>4</v>
      </c>
    </row>
    <row r="612" spans="1:17" x14ac:dyDescent="0.3">
      <c r="A612" s="4">
        <v>44627</v>
      </c>
      <c r="B612" t="s">
        <v>4155</v>
      </c>
      <c r="C612" t="s">
        <v>3384</v>
      </c>
      <c r="D612" s="77">
        <v>0.7597222222222223</v>
      </c>
      <c r="E612" t="s">
        <v>3314</v>
      </c>
      <c r="F612">
        <v>48</v>
      </c>
      <c r="G612" t="s">
        <v>3315</v>
      </c>
      <c r="H612">
        <v>30000</v>
      </c>
      <c r="I612" t="s">
        <v>3834</v>
      </c>
      <c r="J612">
        <v>30000</v>
      </c>
      <c r="K612">
        <v>135000</v>
      </c>
      <c r="L612" t="s">
        <v>116</v>
      </c>
      <c r="M612" t="s">
        <v>77</v>
      </c>
      <c r="N612" t="s">
        <v>133</v>
      </c>
      <c r="O612" t="s">
        <v>3376</v>
      </c>
      <c r="P612" s="5" t="s">
        <v>3318</v>
      </c>
      <c r="Q612">
        <v>4.5</v>
      </c>
    </row>
    <row r="613" spans="1:17" x14ac:dyDescent="0.3">
      <c r="A613" s="4">
        <v>44627</v>
      </c>
      <c r="B613" t="s">
        <v>4156</v>
      </c>
      <c r="C613" t="s">
        <v>4109</v>
      </c>
      <c r="D613" s="77">
        <v>0.77777777777777779</v>
      </c>
      <c r="E613" t="s">
        <v>3314</v>
      </c>
      <c r="F613">
        <v>55</v>
      </c>
      <c r="G613" t="s">
        <v>3315</v>
      </c>
      <c r="H613">
        <v>20000</v>
      </c>
      <c r="I613" t="s">
        <v>3316</v>
      </c>
      <c r="J613">
        <v>20000</v>
      </c>
      <c r="K613">
        <v>90000</v>
      </c>
      <c r="L613" t="s">
        <v>119</v>
      </c>
      <c r="M613" t="s">
        <v>29</v>
      </c>
      <c r="N613" t="s">
        <v>104</v>
      </c>
      <c r="O613" t="s">
        <v>3457</v>
      </c>
      <c r="P613" s="5" t="s">
        <v>3318</v>
      </c>
      <c r="Q613">
        <v>4.5</v>
      </c>
    </row>
    <row r="614" spans="1:17" x14ac:dyDescent="0.3">
      <c r="A614" s="4">
        <v>44627</v>
      </c>
      <c r="B614" t="s">
        <v>4157</v>
      </c>
      <c r="C614" t="s">
        <v>4109</v>
      </c>
      <c r="D614" s="77">
        <v>0.77777777777777779</v>
      </c>
      <c r="E614" t="s">
        <v>3314</v>
      </c>
      <c r="F614">
        <v>60</v>
      </c>
      <c r="G614" t="s">
        <v>3315</v>
      </c>
      <c r="H614">
        <v>20000</v>
      </c>
      <c r="I614" t="s">
        <v>3316</v>
      </c>
      <c r="J614">
        <v>20000</v>
      </c>
      <c r="K614">
        <v>80000</v>
      </c>
      <c r="L614" t="s">
        <v>118</v>
      </c>
      <c r="M614" t="s">
        <v>3033</v>
      </c>
      <c r="N614" t="s">
        <v>3035</v>
      </c>
      <c r="O614" t="s">
        <v>3542</v>
      </c>
      <c r="P614" s="5" t="s">
        <v>3318</v>
      </c>
      <c r="Q614">
        <v>4</v>
      </c>
    </row>
    <row r="615" spans="1:17" x14ac:dyDescent="0.3">
      <c r="A615" s="4">
        <v>44627</v>
      </c>
      <c r="B615" t="s">
        <v>4158</v>
      </c>
      <c r="C615" t="s">
        <v>3695</v>
      </c>
      <c r="D615" s="77">
        <v>0.79166666666666663</v>
      </c>
      <c r="E615" t="s">
        <v>3314</v>
      </c>
      <c r="F615">
        <v>75</v>
      </c>
      <c r="G615" t="s">
        <v>3336</v>
      </c>
      <c r="H615">
        <v>20000</v>
      </c>
      <c r="I615" t="s">
        <v>3336</v>
      </c>
      <c r="J615">
        <v>20000</v>
      </c>
      <c r="K615">
        <v>60000</v>
      </c>
      <c r="L615" t="s">
        <v>149</v>
      </c>
      <c r="M615" t="s">
        <v>96</v>
      </c>
      <c r="N615" t="s">
        <v>140</v>
      </c>
      <c r="O615" t="s">
        <v>4105</v>
      </c>
      <c r="P615" s="5" t="s">
        <v>3318</v>
      </c>
      <c r="Q615">
        <v>3</v>
      </c>
    </row>
    <row r="616" spans="1:17" x14ac:dyDescent="0.3">
      <c r="A616" s="4">
        <v>44627</v>
      </c>
      <c r="B616" t="s">
        <v>4159</v>
      </c>
      <c r="C616" t="s">
        <v>4115</v>
      </c>
      <c r="D616" s="77">
        <v>0.79166666666666663</v>
      </c>
      <c r="E616" t="s">
        <v>3314</v>
      </c>
      <c r="F616">
        <v>43</v>
      </c>
      <c r="G616" t="s">
        <v>3315</v>
      </c>
      <c r="H616">
        <v>20000</v>
      </c>
      <c r="I616" t="s">
        <v>3316</v>
      </c>
      <c r="J616">
        <v>20000</v>
      </c>
      <c r="K616">
        <v>80000</v>
      </c>
      <c r="L616" t="s">
        <v>118</v>
      </c>
      <c r="M616" t="s">
        <v>94</v>
      </c>
      <c r="N616" t="s">
        <v>138</v>
      </c>
      <c r="O616" t="s">
        <v>3775</v>
      </c>
      <c r="P616" s="5" t="s">
        <v>3318</v>
      </c>
      <c r="Q616">
        <v>4</v>
      </c>
    </row>
    <row r="617" spans="1:17" x14ac:dyDescent="0.3">
      <c r="A617" s="4">
        <v>44627</v>
      </c>
      <c r="B617" t="s">
        <v>4160</v>
      </c>
      <c r="C617" t="s">
        <v>4115</v>
      </c>
      <c r="D617" s="77">
        <v>0.80138888888888893</v>
      </c>
      <c r="E617" t="s">
        <v>3314</v>
      </c>
      <c r="F617">
        <v>35</v>
      </c>
      <c r="G617" t="s">
        <v>3315</v>
      </c>
      <c r="H617">
        <v>30000</v>
      </c>
      <c r="I617" t="s">
        <v>3316</v>
      </c>
      <c r="J617">
        <v>30000</v>
      </c>
      <c r="K617">
        <v>120000</v>
      </c>
      <c r="L617" t="s">
        <v>118</v>
      </c>
      <c r="M617" t="s">
        <v>94</v>
      </c>
      <c r="N617" t="s">
        <v>138</v>
      </c>
      <c r="O617" t="s">
        <v>3775</v>
      </c>
      <c r="P617" s="5" t="s">
        <v>3318</v>
      </c>
      <c r="Q617">
        <v>4</v>
      </c>
    </row>
    <row r="618" spans="1:17" x14ac:dyDescent="0.3">
      <c r="A618" s="4">
        <v>44627</v>
      </c>
      <c r="B618" t="s">
        <v>4161</v>
      </c>
      <c r="C618" t="s">
        <v>3695</v>
      </c>
      <c r="D618" s="77">
        <v>0.82152777777777775</v>
      </c>
      <c r="E618" t="s">
        <v>3314</v>
      </c>
      <c r="F618">
        <v>61</v>
      </c>
      <c r="G618" t="s">
        <v>3315</v>
      </c>
      <c r="H618">
        <v>20000</v>
      </c>
      <c r="I618" t="s">
        <v>3316</v>
      </c>
      <c r="J618">
        <v>20000</v>
      </c>
      <c r="K618">
        <v>90000</v>
      </c>
      <c r="L618" t="s">
        <v>116</v>
      </c>
      <c r="M618" t="s">
        <v>76</v>
      </c>
      <c r="N618" t="s">
        <v>107</v>
      </c>
      <c r="O618" t="s">
        <v>3321</v>
      </c>
      <c r="P618" s="5" t="s">
        <v>3318</v>
      </c>
      <c r="Q618">
        <v>4.5</v>
      </c>
    </row>
    <row r="619" spans="1:17" x14ac:dyDescent="0.3">
      <c r="A619" s="4">
        <v>44628</v>
      </c>
      <c r="B619" t="s">
        <v>4162</v>
      </c>
      <c r="C619" t="s">
        <v>3612</v>
      </c>
      <c r="D619" s="77">
        <v>0.44097222222222227</v>
      </c>
      <c r="E619" t="s">
        <v>3314</v>
      </c>
      <c r="F619">
        <v>39</v>
      </c>
      <c r="G619" t="s">
        <v>3315</v>
      </c>
      <c r="H619">
        <v>20000</v>
      </c>
      <c r="I619" t="s">
        <v>3316</v>
      </c>
      <c r="J619">
        <v>20000</v>
      </c>
      <c r="K619">
        <v>90000</v>
      </c>
      <c r="L619" t="s">
        <v>114</v>
      </c>
      <c r="M619" t="s">
        <v>79</v>
      </c>
      <c r="N619" t="s">
        <v>131</v>
      </c>
      <c r="O619" t="s">
        <v>3465</v>
      </c>
      <c r="P619" s="5" t="s">
        <v>3318</v>
      </c>
      <c r="Q619">
        <v>4.5</v>
      </c>
    </row>
    <row r="620" spans="1:17" x14ac:dyDescent="0.3">
      <c r="A620" s="4">
        <v>44628</v>
      </c>
      <c r="B620" t="s">
        <v>4163</v>
      </c>
      <c r="C620" t="s">
        <v>4015</v>
      </c>
      <c r="D620" s="77">
        <v>0.53888888888888886</v>
      </c>
      <c r="E620" t="s">
        <v>3314</v>
      </c>
      <c r="F620">
        <v>43</v>
      </c>
      <c r="G620" t="s">
        <v>3315</v>
      </c>
      <c r="H620">
        <v>20000</v>
      </c>
      <c r="I620" t="s">
        <v>3316</v>
      </c>
      <c r="J620">
        <v>20000</v>
      </c>
      <c r="K620">
        <v>90000</v>
      </c>
      <c r="L620" t="s">
        <v>119</v>
      </c>
      <c r="M620" t="s">
        <v>27</v>
      </c>
      <c r="N620" t="s">
        <v>101</v>
      </c>
      <c r="O620" t="s">
        <v>3803</v>
      </c>
      <c r="P620" s="5" t="s">
        <v>3318</v>
      </c>
      <c r="Q620">
        <v>4.5</v>
      </c>
    </row>
    <row r="621" spans="1:17" x14ac:dyDescent="0.3">
      <c r="A621" s="4">
        <v>44628</v>
      </c>
      <c r="B621" t="s">
        <v>4164</v>
      </c>
      <c r="C621" t="s">
        <v>4165</v>
      </c>
      <c r="D621" s="77">
        <v>0.54166666666666663</v>
      </c>
      <c r="E621" t="s">
        <v>3332</v>
      </c>
      <c r="F621">
        <v>42</v>
      </c>
      <c r="G621" t="s">
        <v>3315</v>
      </c>
      <c r="H621">
        <v>20000</v>
      </c>
      <c r="I621" t="s">
        <v>3316</v>
      </c>
      <c r="J621">
        <v>20000</v>
      </c>
      <c r="K621">
        <v>100000</v>
      </c>
      <c r="L621" t="s">
        <v>114</v>
      </c>
      <c r="M621" t="s">
        <v>23</v>
      </c>
      <c r="N621" t="s">
        <v>99</v>
      </c>
      <c r="O621" t="s">
        <v>3358</v>
      </c>
      <c r="P621" s="5" t="s">
        <v>3318</v>
      </c>
      <c r="Q621">
        <v>5</v>
      </c>
    </row>
    <row r="622" spans="1:17" x14ac:dyDescent="0.3">
      <c r="A622" s="4">
        <v>44628</v>
      </c>
      <c r="B622" t="s">
        <v>4166</v>
      </c>
      <c r="C622" t="s">
        <v>3577</v>
      </c>
      <c r="D622" s="77">
        <v>0.58333333333333337</v>
      </c>
      <c r="E622" t="s">
        <v>3314</v>
      </c>
      <c r="F622">
        <v>49</v>
      </c>
      <c r="G622" t="s">
        <v>3315</v>
      </c>
      <c r="H622">
        <v>20000</v>
      </c>
      <c r="I622" t="s">
        <v>3316</v>
      </c>
      <c r="J622">
        <v>20000</v>
      </c>
      <c r="K622">
        <v>80000</v>
      </c>
      <c r="L622" t="s">
        <v>118</v>
      </c>
      <c r="M622" t="s">
        <v>87</v>
      </c>
      <c r="N622" t="s">
        <v>134</v>
      </c>
      <c r="O622" t="s">
        <v>3528</v>
      </c>
      <c r="P622" s="5" t="s">
        <v>3318</v>
      </c>
      <c r="Q622">
        <v>4</v>
      </c>
    </row>
    <row r="623" spans="1:17" x14ac:dyDescent="0.3">
      <c r="A623" s="4">
        <v>44628</v>
      </c>
      <c r="B623" t="s">
        <v>4167</v>
      </c>
      <c r="C623" t="s">
        <v>4168</v>
      </c>
      <c r="D623" s="77">
        <v>0.58958333333333335</v>
      </c>
      <c r="E623" t="s">
        <v>3332</v>
      </c>
      <c r="F623">
        <v>60</v>
      </c>
      <c r="G623" t="s">
        <v>3315</v>
      </c>
      <c r="H623">
        <v>20000</v>
      </c>
      <c r="I623" t="s">
        <v>3316</v>
      </c>
      <c r="J623">
        <v>20000</v>
      </c>
      <c r="K623">
        <v>80000</v>
      </c>
      <c r="L623" t="s">
        <v>118</v>
      </c>
      <c r="M623" t="s">
        <v>145</v>
      </c>
      <c r="N623" t="s">
        <v>146</v>
      </c>
      <c r="O623" t="s">
        <v>3333</v>
      </c>
      <c r="P623" s="5" t="s">
        <v>3318</v>
      </c>
      <c r="Q623">
        <v>4</v>
      </c>
    </row>
    <row r="624" spans="1:17" x14ac:dyDescent="0.3">
      <c r="A624" s="4">
        <v>44628</v>
      </c>
      <c r="B624" t="s">
        <v>4169</v>
      </c>
      <c r="C624" t="s">
        <v>3812</v>
      </c>
      <c r="D624" s="77">
        <v>0.59027777777777779</v>
      </c>
      <c r="E624" t="s">
        <v>3314</v>
      </c>
      <c r="F624">
        <v>63</v>
      </c>
      <c r="G624" t="s">
        <v>3315</v>
      </c>
      <c r="H624">
        <v>30000</v>
      </c>
      <c r="I624" t="s">
        <v>3316</v>
      </c>
      <c r="J624">
        <v>30000</v>
      </c>
      <c r="K624">
        <v>120000</v>
      </c>
      <c r="L624" t="s">
        <v>118</v>
      </c>
      <c r="M624" t="s">
        <v>88</v>
      </c>
      <c r="N624" t="s">
        <v>117</v>
      </c>
      <c r="O624" t="s">
        <v>3494</v>
      </c>
      <c r="P624" s="5" t="s">
        <v>3318</v>
      </c>
      <c r="Q624">
        <v>4</v>
      </c>
    </row>
    <row r="625" spans="1:17" x14ac:dyDescent="0.3">
      <c r="A625" s="4">
        <v>44628</v>
      </c>
      <c r="B625" t="s">
        <v>4170</v>
      </c>
      <c r="C625" t="s">
        <v>4165</v>
      </c>
      <c r="D625" s="77">
        <v>0.59722222222222221</v>
      </c>
      <c r="E625" t="s">
        <v>3332</v>
      </c>
      <c r="F625">
        <v>76</v>
      </c>
      <c r="G625" t="s">
        <v>3315</v>
      </c>
      <c r="H625">
        <v>20000</v>
      </c>
      <c r="I625" t="s">
        <v>3316</v>
      </c>
      <c r="J625">
        <v>20000</v>
      </c>
      <c r="K625">
        <v>100000</v>
      </c>
      <c r="L625" t="s">
        <v>114</v>
      </c>
      <c r="M625" t="s">
        <v>23</v>
      </c>
      <c r="N625" t="s">
        <v>99</v>
      </c>
      <c r="O625" t="s">
        <v>3358</v>
      </c>
      <c r="P625" s="5" t="s">
        <v>3318</v>
      </c>
      <c r="Q625">
        <v>5</v>
      </c>
    </row>
    <row r="626" spans="1:17" x14ac:dyDescent="0.3">
      <c r="A626" s="4">
        <v>44628</v>
      </c>
      <c r="B626" t="s">
        <v>4171</v>
      </c>
      <c r="C626" t="s">
        <v>4015</v>
      </c>
      <c r="D626" s="77">
        <v>0.60625000000000007</v>
      </c>
      <c r="E626" t="s">
        <v>3314</v>
      </c>
      <c r="F626">
        <v>36</v>
      </c>
      <c r="G626" t="s">
        <v>3315</v>
      </c>
      <c r="H626">
        <v>20000</v>
      </c>
      <c r="I626" t="s">
        <v>3316</v>
      </c>
      <c r="J626">
        <v>20000</v>
      </c>
      <c r="K626">
        <v>90000</v>
      </c>
      <c r="L626" t="s">
        <v>119</v>
      </c>
      <c r="M626" t="s">
        <v>27</v>
      </c>
      <c r="N626" t="s">
        <v>101</v>
      </c>
      <c r="O626" t="s">
        <v>3803</v>
      </c>
      <c r="P626" s="5" t="s">
        <v>3318</v>
      </c>
      <c r="Q626">
        <v>4.5</v>
      </c>
    </row>
    <row r="627" spans="1:17" x14ac:dyDescent="0.3">
      <c r="A627" s="4">
        <v>44628</v>
      </c>
      <c r="B627" t="s">
        <v>4172</v>
      </c>
      <c r="C627" t="s">
        <v>4173</v>
      </c>
      <c r="D627" s="77">
        <v>0.61319444444444449</v>
      </c>
      <c r="E627" t="s">
        <v>3314</v>
      </c>
      <c r="F627">
        <v>44</v>
      </c>
      <c r="G627" t="s">
        <v>3315</v>
      </c>
      <c r="H627">
        <v>20000</v>
      </c>
      <c r="I627" t="s">
        <v>3316</v>
      </c>
      <c r="J627">
        <v>20000</v>
      </c>
      <c r="K627">
        <v>90000</v>
      </c>
      <c r="L627" t="s">
        <v>114</v>
      </c>
      <c r="M627" t="s">
        <v>79</v>
      </c>
      <c r="N627" t="s">
        <v>131</v>
      </c>
      <c r="O627" t="s">
        <v>3465</v>
      </c>
      <c r="P627" s="5" t="s">
        <v>3318</v>
      </c>
      <c r="Q627">
        <v>4.5</v>
      </c>
    </row>
    <row r="628" spans="1:17" x14ac:dyDescent="0.3">
      <c r="A628" s="4">
        <v>44628</v>
      </c>
      <c r="B628" t="s">
        <v>4174</v>
      </c>
      <c r="C628" t="s">
        <v>4165</v>
      </c>
      <c r="D628" s="77">
        <v>0.625</v>
      </c>
      <c r="E628" t="s">
        <v>3332</v>
      </c>
      <c r="F628">
        <v>73</v>
      </c>
      <c r="G628" t="s">
        <v>3315</v>
      </c>
      <c r="H628">
        <v>30000</v>
      </c>
      <c r="I628" t="s">
        <v>3316</v>
      </c>
      <c r="J628">
        <v>30000</v>
      </c>
      <c r="K628">
        <v>120000</v>
      </c>
      <c r="L628" t="s">
        <v>118</v>
      </c>
      <c r="M628" t="s">
        <v>812</v>
      </c>
      <c r="N628" t="s">
        <v>814</v>
      </c>
      <c r="O628" t="s">
        <v>3412</v>
      </c>
      <c r="P628" s="5" t="s">
        <v>3318</v>
      </c>
      <c r="Q628">
        <v>4</v>
      </c>
    </row>
    <row r="629" spans="1:17" x14ac:dyDescent="0.3">
      <c r="A629" s="4">
        <v>44628</v>
      </c>
      <c r="B629" t="s">
        <v>4175</v>
      </c>
      <c r="C629" t="s">
        <v>3729</v>
      </c>
      <c r="D629" s="77">
        <v>0.63194444444444442</v>
      </c>
      <c r="E629" t="s">
        <v>3314</v>
      </c>
      <c r="F629">
        <v>50</v>
      </c>
      <c r="G629" t="s">
        <v>3315</v>
      </c>
      <c r="H629">
        <v>20000</v>
      </c>
      <c r="I629" t="s">
        <v>3316</v>
      </c>
      <c r="J629">
        <v>20000</v>
      </c>
      <c r="K629">
        <v>60000</v>
      </c>
      <c r="L629" t="s">
        <v>149</v>
      </c>
      <c r="M629" t="s">
        <v>96</v>
      </c>
      <c r="N629" t="s">
        <v>140</v>
      </c>
      <c r="O629" t="s">
        <v>4105</v>
      </c>
      <c r="P629" s="5" t="s">
        <v>3318</v>
      </c>
      <c r="Q629">
        <v>3</v>
      </c>
    </row>
    <row r="630" spans="1:17" x14ac:dyDescent="0.3">
      <c r="A630" s="4">
        <v>44628</v>
      </c>
      <c r="B630" t="s">
        <v>4176</v>
      </c>
      <c r="C630" t="s">
        <v>4177</v>
      </c>
      <c r="D630" s="77">
        <v>0.63402777777777775</v>
      </c>
      <c r="E630" t="s">
        <v>3314</v>
      </c>
      <c r="F630">
        <v>48</v>
      </c>
      <c r="G630" t="s">
        <v>3315</v>
      </c>
      <c r="H630">
        <v>20000</v>
      </c>
      <c r="I630" t="s">
        <v>3316</v>
      </c>
      <c r="J630">
        <v>20000</v>
      </c>
      <c r="K630">
        <v>80000</v>
      </c>
      <c r="L630" t="s">
        <v>118</v>
      </c>
      <c r="M630" t="s">
        <v>92</v>
      </c>
      <c r="N630" t="s">
        <v>137</v>
      </c>
      <c r="O630" t="s">
        <v>3476</v>
      </c>
      <c r="P630" s="5" t="s">
        <v>3318</v>
      </c>
      <c r="Q630">
        <v>4</v>
      </c>
    </row>
    <row r="631" spans="1:17" x14ac:dyDescent="0.3">
      <c r="A631" s="4">
        <v>44628</v>
      </c>
      <c r="B631" t="s">
        <v>4178</v>
      </c>
      <c r="C631" t="s">
        <v>4173</v>
      </c>
      <c r="D631" s="77">
        <v>0.63958333333333328</v>
      </c>
      <c r="E631" t="s">
        <v>3314</v>
      </c>
      <c r="F631">
        <v>49</v>
      </c>
      <c r="G631" t="s">
        <v>3315</v>
      </c>
      <c r="H631">
        <v>20000</v>
      </c>
      <c r="I631" t="s">
        <v>3316</v>
      </c>
      <c r="J631">
        <v>20000</v>
      </c>
      <c r="K631">
        <v>90000</v>
      </c>
      <c r="L631" t="s">
        <v>114</v>
      </c>
      <c r="M631" t="s">
        <v>79</v>
      </c>
      <c r="N631" t="s">
        <v>131</v>
      </c>
      <c r="O631" t="s">
        <v>3465</v>
      </c>
      <c r="P631" s="5" t="s">
        <v>3318</v>
      </c>
      <c r="Q631">
        <v>4.5</v>
      </c>
    </row>
    <row r="632" spans="1:17" x14ac:dyDescent="0.3">
      <c r="A632" s="4">
        <v>44628</v>
      </c>
      <c r="B632" t="s">
        <v>4179</v>
      </c>
      <c r="C632" t="s">
        <v>4015</v>
      </c>
      <c r="D632" s="77">
        <v>0.64166666666666672</v>
      </c>
      <c r="E632" t="s">
        <v>3314</v>
      </c>
      <c r="F632">
        <v>64</v>
      </c>
      <c r="G632" t="s">
        <v>3315</v>
      </c>
      <c r="H632">
        <v>50000</v>
      </c>
      <c r="I632" t="s">
        <v>3316</v>
      </c>
      <c r="J632">
        <v>50000</v>
      </c>
      <c r="K632">
        <v>225000</v>
      </c>
      <c r="L632" t="s">
        <v>116</v>
      </c>
      <c r="M632" t="s">
        <v>65</v>
      </c>
      <c r="N632" t="s">
        <v>102</v>
      </c>
      <c r="O632" t="s">
        <v>3506</v>
      </c>
      <c r="P632" s="5" t="s">
        <v>3318</v>
      </c>
      <c r="Q632">
        <v>4.5</v>
      </c>
    </row>
    <row r="633" spans="1:17" x14ac:dyDescent="0.3">
      <c r="A633" s="4">
        <v>44628</v>
      </c>
      <c r="B633" t="s">
        <v>4180</v>
      </c>
      <c r="C633" t="s">
        <v>4181</v>
      </c>
      <c r="D633" s="77">
        <v>0.64236111111111105</v>
      </c>
      <c r="E633" t="s">
        <v>3314</v>
      </c>
      <c r="F633">
        <v>61</v>
      </c>
      <c r="G633" t="s">
        <v>3315</v>
      </c>
      <c r="H633">
        <v>20000</v>
      </c>
      <c r="I633" t="s">
        <v>3316</v>
      </c>
      <c r="J633">
        <v>20000</v>
      </c>
      <c r="K633">
        <v>90000</v>
      </c>
      <c r="L633" t="s">
        <v>119</v>
      </c>
      <c r="M633" t="s">
        <v>29</v>
      </c>
      <c r="N633" t="s">
        <v>104</v>
      </c>
      <c r="O633" t="s">
        <v>3457</v>
      </c>
      <c r="P633" s="5" t="s">
        <v>3318</v>
      </c>
      <c r="Q633">
        <v>4.5</v>
      </c>
    </row>
    <row r="634" spans="1:17" x14ac:dyDescent="0.3">
      <c r="A634" s="4">
        <v>44628</v>
      </c>
      <c r="B634" t="s">
        <v>4182</v>
      </c>
      <c r="C634" t="s">
        <v>4015</v>
      </c>
      <c r="D634" s="77">
        <v>0.64583333333333337</v>
      </c>
      <c r="E634" t="s">
        <v>3314</v>
      </c>
      <c r="F634">
        <v>57</v>
      </c>
      <c r="G634" t="s">
        <v>3315</v>
      </c>
      <c r="H634">
        <v>30000</v>
      </c>
      <c r="I634" t="s">
        <v>3316</v>
      </c>
      <c r="J634">
        <v>30000</v>
      </c>
      <c r="K634">
        <v>120000</v>
      </c>
      <c r="L634" t="s">
        <v>118</v>
      </c>
      <c r="M634" t="s">
        <v>86</v>
      </c>
      <c r="N634" t="s">
        <v>120</v>
      </c>
      <c r="O634" t="s">
        <v>3446</v>
      </c>
      <c r="P634" s="5" t="s">
        <v>3318</v>
      </c>
      <c r="Q634">
        <v>4</v>
      </c>
    </row>
    <row r="635" spans="1:17" x14ac:dyDescent="0.3">
      <c r="A635" s="4">
        <v>44628</v>
      </c>
      <c r="B635" t="s">
        <v>4183</v>
      </c>
      <c r="C635" t="s">
        <v>3812</v>
      </c>
      <c r="D635" s="77">
        <v>0.65138888888888891</v>
      </c>
      <c r="E635" t="s">
        <v>3314</v>
      </c>
      <c r="F635">
        <v>47</v>
      </c>
      <c r="G635" t="s">
        <v>3315</v>
      </c>
      <c r="H635">
        <v>20000</v>
      </c>
      <c r="I635" t="s">
        <v>3316</v>
      </c>
      <c r="J635">
        <v>20000</v>
      </c>
      <c r="K635">
        <v>80000</v>
      </c>
      <c r="L635" t="s">
        <v>118</v>
      </c>
      <c r="M635" t="s">
        <v>88</v>
      </c>
      <c r="N635" t="s">
        <v>117</v>
      </c>
      <c r="O635" t="s">
        <v>3494</v>
      </c>
      <c r="P635" s="5" t="s">
        <v>3318</v>
      </c>
      <c r="Q635">
        <v>4</v>
      </c>
    </row>
    <row r="636" spans="1:17" x14ac:dyDescent="0.3">
      <c r="A636" s="4">
        <v>44628</v>
      </c>
      <c r="B636" t="s">
        <v>4184</v>
      </c>
      <c r="C636" t="s">
        <v>4185</v>
      </c>
      <c r="D636" s="77">
        <v>0.65972222222222221</v>
      </c>
      <c r="E636" t="s">
        <v>3314</v>
      </c>
      <c r="F636">
        <v>66</v>
      </c>
      <c r="G636" t="s">
        <v>3315</v>
      </c>
      <c r="H636">
        <v>20000</v>
      </c>
      <c r="I636" t="s">
        <v>3316</v>
      </c>
      <c r="J636">
        <v>20000</v>
      </c>
      <c r="K636">
        <v>80000</v>
      </c>
      <c r="L636" t="s">
        <v>118</v>
      </c>
      <c r="M636" t="s">
        <v>90</v>
      </c>
      <c r="N636" t="s">
        <v>110</v>
      </c>
      <c r="O636" t="s">
        <v>3455</v>
      </c>
      <c r="P636" s="5" t="s">
        <v>3318</v>
      </c>
      <c r="Q636">
        <v>4</v>
      </c>
    </row>
    <row r="637" spans="1:17" x14ac:dyDescent="0.3">
      <c r="A637" s="4">
        <v>44628</v>
      </c>
      <c r="B637" t="s">
        <v>4186</v>
      </c>
      <c r="C637" t="s">
        <v>3577</v>
      </c>
      <c r="D637" s="77">
        <v>0.66111111111111109</v>
      </c>
      <c r="E637" t="s">
        <v>3314</v>
      </c>
      <c r="F637">
        <v>64</v>
      </c>
      <c r="G637" t="s">
        <v>3315</v>
      </c>
      <c r="H637">
        <v>20000</v>
      </c>
      <c r="I637" t="s">
        <v>3316</v>
      </c>
      <c r="J637">
        <v>20000</v>
      </c>
      <c r="K637">
        <v>80000</v>
      </c>
      <c r="L637" t="s">
        <v>118</v>
      </c>
      <c r="M637" t="s">
        <v>3023</v>
      </c>
      <c r="N637" t="s">
        <v>3025</v>
      </c>
      <c r="O637" t="s">
        <v>3481</v>
      </c>
      <c r="P637" s="5" t="s">
        <v>3318</v>
      </c>
      <c r="Q637">
        <v>4</v>
      </c>
    </row>
    <row r="638" spans="1:17" x14ac:dyDescent="0.3">
      <c r="A638" s="4">
        <v>44628</v>
      </c>
      <c r="B638" t="s">
        <v>4187</v>
      </c>
      <c r="C638" t="s">
        <v>3812</v>
      </c>
      <c r="D638" s="77">
        <v>0.66180555555555554</v>
      </c>
      <c r="E638" t="s">
        <v>3314</v>
      </c>
      <c r="F638">
        <v>62</v>
      </c>
      <c r="G638" t="s">
        <v>3315</v>
      </c>
      <c r="H638">
        <v>20000</v>
      </c>
      <c r="I638" t="s">
        <v>3316</v>
      </c>
      <c r="J638">
        <v>20000</v>
      </c>
      <c r="K638">
        <v>90000</v>
      </c>
      <c r="L638" t="s">
        <v>116</v>
      </c>
      <c r="M638" t="s">
        <v>78</v>
      </c>
      <c r="N638" t="s">
        <v>100</v>
      </c>
      <c r="O638" t="s">
        <v>3629</v>
      </c>
      <c r="P638" s="5" t="s">
        <v>3318</v>
      </c>
      <c r="Q638">
        <v>4.5</v>
      </c>
    </row>
    <row r="639" spans="1:17" x14ac:dyDescent="0.3">
      <c r="A639" s="4">
        <v>44628</v>
      </c>
      <c r="B639" t="s">
        <v>4188</v>
      </c>
      <c r="C639" t="s">
        <v>4015</v>
      </c>
      <c r="D639" s="77">
        <v>0.66249999999999998</v>
      </c>
      <c r="E639" t="s">
        <v>3314</v>
      </c>
      <c r="F639">
        <v>65</v>
      </c>
      <c r="G639" t="s">
        <v>3315</v>
      </c>
      <c r="H639">
        <v>30000</v>
      </c>
      <c r="I639" t="s">
        <v>3316</v>
      </c>
      <c r="J639">
        <v>30000</v>
      </c>
      <c r="K639">
        <v>135000</v>
      </c>
      <c r="L639" t="s">
        <v>116</v>
      </c>
      <c r="M639" t="s">
        <v>65</v>
      </c>
      <c r="N639" t="s">
        <v>102</v>
      </c>
      <c r="O639" t="s">
        <v>3506</v>
      </c>
      <c r="P639" s="5" t="s">
        <v>3318</v>
      </c>
      <c r="Q639">
        <v>4.5</v>
      </c>
    </row>
    <row r="640" spans="1:17" x14ac:dyDescent="0.3">
      <c r="A640" s="4">
        <v>44628</v>
      </c>
      <c r="B640" t="s">
        <v>4189</v>
      </c>
      <c r="C640" t="s">
        <v>4015</v>
      </c>
      <c r="D640" s="77">
        <v>0.66527777777777775</v>
      </c>
      <c r="E640" t="s">
        <v>3314</v>
      </c>
      <c r="F640">
        <v>88</v>
      </c>
      <c r="G640" t="s">
        <v>3315</v>
      </c>
      <c r="H640">
        <v>30000</v>
      </c>
      <c r="I640" t="s">
        <v>3316</v>
      </c>
      <c r="J640">
        <v>30000</v>
      </c>
      <c r="K640">
        <v>135000</v>
      </c>
      <c r="L640" t="s">
        <v>119</v>
      </c>
      <c r="M640" t="s">
        <v>27</v>
      </c>
      <c r="N640" t="s">
        <v>101</v>
      </c>
      <c r="O640" t="s">
        <v>3803</v>
      </c>
      <c r="P640" s="5" t="s">
        <v>3318</v>
      </c>
      <c r="Q640">
        <v>4.5</v>
      </c>
    </row>
    <row r="641" spans="1:17" x14ac:dyDescent="0.3">
      <c r="A641" s="4">
        <v>44628</v>
      </c>
      <c r="B641" t="s">
        <v>4190</v>
      </c>
      <c r="C641" t="s">
        <v>4015</v>
      </c>
      <c r="D641" s="77">
        <v>0.67222222222222217</v>
      </c>
      <c r="E641" t="s">
        <v>3314</v>
      </c>
      <c r="F641">
        <v>32</v>
      </c>
      <c r="G641" t="s">
        <v>3315</v>
      </c>
      <c r="H641">
        <v>30000</v>
      </c>
      <c r="I641" t="s">
        <v>3316</v>
      </c>
      <c r="J641">
        <v>30000</v>
      </c>
      <c r="K641">
        <v>120000</v>
      </c>
      <c r="L641" t="s">
        <v>118</v>
      </c>
      <c r="M641" t="s">
        <v>93</v>
      </c>
      <c r="N641" t="s">
        <v>121</v>
      </c>
      <c r="O641" t="s">
        <v>3781</v>
      </c>
      <c r="P641" s="5" t="s">
        <v>3318</v>
      </c>
      <c r="Q641">
        <v>4</v>
      </c>
    </row>
    <row r="642" spans="1:17" x14ac:dyDescent="0.3">
      <c r="A642" s="4">
        <v>44628</v>
      </c>
      <c r="B642" t="s">
        <v>4191</v>
      </c>
      <c r="C642" t="s">
        <v>4015</v>
      </c>
      <c r="D642" s="77">
        <v>0.67638888888888893</v>
      </c>
      <c r="E642" t="s">
        <v>3314</v>
      </c>
      <c r="F642">
        <v>51</v>
      </c>
      <c r="G642" t="s">
        <v>3315</v>
      </c>
      <c r="H642">
        <v>20000</v>
      </c>
      <c r="I642" t="s">
        <v>3316</v>
      </c>
      <c r="J642">
        <v>20000</v>
      </c>
      <c r="K642">
        <v>90000</v>
      </c>
      <c r="L642" t="s">
        <v>116</v>
      </c>
      <c r="M642" t="s">
        <v>65</v>
      </c>
      <c r="N642" t="s">
        <v>102</v>
      </c>
      <c r="O642" t="s">
        <v>3506</v>
      </c>
      <c r="P642" s="5" t="s">
        <v>3318</v>
      </c>
      <c r="Q642">
        <v>4.5</v>
      </c>
    </row>
    <row r="643" spans="1:17" x14ac:dyDescent="0.3">
      <c r="A643" s="4">
        <v>44628</v>
      </c>
      <c r="B643" t="s">
        <v>4192</v>
      </c>
      <c r="C643" t="s">
        <v>3812</v>
      </c>
      <c r="D643" s="77">
        <v>0.68402777777777779</v>
      </c>
      <c r="E643" t="s">
        <v>3314</v>
      </c>
      <c r="F643">
        <v>27</v>
      </c>
      <c r="G643" t="s">
        <v>3315</v>
      </c>
      <c r="H643">
        <v>20000</v>
      </c>
      <c r="I643" t="s">
        <v>3316</v>
      </c>
      <c r="J643">
        <v>20000</v>
      </c>
      <c r="K643">
        <v>90000</v>
      </c>
      <c r="L643" t="s">
        <v>116</v>
      </c>
      <c r="M643" t="s">
        <v>78</v>
      </c>
      <c r="N643" t="s">
        <v>100</v>
      </c>
      <c r="O643" t="s">
        <v>3629</v>
      </c>
      <c r="P643" s="5" t="s">
        <v>3318</v>
      </c>
      <c r="Q643">
        <v>4.5</v>
      </c>
    </row>
    <row r="644" spans="1:17" x14ac:dyDescent="0.3">
      <c r="A644" s="4">
        <v>44628</v>
      </c>
      <c r="B644" t="s">
        <v>4193</v>
      </c>
      <c r="C644" t="s">
        <v>4185</v>
      </c>
      <c r="D644" s="77">
        <v>0.69444444444444453</v>
      </c>
      <c r="E644" t="s">
        <v>3314</v>
      </c>
      <c r="F644">
        <v>47</v>
      </c>
      <c r="G644" t="s">
        <v>3315</v>
      </c>
      <c r="H644">
        <v>20000</v>
      </c>
      <c r="I644" t="s">
        <v>3316</v>
      </c>
      <c r="J644">
        <v>20000</v>
      </c>
      <c r="K644">
        <v>80000</v>
      </c>
      <c r="L644" t="s">
        <v>118</v>
      </c>
      <c r="M644" t="s">
        <v>90</v>
      </c>
      <c r="N644" t="s">
        <v>110</v>
      </c>
      <c r="O644" t="s">
        <v>3455</v>
      </c>
      <c r="P644" s="5" t="s">
        <v>3318</v>
      </c>
      <c r="Q644">
        <v>4</v>
      </c>
    </row>
    <row r="645" spans="1:17" x14ac:dyDescent="0.3">
      <c r="A645" s="4">
        <v>44628</v>
      </c>
      <c r="B645" t="s">
        <v>4194</v>
      </c>
      <c r="C645" t="s">
        <v>4015</v>
      </c>
      <c r="D645" s="77">
        <v>0.69652777777777775</v>
      </c>
      <c r="E645" t="s">
        <v>3314</v>
      </c>
      <c r="F645">
        <v>55</v>
      </c>
      <c r="G645" t="s">
        <v>3315</v>
      </c>
      <c r="H645">
        <v>30000</v>
      </c>
      <c r="I645" t="s">
        <v>3316</v>
      </c>
      <c r="J645">
        <v>30000</v>
      </c>
      <c r="K645">
        <v>135000</v>
      </c>
      <c r="L645" t="s">
        <v>119</v>
      </c>
      <c r="M645" t="s">
        <v>27</v>
      </c>
      <c r="N645" t="s">
        <v>101</v>
      </c>
      <c r="O645" t="s">
        <v>3803</v>
      </c>
      <c r="P645" s="5" t="s">
        <v>3318</v>
      </c>
      <c r="Q645">
        <v>4.5</v>
      </c>
    </row>
    <row r="646" spans="1:17" x14ac:dyDescent="0.3">
      <c r="A646" s="4">
        <v>44628</v>
      </c>
      <c r="B646" t="s">
        <v>4195</v>
      </c>
      <c r="C646" t="s">
        <v>4168</v>
      </c>
      <c r="D646" s="77">
        <v>0.70138888888888884</v>
      </c>
      <c r="E646" t="s">
        <v>3332</v>
      </c>
      <c r="F646">
        <v>35</v>
      </c>
      <c r="G646" t="s">
        <v>3315</v>
      </c>
      <c r="H646">
        <v>30000</v>
      </c>
      <c r="I646" t="s">
        <v>3834</v>
      </c>
      <c r="J646">
        <v>30000</v>
      </c>
      <c r="K646">
        <v>150000</v>
      </c>
      <c r="L646" t="s">
        <v>116</v>
      </c>
      <c r="M646" t="s">
        <v>111</v>
      </c>
      <c r="N646" t="s">
        <v>112</v>
      </c>
      <c r="O646" t="s">
        <v>3345</v>
      </c>
      <c r="P646" s="5" t="s">
        <v>3318</v>
      </c>
      <c r="Q646">
        <v>5</v>
      </c>
    </row>
    <row r="647" spans="1:17" x14ac:dyDescent="0.3">
      <c r="A647" s="4">
        <v>44628</v>
      </c>
      <c r="B647" t="s">
        <v>4196</v>
      </c>
      <c r="C647" t="s">
        <v>4197</v>
      </c>
      <c r="D647" s="77">
        <v>0.70833333333333337</v>
      </c>
      <c r="E647" t="s">
        <v>3314</v>
      </c>
      <c r="F647">
        <v>52</v>
      </c>
      <c r="G647" t="s">
        <v>3315</v>
      </c>
      <c r="H647">
        <v>20000</v>
      </c>
      <c r="I647" t="s">
        <v>3316</v>
      </c>
      <c r="J647">
        <v>20000</v>
      </c>
      <c r="K647">
        <v>80000</v>
      </c>
      <c r="L647" t="s">
        <v>118</v>
      </c>
      <c r="M647" t="s">
        <v>28</v>
      </c>
      <c r="N647" t="s">
        <v>132</v>
      </c>
      <c r="O647" t="s">
        <v>3449</v>
      </c>
      <c r="P647" s="5" t="s">
        <v>3318</v>
      </c>
      <c r="Q647">
        <v>4</v>
      </c>
    </row>
    <row r="648" spans="1:17" x14ac:dyDescent="0.3">
      <c r="A648" s="4">
        <v>44628</v>
      </c>
      <c r="B648" t="s">
        <v>4198</v>
      </c>
      <c r="C648" t="s">
        <v>4165</v>
      </c>
      <c r="D648" s="77">
        <v>0.70833333333333337</v>
      </c>
      <c r="E648" t="s">
        <v>3332</v>
      </c>
      <c r="F648">
        <v>57</v>
      </c>
      <c r="G648" t="s">
        <v>3315</v>
      </c>
      <c r="H648">
        <v>20000</v>
      </c>
      <c r="I648" t="s">
        <v>3316</v>
      </c>
      <c r="J648">
        <v>20000</v>
      </c>
      <c r="K648">
        <v>100000</v>
      </c>
      <c r="L648" t="s">
        <v>114</v>
      </c>
      <c r="M648" t="s">
        <v>23</v>
      </c>
      <c r="N648" t="s">
        <v>99</v>
      </c>
      <c r="O648" t="s">
        <v>3358</v>
      </c>
      <c r="P648" s="5" t="s">
        <v>3318</v>
      </c>
      <c r="Q648">
        <v>5</v>
      </c>
    </row>
    <row r="649" spans="1:17" x14ac:dyDescent="0.3">
      <c r="A649" s="4">
        <v>44628</v>
      </c>
      <c r="B649" t="s">
        <v>4199</v>
      </c>
      <c r="C649" t="s">
        <v>3729</v>
      </c>
      <c r="D649" s="77">
        <v>0.71527777777777779</v>
      </c>
      <c r="E649" t="s">
        <v>3314</v>
      </c>
      <c r="F649">
        <v>78</v>
      </c>
      <c r="G649" t="s">
        <v>3315</v>
      </c>
      <c r="H649">
        <v>20000</v>
      </c>
      <c r="I649" t="s">
        <v>3316</v>
      </c>
      <c r="J649">
        <v>20000</v>
      </c>
      <c r="K649">
        <v>60000</v>
      </c>
      <c r="L649" t="s">
        <v>149</v>
      </c>
      <c r="M649" t="s">
        <v>96</v>
      </c>
      <c r="N649" t="s">
        <v>140</v>
      </c>
      <c r="O649" t="s">
        <v>4105</v>
      </c>
      <c r="P649" s="5" t="s">
        <v>3318</v>
      </c>
      <c r="Q649">
        <v>3</v>
      </c>
    </row>
    <row r="650" spans="1:17" x14ac:dyDescent="0.3">
      <c r="A650" s="4">
        <v>44628</v>
      </c>
      <c r="B650" t="s">
        <v>4200</v>
      </c>
      <c r="C650" t="s">
        <v>4015</v>
      </c>
      <c r="D650" s="77">
        <v>0.72013888888888899</v>
      </c>
      <c r="E650" t="s">
        <v>3314</v>
      </c>
      <c r="F650">
        <v>51</v>
      </c>
      <c r="G650" t="s">
        <v>3315</v>
      </c>
      <c r="H650">
        <v>50000</v>
      </c>
      <c r="I650" t="s">
        <v>3316</v>
      </c>
      <c r="J650">
        <v>50000</v>
      </c>
      <c r="K650">
        <v>200000</v>
      </c>
      <c r="L650" t="s">
        <v>118</v>
      </c>
      <c r="M650" t="s">
        <v>86</v>
      </c>
      <c r="N650" t="s">
        <v>120</v>
      </c>
      <c r="O650" t="s">
        <v>3446</v>
      </c>
      <c r="P650" s="5" t="s">
        <v>3318</v>
      </c>
      <c r="Q650">
        <v>4</v>
      </c>
    </row>
    <row r="651" spans="1:17" x14ac:dyDescent="0.3">
      <c r="A651" s="4">
        <v>44628</v>
      </c>
      <c r="B651" t="s">
        <v>4201</v>
      </c>
      <c r="C651" t="s">
        <v>4177</v>
      </c>
      <c r="D651" s="77">
        <v>0.72083333333333333</v>
      </c>
      <c r="E651" t="s">
        <v>3314</v>
      </c>
      <c r="F651">
        <v>31</v>
      </c>
      <c r="G651" t="s">
        <v>3315</v>
      </c>
      <c r="H651">
        <v>50000</v>
      </c>
      <c r="I651" t="s">
        <v>3316</v>
      </c>
      <c r="J651">
        <v>50000</v>
      </c>
      <c r="K651">
        <v>200000</v>
      </c>
      <c r="L651" t="s">
        <v>118</v>
      </c>
      <c r="M651" t="s">
        <v>92</v>
      </c>
      <c r="N651" t="s">
        <v>137</v>
      </c>
      <c r="O651" t="s">
        <v>3476</v>
      </c>
      <c r="P651" s="5" t="s">
        <v>3318</v>
      </c>
      <c r="Q651">
        <v>4</v>
      </c>
    </row>
    <row r="652" spans="1:17" x14ac:dyDescent="0.3">
      <c r="A652" s="4">
        <v>44628</v>
      </c>
      <c r="B652" t="s">
        <v>4202</v>
      </c>
      <c r="C652" t="s">
        <v>4168</v>
      </c>
      <c r="D652" s="77">
        <v>0.7284722222222223</v>
      </c>
      <c r="E652" t="s">
        <v>3332</v>
      </c>
      <c r="F652">
        <v>25</v>
      </c>
      <c r="G652" t="s">
        <v>3344</v>
      </c>
      <c r="H652">
        <v>20000</v>
      </c>
      <c r="I652" t="s">
        <v>3344</v>
      </c>
      <c r="J652">
        <v>20000</v>
      </c>
      <c r="K652">
        <v>100000</v>
      </c>
      <c r="L652" t="s">
        <v>116</v>
      </c>
      <c r="M652" t="s">
        <v>111</v>
      </c>
      <c r="N652" t="s">
        <v>112</v>
      </c>
      <c r="O652" t="s">
        <v>3345</v>
      </c>
      <c r="P652" s="5" t="s">
        <v>3318</v>
      </c>
      <c r="Q652">
        <v>5</v>
      </c>
    </row>
    <row r="653" spans="1:17" x14ac:dyDescent="0.3">
      <c r="A653" s="4">
        <v>44628</v>
      </c>
      <c r="B653" t="s">
        <v>4203</v>
      </c>
      <c r="C653" t="s">
        <v>3627</v>
      </c>
      <c r="D653" s="77">
        <v>0.72916666666666663</v>
      </c>
      <c r="E653" t="s">
        <v>3314</v>
      </c>
      <c r="F653">
        <v>29</v>
      </c>
      <c r="G653" t="s">
        <v>3344</v>
      </c>
      <c r="H653">
        <v>20000</v>
      </c>
      <c r="I653" t="s">
        <v>3344</v>
      </c>
      <c r="J653">
        <v>20000</v>
      </c>
      <c r="K653">
        <v>80000</v>
      </c>
      <c r="L653" t="s">
        <v>118</v>
      </c>
      <c r="M653" t="s">
        <v>85</v>
      </c>
      <c r="N653" t="s">
        <v>109</v>
      </c>
      <c r="O653" t="s">
        <v>3342</v>
      </c>
      <c r="P653" s="5" t="s">
        <v>3318</v>
      </c>
      <c r="Q653">
        <v>4</v>
      </c>
    </row>
    <row r="654" spans="1:17" x14ac:dyDescent="0.3">
      <c r="A654" s="4">
        <v>44628</v>
      </c>
      <c r="B654" t="s">
        <v>4204</v>
      </c>
      <c r="C654" t="s">
        <v>3729</v>
      </c>
      <c r="D654" s="77">
        <v>0.73263888888888884</v>
      </c>
      <c r="E654" t="s">
        <v>3314</v>
      </c>
      <c r="F654">
        <v>34</v>
      </c>
      <c r="G654" t="s">
        <v>3315</v>
      </c>
      <c r="H654">
        <v>30000</v>
      </c>
      <c r="I654" t="s">
        <v>3316</v>
      </c>
      <c r="J654">
        <v>30000</v>
      </c>
      <c r="K654">
        <v>135000</v>
      </c>
      <c r="L654" t="s">
        <v>116</v>
      </c>
      <c r="M654" t="s">
        <v>76</v>
      </c>
      <c r="N654" t="s">
        <v>107</v>
      </c>
      <c r="O654" t="s">
        <v>3321</v>
      </c>
      <c r="P654" s="5" t="s">
        <v>3318</v>
      </c>
      <c r="Q654">
        <v>4.5</v>
      </c>
    </row>
    <row r="655" spans="1:17" x14ac:dyDescent="0.3">
      <c r="A655" s="4">
        <v>44628</v>
      </c>
      <c r="B655" t="s">
        <v>4205</v>
      </c>
      <c r="C655" t="s">
        <v>4206</v>
      </c>
      <c r="D655" s="77">
        <v>0.7416666666666667</v>
      </c>
      <c r="E655" t="s">
        <v>3314</v>
      </c>
      <c r="F655">
        <v>40</v>
      </c>
      <c r="G655" t="s">
        <v>3315</v>
      </c>
      <c r="H655">
        <v>30000</v>
      </c>
      <c r="I655" t="s">
        <v>3316</v>
      </c>
      <c r="J655">
        <v>30000</v>
      </c>
      <c r="K655">
        <v>120000</v>
      </c>
      <c r="L655" t="s">
        <v>118</v>
      </c>
      <c r="M655" t="s">
        <v>94</v>
      </c>
      <c r="N655" t="s">
        <v>138</v>
      </c>
      <c r="O655" t="s">
        <v>3775</v>
      </c>
      <c r="P655" s="5" t="s">
        <v>3318</v>
      </c>
      <c r="Q655">
        <v>4</v>
      </c>
    </row>
    <row r="656" spans="1:17" x14ac:dyDescent="0.3">
      <c r="A656" s="4">
        <v>44628</v>
      </c>
      <c r="B656" t="s">
        <v>4207</v>
      </c>
      <c r="C656" t="s">
        <v>3341</v>
      </c>
      <c r="D656" s="77">
        <v>0.74513888888888891</v>
      </c>
      <c r="E656" t="s">
        <v>3314</v>
      </c>
      <c r="F656">
        <v>51</v>
      </c>
      <c r="G656" t="s">
        <v>3315</v>
      </c>
      <c r="H656">
        <v>20000</v>
      </c>
      <c r="I656" t="s">
        <v>3834</v>
      </c>
      <c r="J656">
        <v>20000</v>
      </c>
      <c r="K656">
        <v>90000</v>
      </c>
      <c r="L656" t="s">
        <v>116</v>
      </c>
      <c r="M656" t="s">
        <v>77</v>
      </c>
      <c r="N656" t="s">
        <v>133</v>
      </c>
      <c r="O656" t="s">
        <v>3376</v>
      </c>
      <c r="P656" s="5" t="s">
        <v>3318</v>
      </c>
      <c r="Q656">
        <v>4.5</v>
      </c>
    </row>
    <row r="657" spans="1:17" x14ac:dyDescent="0.3">
      <c r="A657" s="4">
        <v>44628</v>
      </c>
      <c r="B657" t="s">
        <v>4208</v>
      </c>
      <c r="C657" t="s">
        <v>4181</v>
      </c>
      <c r="D657" s="77">
        <v>0.74861111111111101</v>
      </c>
      <c r="E657" t="s">
        <v>3314</v>
      </c>
      <c r="F657">
        <v>46</v>
      </c>
      <c r="G657" t="s">
        <v>3315</v>
      </c>
      <c r="H657">
        <v>20000</v>
      </c>
      <c r="I657" t="s">
        <v>3316</v>
      </c>
      <c r="J657">
        <v>20000</v>
      </c>
      <c r="K657">
        <v>80000</v>
      </c>
      <c r="L657" t="s">
        <v>118</v>
      </c>
      <c r="M657" t="s">
        <v>3033</v>
      </c>
      <c r="N657" t="s">
        <v>3035</v>
      </c>
      <c r="O657" t="s">
        <v>3542</v>
      </c>
      <c r="P657" s="5" t="s">
        <v>3318</v>
      </c>
      <c r="Q657">
        <v>4</v>
      </c>
    </row>
    <row r="658" spans="1:17" x14ac:dyDescent="0.3">
      <c r="A658" s="4">
        <v>44628</v>
      </c>
      <c r="B658" t="s">
        <v>4209</v>
      </c>
      <c r="C658" t="s">
        <v>3627</v>
      </c>
      <c r="D658" s="77">
        <v>0.75694444444444453</v>
      </c>
      <c r="E658" t="s">
        <v>3314</v>
      </c>
      <c r="F658">
        <v>40</v>
      </c>
      <c r="G658" t="s">
        <v>3488</v>
      </c>
      <c r="H658">
        <v>5000</v>
      </c>
      <c r="I658" t="s">
        <v>3488</v>
      </c>
      <c r="J658">
        <v>5000</v>
      </c>
      <c r="K658">
        <v>22500</v>
      </c>
      <c r="L658" t="s">
        <v>114</v>
      </c>
      <c r="M658" t="s">
        <v>30</v>
      </c>
      <c r="N658" t="s">
        <v>106</v>
      </c>
      <c r="O658" t="s">
        <v>3379</v>
      </c>
      <c r="P658" s="5" t="s">
        <v>3318</v>
      </c>
      <c r="Q658">
        <v>4.5</v>
      </c>
    </row>
    <row r="659" spans="1:17" x14ac:dyDescent="0.3">
      <c r="A659" s="4">
        <v>44628</v>
      </c>
      <c r="B659" t="s">
        <v>4210</v>
      </c>
      <c r="C659" t="s">
        <v>4015</v>
      </c>
      <c r="D659" s="77">
        <v>0.76111111111111107</v>
      </c>
      <c r="E659" t="s">
        <v>3314</v>
      </c>
      <c r="F659">
        <v>69</v>
      </c>
      <c r="G659" t="s">
        <v>3315</v>
      </c>
      <c r="H659">
        <v>20000</v>
      </c>
      <c r="I659" t="s">
        <v>3316</v>
      </c>
      <c r="J659">
        <v>20000</v>
      </c>
      <c r="K659">
        <v>80000</v>
      </c>
      <c r="L659" t="s">
        <v>118</v>
      </c>
      <c r="M659" t="s">
        <v>93</v>
      </c>
      <c r="N659" t="s">
        <v>121</v>
      </c>
      <c r="O659" t="s">
        <v>3781</v>
      </c>
      <c r="P659" s="5" t="s">
        <v>3318</v>
      </c>
      <c r="Q659">
        <v>4</v>
      </c>
    </row>
    <row r="660" spans="1:17" x14ac:dyDescent="0.3">
      <c r="A660" s="4">
        <v>44628</v>
      </c>
      <c r="B660" t="s">
        <v>4211</v>
      </c>
      <c r="C660" t="s">
        <v>4181</v>
      </c>
      <c r="D660" s="77">
        <v>0.76388888888888884</v>
      </c>
      <c r="E660" t="s">
        <v>3314</v>
      </c>
      <c r="F660">
        <v>28</v>
      </c>
      <c r="G660" t="s">
        <v>3315</v>
      </c>
      <c r="H660">
        <v>20000</v>
      </c>
      <c r="I660" t="s">
        <v>3316</v>
      </c>
      <c r="J660">
        <v>20000</v>
      </c>
      <c r="K660">
        <v>80000</v>
      </c>
      <c r="L660" t="s">
        <v>118</v>
      </c>
      <c r="M660" t="s">
        <v>3033</v>
      </c>
      <c r="N660" t="s">
        <v>3035</v>
      </c>
      <c r="O660" t="s">
        <v>3542</v>
      </c>
      <c r="P660" s="5" t="s">
        <v>3318</v>
      </c>
      <c r="Q660">
        <v>4</v>
      </c>
    </row>
    <row r="661" spans="1:17" x14ac:dyDescent="0.3">
      <c r="A661" s="4">
        <v>44628</v>
      </c>
      <c r="B661" t="s">
        <v>4212</v>
      </c>
      <c r="C661" t="s">
        <v>4181</v>
      </c>
      <c r="D661" s="77">
        <v>0.76388888888888884</v>
      </c>
      <c r="E661" t="s">
        <v>3314</v>
      </c>
      <c r="F661">
        <v>47</v>
      </c>
      <c r="G661" t="s">
        <v>3344</v>
      </c>
      <c r="H661">
        <v>20000</v>
      </c>
      <c r="I661" t="s">
        <v>3344</v>
      </c>
      <c r="J661">
        <v>20000</v>
      </c>
      <c r="K661">
        <v>90000</v>
      </c>
      <c r="L661" t="s">
        <v>119</v>
      </c>
      <c r="M661" t="s">
        <v>29</v>
      </c>
      <c r="N661" t="s">
        <v>104</v>
      </c>
      <c r="O661" t="s">
        <v>3457</v>
      </c>
      <c r="P661" s="5" t="s">
        <v>3318</v>
      </c>
      <c r="Q661">
        <v>4.5</v>
      </c>
    </row>
    <row r="662" spans="1:17" x14ac:dyDescent="0.3">
      <c r="A662" s="4">
        <v>44628</v>
      </c>
      <c r="B662" t="s">
        <v>4213</v>
      </c>
      <c r="C662" t="s">
        <v>4181</v>
      </c>
      <c r="D662" s="77">
        <v>0.78819444444444453</v>
      </c>
      <c r="E662" t="s">
        <v>3314</v>
      </c>
      <c r="F662">
        <v>58</v>
      </c>
      <c r="G662" t="s">
        <v>3315</v>
      </c>
      <c r="H662">
        <v>20000</v>
      </c>
      <c r="I662" t="s">
        <v>3316</v>
      </c>
      <c r="J662">
        <v>20000</v>
      </c>
      <c r="K662">
        <v>80000</v>
      </c>
      <c r="L662" t="s">
        <v>118</v>
      </c>
      <c r="M662" t="s">
        <v>3033</v>
      </c>
      <c r="N662" t="s">
        <v>3035</v>
      </c>
      <c r="O662" t="s">
        <v>3542</v>
      </c>
      <c r="P662" s="5" t="s">
        <v>3318</v>
      </c>
      <c r="Q662">
        <v>4</v>
      </c>
    </row>
    <row r="663" spans="1:17" x14ac:dyDescent="0.3">
      <c r="A663" s="4">
        <v>44628</v>
      </c>
      <c r="B663" t="s">
        <v>4214</v>
      </c>
      <c r="C663" t="s">
        <v>3627</v>
      </c>
      <c r="D663" s="77">
        <v>0.79166666666666663</v>
      </c>
      <c r="E663" t="s">
        <v>3314</v>
      </c>
      <c r="F663">
        <v>52</v>
      </c>
      <c r="G663" t="s">
        <v>3315</v>
      </c>
      <c r="H663">
        <v>30000</v>
      </c>
      <c r="I663" t="s">
        <v>3834</v>
      </c>
      <c r="J663">
        <v>30000</v>
      </c>
      <c r="K663">
        <v>135000</v>
      </c>
      <c r="L663" t="s">
        <v>114</v>
      </c>
      <c r="M663" t="s">
        <v>30</v>
      </c>
      <c r="N663" t="s">
        <v>106</v>
      </c>
      <c r="O663" t="s">
        <v>3379</v>
      </c>
      <c r="P663" s="5" t="s">
        <v>3318</v>
      </c>
      <c r="Q663">
        <v>4.5</v>
      </c>
    </row>
    <row r="664" spans="1:17" x14ac:dyDescent="0.3">
      <c r="A664" s="4">
        <v>44628</v>
      </c>
      <c r="B664" t="s">
        <v>4215</v>
      </c>
      <c r="C664" t="s">
        <v>3627</v>
      </c>
      <c r="D664" s="77">
        <v>0.79861111111111116</v>
      </c>
      <c r="E664" t="s">
        <v>3314</v>
      </c>
      <c r="F664">
        <v>24</v>
      </c>
      <c r="G664" t="s">
        <v>3575</v>
      </c>
      <c r="H664">
        <v>10000</v>
      </c>
      <c r="I664" t="s">
        <v>3575</v>
      </c>
      <c r="J664">
        <v>10000</v>
      </c>
      <c r="K664">
        <v>45000</v>
      </c>
      <c r="L664" t="s">
        <v>114</v>
      </c>
      <c r="M664" t="s">
        <v>30</v>
      </c>
      <c r="N664" t="s">
        <v>106</v>
      </c>
      <c r="O664" t="s">
        <v>3379</v>
      </c>
      <c r="P664" s="5" t="s">
        <v>3318</v>
      </c>
      <c r="Q664">
        <v>4.5</v>
      </c>
    </row>
    <row r="665" spans="1:17" x14ac:dyDescent="0.3">
      <c r="A665" s="4">
        <v>44628</v>
      </c>
      <c r="B665" t="s">
        <v>4216</v>
      </c>
      <c r="C665" t="s">
        <v>3627</v>
      </c>
      <c r="D665" s="77">
        <v>0.79861111111111116</v>
      </c>
      <c r="E665" t="s">
        <v>3314</v>
      </c>
      <c r="F665">
        <v>50</v>
      </c>
      <c r="G665" t="s">
        <v>3315</v>
      </c>
      <c r="H665">
        <v>20000</v>
      </c>
      <c r="I665" t="s">
        <v>3316</v>
      </c>
      <c r="J665">
        <v>20000</v>
      </c>
      <c r="K665">
        <v>80000</v>
      </c>
      <c r="L665" t="s">
        <v>118</v>
      </c>
      <c r="M665" t="s">
        <v>85</v>
      </c>
      <c r="N665" t="s">
        <v>109</v>
      </c>
      <c r="O665" t="s">
        <v>3342</v>
      </c>
      <c r="P665" s="5" t="s">
        <v>3318</v>
      </c>
      <c r="Q665">
        <v>4</v>
      </c>
    </row>
    <row r="666" spans="1:17" x14ac:dyDescent="0.3">
      <c r="A666" s="4">
        <v>44629</v>
      </c>
      <c r="B666" t="s">
        <v>4217</v>
      </c>
      <c r="C666" t="s">
        <v>4015</v>
      </c>
      <c r="D666" s="77">
        <v>0.4826388888888889</v>
      </c>
      <c r="E666" t="s">
        <v>3314</v>
      </c>
      <c r="F666">
        <v>79</v>
      </c>
      <c r="G666" t="s">
        <v>3315</v>
      </c>
      <c r="H666">
        <v>20000</v>
      </c>
      <c r="I666" t="s">
        <v>3316</v>
      </c>
      <c r="J666">
        <v>20000</v>
      </c>
      <c r="K666">
        <v>80000</v>
      </c>
      <c r="L666" t="s">
        <v>118</v>
      </c>
      <c r="M666" t="s">
        <v>93</v>
      </c>
      <c r="N666" t="s">
        <v>121</v>
      </c>
      <c r="O666" t="s">
        <v>3781</v>
      </c>
      <c r="P666" s="5" t="s">
        <v>3318</v>
      </c>
      <c r="Q666">
        <v>4</v>
      </c>
    </row>
    <row r="667" spans="1:17" x14ac:dyDescent="0.3">
      <c r="A667" s="4">
        <v>44629</v>
      </c>
      <c r="B667" t="s">
        <v>4218</v>
      </c>
      <c r="C667" t="s">
        <v>4015</v>
      </c>
      <c r="D667" s="77">
        <v>0.56944444444444442</v>
      </c>
      <c r="E667" t="s">
        <v>3314</v>
      </c>
      <c r="F667">
        <v>70</v>
      </c>
      <c r="G667" t="s">
        <v>3315</v>
      </c>
      <c r="H667">
        <v>20000</v>
      </c>
      <c r="I667" t="s">
        <v>3316</v>
      </c>
      <c r="J667">
        <v>20000</v>
      </c>
      <c r="K667">
        <v>80000</v>
      </c>
      <c r="L667" t="s">
        <v>118</v>
      </c>
      <c r="M667" t="s">
        <v>86</v>
      </c>
      <c r="N667" t="s">
        <v>120</v>
      </c>
      <c r="O667" t="s">
        <v>3446</v>
      </c>
      <c r="P667" s="5" t="s">
        <v>3318</v>
      </c>
      <c r="Q667">
        <v>4</v>
      </c>
    </row>
    <row r="668" spans="1:17" x14ac:dyDescent="0.3">
      <c r="A668" s="4">
        <v>44629</v>
      </c>
      <c r="B668" t="s">
        <v>4219</v>
      </c>
      <c r="C668" t="s">
        <v>3729</v>
      </c>
      <c r="D668" s="77">
        <v>0.57291666666666663</v>
      </c>
      <c r="E668" t="s">
        <v>3314</v>
      </c>
      <c r="F668">
        <v>56</v>
      </c>
      <c r="G668" t="s">
        <v>3315</v>
      </c>
      <c r="H668">
        <v>30000</v>
      </c>
      <c r="I668" t="s">
        <v>3316</v>
      </c>
      <c r="J668">
        <v>30000</v>
      </c>
      <c r="K668">
        <v>90000</v>
      </c>
      <c r="L668" t="s">
        <v>149</v>
      </c>
      <c r="M668" t="s">
        <v>96</v>
      </c>
      <c r="N668" t="s">
        <v>140</v>
      </c>
      <c r="O668" t="s">
        <v>4105</v>
      </c>
      <c r="P668" s="5" t="s">
        <v>3318</v>
      </c>
      <c r="Q668">
        <v>3</v>
      </c>
    </row>
    <row r="669" spans="1:17" x14ac:dyDescent="0.3">
      <c r="A669" s="4">
        <v>44629</v>
      </c>
      <c r="B669" t="s">
        <v>4220</v>
      </c>
      <c r="C669" t="s">
        <v>4015</v>
      </c>
      <c r="D669" s="77">
        <v>0.58472222222222225</v>
      </c>
      <c r="E669" t="s">
        <v>3314</v>
      </c>
      <c r="F669">
        <v>82</v>
      </c>
      <c r="G669" t="s">
        <v>3344</v>
      </c>
      <c r="H669">
        <v>30000</v>
      </c>
      <c r="I669" t="s">
        <v>3344</v>
      </c>
      <c r="J669">
        <v>30000</v>
      </c>
      <c r="K669">
        <v>135000</v>
      </c>
      <c r="L669" t="s">
        <v>116</v>
      </c>
      <c r="M669" t="s">
        <v>65</v>
      </c>
      <c r="N669" t="s">
        <v>102</v>
      </c>
      <c r="O669" t="s">
        <v>3506</v>
      </c>
      <c r="P669" s="5" t="s">
        <v>3318</v>
      </c>
      <c r="Q669">
        <v>4.5</v>
      </c>
    </row>
    <row r="670" spans="1:17" x14ac:dyDescent="0.3">
      <c r="A670" s="4">
        <v>44629</v>
      </c>
      <c r="B670" t="s">
        <v>4221</v>
      </c>
      <c r="C670" t="s">
        <v>3843</v>
      </c>
      <c r="D670" s="77">
        <v>0.58819444444444446</v>
      </c>
      <c r="E670" t="s">
        <v>3314</v>
      </c>
      <c r="F670">
        <v>50</v>
      </c>
      <c r="G670" t="s">
        <v>3315</v>
      </c>
      <c r="H670">
        <v>20000</v>
      </c>
      <c r="I670" t="s">
        <v>3834</v>
      </c>
      <c r="J670">
        <v>20000</v>
      </c>
      <c r="K670">
        <v>60000</v>
      </c>
      <c r="L670" t="s">
        <v>149</v>
      </c>
      <c r="M670" t="s">
        <v>3020</v>
      </c>
      <c r="N670" t="s">
        <v>2852</v>
      </c>
      <c r="O670" t="s">
        <v>3661</v>
      </c>
      <c r="P670" s="5" t="s">
        <v>3318</v>
      </c>
      <c r="Q670">
        <v>3</v>
      </c>
    </row>
    <row r="671" spans="1:17" x14ac:dyDescent="0.3">
      <c r="A671" s="4">
        <v>44629</v>
      </c>
      <c r="B671" t="s">
        <v>4222</v>
      </c>
      <c r="C671" t="s">
        <v>4015</v>
      </c>
      <c r="D671" s="77">
        <v>0.59652777777777777</v>
      </c>
      <c r="E671" t="s">
        <v>3314</v>
      </c>
      <c r="F671">
        <v>49</v>
      </c>
      <c r="G671" t="s">
        <v>3315</v>
      </c>
      <c r="H671">
        <v>20000</v>
      </c>
      <c r="I671" t="s">
        <v>3316</v>
      </c>
      <c r="J671">
        <v>20000</v>
      </c>
      <c r="K671">
        <v>80000</v>
      </c>
      <c r="L671" t="s">
        <v>118</v>
      </c>
      <c r="M671" t="s">
        <v>93</v>
      </c>
      <c r="N671" t="s">
        <v>121</v>
      </c>
      <c r="O671" t="s">
        <v>3781</v>
      </c>
      <c r="P671" s="5" t="s">
        <v>3318</v>
      </c>
      <c r="Q671">
        <v>4</v>
      </c>
    </row>
    <row r="672" spans="1:17" x14ac:dyDescent="0.3">
      <c r="A672" s="4">
        <v>44629</v>
      </c>
      <c r="B672" t="s">
        <v>4223</v>
      </c>
      <c r="C672" t="s">
        <v>3838</v>
      </c>
      <c r="D672" s="77">
        <v>0.59791666666666665</v>
      </c>
      <c r="E672" t="s">
        <v>3314</v>
      </c>
      <c r="F672">
        <v>41</v>
      </c>
      <c r="G672" t="s">
        <v>3315</v>
      </c>
      <c r="H672">
        <v>20000</v>
      </c>
      <c r="I672" t="s">
        <v>3316</v>
      </c>
      <c r="J672">
        <v>20000</v>
      </c>
      <c r="K672">
        <v>90000</v>
      </c>
      <c r="L672" t="s">
        <v>116</v>
      </c>
      <c r="M672" t="s">
        <v>78</v>
      </c>
      <c r="N672" t="s">
        <v>100</v>
      </c>
      <c r="O672" t="s">
        <v>3629</v>
      </c>
      <c r="P672" s="5" t="s">
        <v>3318</v>
      </c>
      <c r="Q672">
        <v>4.5</v>
      </c>
    </row>
    <row r="673" spans="1:17" x14ac:dyDescent="0.3">
      <c r="A673" s="4">
        <v>44629</v>
      </c>
      <c r="B673" t="s">
        <v>4224</v>
      </c>
      <c r="C673" t="s">
        <v>4225</v>
      </c>
      <c r="D673" s="77">
        <v>0.60416666666666663</v>
      </c>
      <c r="E673" t="s">
        <v>3314</v>
      </c>
      <c r="F673">
        <v>55</v>
      </c>
      <c r="G673" t="s">
        <v>3315</v>
      </c>
      <c r="H673">
        <v>20000</v>
      </c>
      <c r="I673" t="s">
        <v>3834</v>
      </c>
      <c r="J673">
        <v>20000</v>
      </c>
      <c r="K673">
        <v>80000</v>
      </c>
      <c r="L673" t="s">
        <v>118</v>
      </c>
      <c r="M673" t="s">
        <v>84</v>
      </c>
      <c r="N673" t="s">
        <v>108</v>
      </c>
      <c r="O673" t="s">
        <v>3366</v>
      </c>
      <c r="P673" s="5" t="s">
        <v>3318</v>
      </c>
      <c r="Q673">
        <v>4</v>
      </c>
    </row>
    <row r="674" spans="1:17" x14ac:dyDescent="0.3">
      <c r="A674" s="4">
        <v>44629</v>
      </c>
      <c r="B674" t="s">
        <v>4226</v>
      </c>
      <c r="C674" t="s">
        <v>4227</v>
      </c>
      <c r="D674" s="77">
        <v>0.60625000000000007</v>
      </c>
      <c r="E674" t="s">
        <v>3314</v>
      </c>
      <c r="F674">
        <v>39</v>
      </c>
      <c r="G674" t="s">
        <v>3315</v>
      </c>
      <c r="H674">
        <v>20000</v>
      </c>
      <c r="I674" t="s">
        <v>3834</v>
      </c>
      <c r="J674">
        <v>20000</v>
      </c>
      <c r="K674">
        <v>80000</v>
      </c>
      <c r="L674" t="s">
        <v>118</v>
      </c>
      <c r="M674" t="s">
        <v>87</v>
      </c>
      <c r="N674" t="s">
        <v>134</v>
      </c>
      <c r="O674" t="s">
        <v>3528</v>
      </c>
      <c r="P674" s="5" t="s">
        <v>3318</v>
      </c>
      <c r="Q674">
        <v>4</v>
      </c>
    </row>
    <row r="675" spans="1:17" x14ac:dyDescent="0.3">
      <c r="A675" s="4">
        <v>44629</v>
      </c>
      <c r="B675" t="s">
        <v>4228</v>
      </c>
      <c r="C675" t="s">
        <v>3838</v>
      </c>
      <c r="D675" s="77">
        <v>0.61319444444444449</v>
      </c>
      <c r="E675" t="s">
        <v>3314</v>
      </c>
      <c r="F675">
        <v>49</v>
      </c>
      <c r="G675" t="s">
        <v>3315</v>
      </c>
      <c r="H675">
        <v>30000</v>
      </c>
      <c r="I675" t="s">
        <v>3834</v>
      </c>
      <c r="J675">
        <v>30000</v>
      </c>
      <c r="K675">
        <v>120000</v>
      </c>
      <c r="L675" t="s">
        <v>118</v>
      </c>
      <c r="M675" t="s">
        <v>88</v>
      </c>
      <c r="N675" t="s">
        <v>117</v>
      </c>
      <c r="O675" t="s">
        <v>3494</v>
      </c>
      <c r="P675" s="5" t="s">
        <v>3318</v>
      </c>
      <c r="Q675">
        <v>4</v>
      </c>
    </row>
    <row r="676" spans="1:17" x14ac:dyDescent="0.3">
      <c r="A676" s="4">
        <v>44629</v>
      </c>
      <c r="B676" t="s">
        <v>4229</v>
      </c>
      <c r="C676" t="s">
        <v>3843</v>
      </c>
      <c r="D676" s="77">
        <v>0.61527777777777781</v>
      </c>
      <c r="E676" t="s">
        <v>3314</v>
      </c>
      <c r="F676">
        <v>49</v>
      </c>
      <c r="G676" t="s">
        <v>3315</v>
      </c>
      <c r="H676">
        <v>20000</v>
      </c>
      <c r="I676" t="s">
        <v>3316</v>
      </c>
      <c r="J676">
        <v>20000</v>
      </c>
      <c r="K676">
        <v>60000</v>
      </c>
      <c r="L676" t="s">
        <v>149</v>
      </c>
      <c r="M676" t="s">
        <v>3020</v>
      </c>
      <c r="N676" t="s">
        <v>2852</v>
      </c>
      <c r="O676" t="s">
        <v>3661</v>
      </c>
      <c r="P676" s="5" t="s">
        <v>3318</v>
      </c>
      <c r="Q676">
        <v>3</v>
      </c>
    </row>
    <row r="677" spans="1:17" x14ac:dyDescent="0.3">
      <c r="A677" s="4">
        <v>44629</v>
      </c>
      <c r="B677" t="s">
        <v>4230</v>
      </c>
      <c r="C677" t="s">
        <v>3384</v>
      </c>
      <c r="D677" s="77">
        <v>0.62847222222222221</v>
      </c>
      <c r="E677" t="s">
        <v>3314</v>
      </c>
      <c r="F677">
        <v>32</v>
      </c>
      <c r="G677" t="s">
        <v>3315</v>
      </c>
      <c r="H677">
        <v>20000</v>
      </c>
      <c r="I677" t="s">
        <v>3316</v>
      </c>
      <c r="J677">
        <v>20000</v>
      </c>
      <c r="K677">
        <v>90000</v>
      </c>
      <c r="L677" t="s">
        <v>116</v>
      </c>
      <c r="M677" t="s">
        <v>77</v>
      </c>
      <c r="N677" t="s">
        <v>133</v>
      </c>
      <c r="O677" t="s">
        <v>3376</v>
      </c>
      <c r="P677" s="5" t="s">
        <v>3318</v>
      </c>
      <c r="Q677">
        <v>4.5</v>
      </c>
    </row>
    <row r="678" spans="1:17" x14ac:dyDescent="0.3">
      <c r="A678" s="4">
        <v>44629</v>
      </c>
      <c r="B678" t="s">
        <v>4231</v>
      </c>
      <c r="C678" t="s">
        <v>3843</v>
      </c>
      <c r="D678" s="77">
        <v>0.63194444444444442</v>
      </c>
      <c r="E678" t="s">
        <v>3314</v>
      </c>
      <c r="F678">
        <v>44</v>
      </c>
      <c r="G678" t="s">
        <v>3315</v>
      </c>
      <c r="H678">
        <v>20000</v>
      </c>
      <c r="I678" t="s">
        <v>3316</v>
      </c>
      <c r="J678">
        <v>20000</v>
      </c>
      <c r="K678">
        <v>60000</v>
      </c>
      <c r="L678" t="s">
        <v>149</v>
      </c>
      <c r="M678" t="s">
        <v>3020</v>
      </c>
      <c r="N678" t="s">
        <v>2852</v>
      </c>
      <c r="O678" t="s">
        <v>3661</v>
      </c>
      <c r="P678" s="5" t="s">
        <v>3318</v>
      </c>
      <c r="Q678">
        <v>3</v>
      </c>
    </row>
    <row r="679" spans="1:17" x14ac:dyDescent="0.3">
      <c r="A679" s="4">
        <v>44629</v>
      </c>
      <c r="B679" t="s">
        <v>4232</v>
      </c>
      <c r="C679" t="s">
        <v>3384</v>
      </c>
      <c r="D679" s="77">
        <v>0.65625</v>
      </c>
      <c r="E679" t="s">
        <v>3314</v>
      </c>
      <c r="F679">
        <v>54</v>
      </c>
      <c r="G679" t="s">
        <v>3315</v>
      </c>
      <c r="H679">
        <v>30000</v>
      </c>
      <c r="I679" t="s">
        <v>3316</v>
      </c>
      <c r="J679">
        <v>30000</v>
      </c>
      <c r="K679">
        <v>135000</v>
      </c>
      <c r="L679" t="s">
        <v>116</v>
      </c>
      <c r="M679" t="s">
        <v>77</v>
      </c>
      <c r="N679" t="s">
        <v>133</v>
      </c>
      <c r="O679" t="s">
        <v>3376</v>
      </c>
      <c r="P679" s="5" t="s">
        <v>3318</v>
      </c>
      <c r="Q679">
        <v>4.5</v>
      </c>
    </row>
    <row r="680" spans="1:17" x14ac:dyDescent="0.3">
      <c r="A680" s="4">
        <v>44629</v>
      </c>
      <c r="B680" t="s">
        <v>4233</v>
      </c>
      <c r="C680" t="s">
        <v>4015</v>
      </c>
      <c r="D680" s="77">
        <v>0.66666666666666663</v>
      </c>
      <c r="E680" t="s">
        <v>3314</v>
      </c>
      <c r="F680">
        <v>36</v>
      </c>
      <c r="G680" t="s">
        <v>3315</v>
      </c>
      <c r="H680">
        <v>30000</v>
      </c>
      <c r="I680" t="s">
        <v>3316</v>
      </c>
      <c r="J680">
        <v>30000</v>
      </c>
      <c r="K680">
        <v>135000</v>
      </c>
      <c r="L680" t="s">
        <v>116</v>
      </c>
      <c r="M680" t="s">
        <v>65</v>
      </c>
      <c r="N680" t="s">
        <v>102</v>
      </c>
      <c r="O680" t="s">
        <v>3506</v>
      </c>
      <c r="P680" s="5" t="s">
        <v>3318</v>
      </c>
      <c r="Q680">
        <v>4.5</v>
      </c>
    </row>
    <row r="681" spans="1:17" x14ac:dyDescent="0.3">
      <c r="A681" s="4">
        <v>44629</v>
      </c>
      <c r="B681" t="s">
        <v>4234</v>
      </c>
      <c r="C681" t="s">
        <v>3843</v>
      </c>
      <c r="D681" s="77">
        <v>0.67222222222222217</v>
      </c>
      <c r="E681" t="s">
        <v>3314</v>
      </c>
      <c r="F681">
        <v>26</v>
      </c>
      <c r="G681" t="s">
        <v>3315</v>
      </c>
      <c r="H681">
        <v>30000</v>
      </c>
      <c r="I681" t="s">
        <v>3834</v>
      </c>
      <c r="J681">
        <v>30000</v>
      </c>
      <c r="K681">
        <v>90000</v>
      </c>
      <c r="L681" t="s">
        <v>149</v>
      </c>
      <c r="M681" t="s">
        <v>3020</v>
      </c>
      <c r="N681" t="s">
        <v>2852</v>
      </c>
      <c r="O681" t="s">
        <v>3661</v>
      </c>
      <c r="P681" s="5" t="s">
        <v>3318</v>
      </c>
      <c r="Q681">
        <v>3</v>
      </c>
    </row>
    <row r="682" spans="1:17" x14ac:dyDescent="0.3">
      <c r="A682" s="4">
        <v>44629</v>
      </c>
      <c r="B682" t="s">
        <v>4235</v>
      </c>
      <c r="C682" t="s">
        <v>4236</v>
      </c>
      <c r="D682" s="77">
        <v>0.6875</v>
      </c>
      <c r="E682" t="s">
        <v>3314</v>
      </c>
      <c r="F682">
        <v>46</v>
      </c>
      <c r="G682" t="s">
        <v>3315</v>
      </c>
      <c r="H682">
        <v>20000</v>
      </c>
      <c r="I682" t="s">
        <v>3834</v>
      </c>
      <c r="J682">
        <v>20000</v>
      </c>
      <c r="K682">
        <v>80000</v>
      </c>
      <c r="L682" t="s">
        <v>118</v>
      </c>
      <c r="M682" t="s">
        <v>92</v>
      </c>
      <c r="N682" t="s">
        <v>137</v>
      </c>
      <c r="O682" t="s">
        <v>3476</v>
      </c>
      <c r="P682" s="5" t="s">
        <v>3318</v>
      </c>
      <c r="Q682">
        <v>4</v>
      </c>
    </row>
    <row r="683" spans="1:17" x14ac:dyDescent="0.3">
      <c r="A683" s="4">
        <v>44629</v>
      </c>
      <c r="B683" t="s">
        <v>4237</v>
      </c>
      <c r="C683" t="s">
        <v>3594</v>
      </c>
      <c r="D683" s="77">
        <v>0.70833333333333337</v>
      </c>
      <c r="E683" t="s">
        <v>3314</v>
      </c>
      <c r="F683">
        <v>48</v>
      </c>
      <c r="G683" t="s">
        <v>3315</v>
      </c>
      <c r="H683">
        <v>20000</v>
      </c>
      <c r="I683" t="s">
        <v>3316</v>
      </c>
      <c r="J683">
        <v>20000</v>
      </c>
      <c r="K683">
        <v>80000</v>
      </c>
      <c r="L683" t="s">
        <v>118</v>
      </c>
      <c r="M683" t="s">
        <v>28</v>
      </c>
      <c r="N683" t="s">
        <v>132</v>
      </c>
      <c r="O683" t="s">
        <v>3449</v>
      </c>
      <c r="P683" s="5" t="s">
        <v>3318</v>
      </c>
      <c r="Q683">
        <v>4</v>
      </c>
    </row>
    <row r="684" spans="1:17" x14ac:dyDescent="0.3">
      <c r="A684" s="4">
        <v>44629</v>
      </c>
      <c r="B684" t="s">
        <v>4238</v>
      </c>
      <c r="C684" t="s">
        <v>4239</v>
      </c>
      <c r="D684" s="77">
        <v>0.70833333333333337</v>
      </c>
      <c r="E684" t="s">
        <v>3314</v>
      </c>
      <c r="F684">
        <v>33</v>
      </c>
      <c r="G684" t="s">
        <v>3315</v>
      </c>
      <c r="H684">
        <v>30000</v>
      </c>
      <c r="I684" t="s">
        <v>3316</v>
      </c>
      <c r="J684">
        <v>30000</v>
      </c>
      <c r="K684">
        <v>120000</v>
      </c>
      <c r="L684" t="s">
        <v>118</v>
      </c>
      <c r="M684" t="s">
        <v>85</v>
      </c>
      <c r="N684" t="s">
        <v>109</v>
      </c>
      <c r="O684" t="s">
        <v>3342</v>
      </c>
      <c r="P684" s="5" t="s">
        <v>3318</v>
      </c>
      <c r="Q684">
        <v>4</v>
      </c>
    </row>
    <row r="685" spans="1:17" x14ac:dyDescent="0.3">
      <c r="A685" s="4">
        <v>44629</v>
      </c>
      <c r="B685" t="s">
        <v>4240</v>
      </c>
      <c r="C685" t="s">
        <v>3384</v>
      </c>
      <c r="D685" s="77">
        <v>0.7104166666666667</v>
      </c>
      <c r="E685" t="s">
        <v>3314</v>
      </c>
      <c r="F685">
        <v>53</v>
      </c>
      <c r="G685" t="s">
        <v>3315</v>
      </c>
      <c r="H685">
        <v>20000</v>
      </c>
      <c r="I685" t="s">
        <v>3834</v>
      </c>
      <c r="J685">
        <v>20000</v>
      </c>
      <c r="K685">
        <v>90000</v>
      </c>
      <c r="L685" t="s">
        <v>116</v>
      </c>
      <c r="M685" t="s">
        <v>77</v>
      </c>
      <c r="N685" t="s">
        <v>133</v>
      </c>
      <c r="O685" t="s">
        <v>3376</v>
      </c>
      <c r="P685" s="5" t="s">
        <v>3318</v>
      </c>
      <c r="Q685">
        <v>4.5</v>
      </c>
    </row>
    <row r="686" spans="1:17" x14ac:dyDescent="0.3">
      <c r="A686" s="4">
        <v>44629</v>
      </c>
      <c r="B686" t="s">
        <v>4241</v>
      </c>
      <c r="C686" t="s">
        <v>4015</v>
      </c>
      <c r="D686" s="77">
        <v>0.71458333333333324</v>
      </c>
      <c r="E686" t="s">
        <v>3314</v>
      </c>
      <c r="F686">
        <v>64</v>
      </c>
      <c r="G686" t="s">
        <v>3315</v>
      </c>
      <c r="H686">
        <v>20000</v>
      </c>
      <c r="I686" t="s">
        <v>3316</v>
      </c>
      <c r="J686">
        <v>20000</v>
      </c>
      <c r="K686">
        <v>80000</v>
      </c>
      <c r="L686" t="s">
        <v>118</v>
      </c>
      <c r="M686" t="s">
        <v>93</v>
      </c>
      <c r="N686" t="s">
        <v>121</v>
      </c>
      <c r="O686" t="s">
        <v>3781</v>
      </c>
      <c r="P686" s="5" t="s">
        <v>3318</v>
      </c>
      <c r="Q686">
        <v>4</v>
      </c>
    </row>
    <row r="687" spans="1:17" x14ac:dyDescent="0.3">
      <c r="A687" s="4">
        <v>44629</v>
      </c>
      <c r="B687" t="s">
        <v>4242</v>
      </c>
      <c r="C687" t="s">
        <v>4015</v>
      </c>
      <c r="D687" s="77">
        <v>0.72638888888888886</v>
      </c>
      <c r="E687" t="s">
        <v>3314</v>
      </c>
      <c r="F687">
        <v>61</v>
      </c>
      <c r="G687" t="s">
        <v>3315</v>
      </c>
      <c r="H687">
        <v>100000</v>
      </c>
      <c r="I687" t="s">
        <v>3316</v>
      </c>
      <c r="J687">
        <v>100000</v>
      </c>
      <c r="K687">
        <v>400000</v>
      </c>
      <c r="L687" t="s">
        <v>118</v>
      </c>
      <c r="M687" t="s">
        <v>86</v>
      </c>
      <c r="N687" t="s">
        <v>120</v>
      </c>
      <c r="O687" t="s">
        <v>3446</v>
      </c>
      <c r="P687" s="5" t="s">
        <v>3318</v>
      </c>
      <c r="Q687">
        <v>4</v>
      </c>
    </row>
    <row r="688" spans="1:17" x14ac:dyDescent="0.3">
      <c r="A688" s="4">
        <v>44629</v>
      </c>
      <c r="B688" t="s">
        <v>4243</v>
      </c>
      <c r="C688" t="s">
        <v>4236</v>
      </c>
      <c r="D688" s="77">
        <v>0.76180555555555562</v>
      </c>
      <c r="E688" t="s">
        <v>3314</v>
      </c>
      <c r="F688">
        <v>58</v>
      </c>
      <c r="G688" t="s">
        <v>3315</v>
      </c>
      <c r="H688">
        <v>20000</v>
      </c>
      <c r="I688" t="s">
        <v>3316</v>
      </c>
      <c r="J688">
        <v>20000</v>
      </c>
      <c r="K688">
        <v>90000</v>
      </c>
      <c r="L688" t="s">
        <v>114</v>
      </c>
      <c r="M688" t="s">
        <v>31</v>
      </c>
      <c r="N688" t="s">
        <v>105</v>
      </c>
      <c r="O688" t="s">
        <v>3339</v>
      </c>
      <c r="P688" s="5" t="s">
        <v>3318</v>
      </c>
      <c r="Q688">
        <v>4.5</v>
      </c>
    </row>
    <row r="689" spans="1:17" x14ac:dyDescent="0.3">
      <c r="A689" s="4">
        <v>44629</v>
      </c>
      <c r="B689" t="s">
        <v>4244</v>
      </c>
      <c r="C689" t="s">
        <v>4239</v>
      </c>
      <c r="D689" s="77">
        <v>0.76250000000000007</v>
      </c>
      <c r="E689" t="s">
        <v>3314</v>
      </c>
      <c r="F689">
        <v>52</v>
      </c>
      <c r="G689" t="s">
        <v>3315</v>
      </c>
      <c r="H689">
        <v>20000</v>
      </c>
      <c r="I689" t="s">
        <v>3316</v>
      </c>
      <c r="J689">
        <v>20000</v>
      </c>
      <c r="K689">
        <v>80000</v>
      </c>
      <c r="L689" t="s">
        <v>118</v>
      </c>
      <c r="M689" t="s">
        <v>84</v>
      </c>
      <c r="N689" t="s">
        <v>108</v>
      </c>
      <c r="O689" t="s">
        <v>3366</v>
      </c>
      <c r="P689" s="5" t="s">
        <v>3318</v>
      </c>
      <c r="Q689">
        <v>4</v>
      </c>
    </row>
    <row r="690" spans="1:17" x14ac:dyDescent="0.3">
      <c r="A690" s="4">
        <v>44629</v>
      </c>
      <c r="B690" t="s">
        <v>4245</v>
      </c>
      <c r="C690" t="s">
        <v>4236</v>
      </c>
      <c r="D690" s="77">
        <v>0.7715277777777777</v>
      </c>
      <c r="E690" t="s">
        <v>3314</v>
      </c>
      <c r="F690">
        <v>32</v>
      </c>
      <c r="G690" t="s">
        <v>3315</v>
      </c>
      <c r="H690">
        <v>30000</v>
      </c>
      <c r="I690" t="s">
        <v>3316</v>
      </c>
      <c r="J690">
        <v>30000</v>
      </c>
      <c r="K690">
        <v>120000</v>
      </c>
      <c r="L690" t="s">
        <v>118</v>
      </c>
      <c r="M690" t="s">
        <v>92</v>
      </c>
      <c r="N690" t="s">
        <v>137</v>
      </c>
      <c r="O690" t="s">
        <v>3476</v>
      </c>
      <c r="P690" s="5" t="s">
        <v>3318</v>
      </c>
      <c r="Q690">
        <v>4</v>
      </c>
    </row>
    <row r="691" spans="1:17" x14ac:dyDescent="0.3">
      <c r="A691" s="4">
        <v>44629</v>
      </c>
      <c r="B691" t="s">
        <v>4246</v>
      </c>
      <c r="C691" t="s">
        <v>4236</v>
      </c>
      <c r="D691" s="77">
        <v>0.78472222222222221</v>
      </c>
      <c r="E691" t="s">
        <v>3314</v>
      </c>
      <c r="F691">
        <v>28</v>
      </c>
      <c r="G691" t="s">
        <v>3315</v>
      </c>
      <c r="H691">
        <v>20000</v>
      </c>
      <c r="I691" t="s">
        <v>3316</v>
      </c>
      <c r="J691">
        <v>20000</v>
      </c>
      <c r="K691">
        <v>90000</v>
      </c>
      <c r="L691" t="s">
        <v>114</v>
      </c>
      <c r="M691" t="s">
        <v>31</v>
      </c>
      <c r="N691" t="s">
        <v>105</v>
      </c>
      <c r="O691" t="s">
        <v>3339</v>
      </c>
      <c r="P691" s="5" t="s">
        <v>3318</v>
      </c>
      <c r="Q691">
        <v>4.5</v>
      </c>
    </row>
    <row r="692" spans="1:17" x14ac:dyDescent="0.3">
      <c r="A692" s="4">
        <v>44629</v>
      </c>
      <c r="B692" t="s">
        <v>4247</v>
      </c>
      <c r="C692" t="s">
        <v>3729</v>
      </c>
      <c r="D692" s="77">
        <v>0.8125</v>
      </c>
      <c r="E692" t="s">
        <v>3314</v>
      </c>
      <c r="F692">
        <v>46</v>
      </c>
      <c r="G692" t="s">
        <v>3315</v>
      </c>
      <c r="H692">
        <v>30000</v>
      </c>
      <c r="I692" t="s">
        <v>3316</v>
      </c>
      <c r="J692">
        <v>30000</v>
      </c>
      <c r="K692">
        <v>135000</v>
      </c>
      <c r="L692" t="s">
        <v>116</v>
      </c>
      <c r="M692" t="s">
        <v>76</v>
      </c>
      <c r="N692" t="s">
        <v>107</v>
      </c>
      <c r="O692" t="s">
        <v>3321</v>
      </c>
      <c r="P692" s="5" t="s">
        <v>3318</v>
      </c>
      <c r="Q692">
        <v>4.5</v>
      </c>
    </row>
    <row r="693" spans="1:17" x14ac:dyDescent="0.3">
      <c r="A693" s="4">
        <v>44629</v>
      </c>
      <c r="B693" t="s">
        <v>4248</v>
      </c>
      <c r="C693" t="s">
        <v>4227</v>
      </c>
      <c r="D693" s="77">
        <v>0.81736111111111109</v>
      </c>
      <c r="E693" t="s">
        <v>3314</v>
      </c>
      <c r="F693">
        <v>57</v>
      </c>
      <c r="G693" t="s">
        <v>3315</v>
      </c>
      <c r="H693">
        <v>20000</v>
      </c>
      <c r="I693" t="s">
        <v>3316</v>
      </c>
      <c r="J693">
        <v>20000</v>
      </c>
      <c r="K693">
        <v>80000</v>
      </c>
      <c r="L693" t="s">
        <v>118</v>
      </c>
      <c r="M693" t="s">
        <v>87</v>
      </c>
      <c r="N693" t="s">
        <v>134</v>
      </c>
      <c r="O693" t="s">
        <v>3528</v>
      </c>
      <c r="P693" s="5" t="s">
        <v>3318</v>
      </c>
      <c r="Q693">
        <v>4</v>
      </c>
    </row>
    <row r="694" spans="1:17" x14ac:dyDescent="0.3">
      <c r="A694" s="4">
        <v>44630</v>
      </c>
      <c r="B694" t="s">
        <v>4249</v>
      </c>
      <c r="C694" t="s">
        <v>4250</v>
      </c>
      <c r="D694" s="77">
        <v>0.51736111111111105</v>
      </c>
      <c r="E694" t="s">
        <v>3332</v>
      </c>
      <c r="F694">
        <v>44</v>
      </c>
      <c r="G694" t="s">
        <v>3315</v>
      </c>
      <c r="H694">
        <v>20000</v>
      </c>
      <c r="I694" t="s">
        <v>3316</v>
      </c>
      <c r="J694">
        <v>20000</v>
      </c>
      <c r="K694">
        <v>80000</v>
      </c>
      <c r="L694" t="s">
        <v>118</v>
      </c>
      <c r="M694" t="s">
        <v>145</v>
      </c>
      <c r="N694" t="s">
        <v>146</v>
      </c>
      <c r="O694" t="s">
        <v>3333</v>
      </c>
      <c r="P694" s="5" t="s">
        <v>3318</v>
      </c>
      <c r="Q694">
        <v>4</v>
      </c>
    </row>
    <row r="695" spans="1:17" x14ac:dyDescent="0.3">
      <c r="A695" s="4">
        <v>44630</v>
      </c>
      <c r="B695" t="s">
        <v>4251</v>
      </c>
      <c r="C695" t="s">
        <v>4252</v>
      </c>
      <c r="D695" s="77">
        <v>0.55555555555555558</v>
      </c>
      <c r="E695" t="s">
        <v>3332</v>
      </c>
      <c r="F695">
        <v>66</v>
      </c>
      <c r="G695" t="s">
        <v>3336</v>
      </c>
      <c r="H695">
        <v>30000</v>
      </c>
      <c r="I695" t="s">
        <v>3336</v>
      </c>
      <c r="J695">
        <v>30000</v>
      </c>
      <c r="K695">
        <v>150000</v>
      </c>
      <c r="L695" t="s">
        <v>114</v>
      </c>
      <c r="M695" t="s">
        <v>23</v>
      </c>
      <c r="N695" t="s">
        <v>99</v>
      </c>
      <c r="O695" t="s">
        <v>3358</v>
      </c>
      <c r="P695" s="5" t="s">
        <v>3318</v>
      </c>
      <c r="Q695">
        <v>5</v>
      </c>
    </row>
    <row r="696" spans="1:17" x14ac:dyDescent="0.3">
      <c r="A696" s="4">
        <v>44630</v>
      </c>
      <c r="B696" t="s">
        <v>4253</v>
      </c>
      <c r="C696" t="s">
        <v>4252</v>
      </c>
      <c r="D696" s="77">
        <v>0.5625</v>
      </c>
      <c r="E696" t="s">
        <v>3332</v>
      </c>
      <c r="F696">
        <v>66</v>
      </c>
      <c r="G696" t="s">
        <v>3315</v>
      </c>
      <c r="H696">
        <v>30000</v>
      </c>
      <c r="I696" t="s">
        <v>3348</v>
      </c>
      <c r="J696">
        <v>30000</v>
      </c>
      <c r="K696">
        <v>120000</v>
      </c>
      <c r="L696" t="s">
        <v>118</v>
      </c>
      <c r="M696" t="s">
        <v>812</v>
      </c>
      <c r="N696" t="s">
        <v>814</v>
      </c>
      <c r="O696" t="s">
        <v>3412</v>
      </c>
      <c r="P696" s="5" t="s">
        <v>3318</v>
      </c>
      <c r="Q696">
        <v>4</v>
      </c>
    </row>
    <row r="697" spans="1:17" x14ac:dyDescent="0.3">
      <c r="A697" s="4">
        <v>44630</v>
      </c>
      <c r="B697" t="s">
        <v>4254</v>
      </c>
      <c r="C697" t="s">
        <v>3414</v>
      </c>
      <c r="D697" s="77">
        <v>0.5625</v>
      </c>
      <c r="E697" t="s">
        <v>3314</v>
      </c>
      <c r="F697">
        <v>65</v>
      </c>
      <c r="G697" t="s">
        <v>3315</v>
      </c>
      <c r="H697">
        <v>30000</v>
      </c>
      <c r="I697" t="s">
        <v>3316</v>
      </c>
      <c r="J697">
        <v>30000</v>
      </c>
      <c r="K697">
        <v>120000</v>
      </c>
      <c r="L697" t="s">
        <v>118</v>
      </c>
      <c r="M697" t="s">
        <v>94</v>
      </c>
      <c r="N697" t="s">
        <v>138</v>
      </c>
      <c r="O697" t="s">
        <v>3775</v>
      </c>
      <c r="P697" s="5" t="s">
        <v>3318</v>
      </c>
      <c r="Q697">
        <v>4</v>
      </c>
    </row>
    <row r="698" spans="1:17" x14ac:dyDescent="0.3">
      <c r="A698" s="4">
        <v>44630</v>
      </c>
      <c r="B698" t="s">
        <v>4255</v>
      </c>
      <c r="C698" t="s">
        <v>4015</v>
      </c>
      <c r="D698" s="77">
        <v>0.58124999999999993</v>
      </c>
      <c r="E698" t="s">
        <v>3314</v>
      </c>
      <c r="F698">
        <v>63</v>
      </c>
      <c r="G698" t="s">
        <v>3315</v>
      </c>
      <c r="H698">
        <v>20000</v>
      </c>
      <c r="I698" t="s">
        <v>3488</v>
      </c>
      <c r="J698">
        <v>3000</v>
      </c>
      <c r="K698">
        <v>13500</v>
      </c>
      <c r="L698" t="s">
        <v>119</v>
      </c>
      <c r="M698" t="s">
        <v>27</v>
      </c>
      <c r="N698" t="s">
        <v>101</v>
      </c>
      <c r="O698" t="s">
        <v>3803</v>
      </c>
      <c r="P698" s="5" t="s">
        <v>3318</v>
      </c>
      <c r="Q698">
        <v>4.5</v>
      </c>
    </row>
    <row r="699" spans="1:17" x14ac:dyDescent="0.3">
      <c r="A699" s="4">
        <v>44630</v>
      </c>
      <c r="B699" t="s">
        <v>4256</v>
      </c>
      <c r="C699" t="s">
        <v>3414</v>
      </c>
      <c r="D699" s="77">
        <v>0.58124999999999993</v>
      </c>
      <c r="E699" t="s">
        <v>3314</v>
      </c>
      <c r="F699">
        <v>66</v>
      </c>
      <c r="G699" t="s">
        <v>3315</v>
      </c>
      <c r="H699">
        <v>20000</v>
      </c>
      <c r="I699" t="s">
        <v>3316</v>
      </c>
      <c r="J699">
        <v>20000</v>
      </c>
      <c r="K699">
        <v>80000</v>
      </c>
      <c r="L699" t="s">
        <v>118</v>
      </c>
      <c r="M699" t="s">
        <v>94</v>
      </c>
      <c r="N699" t="s">
        <v>138</v>
      </c>
      <c r="O699" t="s">
        <v>3775</v>
      </c>
      <c r="P699" s="5" t="s">
        <v>3318</v>
      </c>
      <c r="Q699">
        <v>4</v>
      </c>
    </row>
    <row r="700" spans="1:17" x14ac:dyDescent="0.3">
      <c r="A700" s="4">
        <v>44630</v>
      </c>
      <c r="B700" t="s">
        <v>4257</v>
      </c>
      <c r="C700" t="s">
        <v>4015</v>
      </c>
      <c r="D700" s="77">
        <v>0.59652777777777777</v>
      </c>
      <c r="E700" t="s">
        <v>3314</v>
      </c>
      <c r="F700">
        <v>66</v>
      </c>
      <c r="G700" t="s">
        <v>3315</v>
      </c>
      <c r="H700">
        <v>30000</v>
      </c>
      <c r="I700" t="s">
        <v>3316</v>
      </c>
      <c r="J700">
        <v>30000</v>
      </c>
      <c r="K700">
        <v>120000</v>
      </c>
      <c r="L700" t="s">
        <v>118</v>
      </c>
      <c r="M700" t="s">
        <v>88</v>
      </c>
      <c r="N700" t="s">
        <v>117</v>
      </c>
      <c r="O700" t="s">
        <v>3494</v>
      </c>
      <c r="P700" s="5" t="s">
        <v>3318</v>
      </c>
      <c r="Q700">
        <v>4</v>
      </c>
    </row>
    <row r="701" spans="1:17" x14ac:dyDescent="0.3">
      <c r="A701" s="4">
        <v>44630</v>
      </c>
      <c r="B701" t="s">
        <v>4258</v>
      </c>
      <c r="C701" t="s">
        <v>3414</v>
      </c>
      <c r="D701" s="77">
        <v>0.59930555555555554</v>
      </c>
      <c r="E701" t="s">
        <v>3314</v>
      </c>
      <c r="F701">
        <v>29</v>
      </c>
      <c r="G701" t="s">
        <v>3315</v>
      </c>
      <c r="H701">
        <v>20000</v>
      </c>
      <c r="I701" t="s">
        <v>3834</v>
      </c>
      <c r="J701">
        <v>20000</v>
      </c>
      <c r="K701">
        <v>90000</v>
      </c>
      <c r="L701" t="s">
        <v>116</v>
      </c>
      <c r="M701" t="s">
        <v>77</v>
      </c>
      <c r="N701" t="s">
        <v>133</v>
      </c>
      <c r="O701" t="s">
        <v>3376</v>
      </c>
      <c r="P701" s="5" t="s">
        <v>3318</v>
      </c>
      <c r="Q701">
        <v>4.5</v>
      </c>
    </row>
    <row r="702" spans="1:17" x14ac:dyDescent="0.3">
      <c r="A702" s="4">
        <v>44630</v>
      </c>
      <c r="B702" t="s">
        <v>4259</v>
      </c>
      <c r="C702" t="s">
        <v>3414</v>
      </c>
      <c r="D702" s="77">
        <v>0.60763888888888895</v>
      </c>
      <c r="E702" t="s">
        <v>3314</v>
      </c>
      <c r="F702">
        <v>60</v>
      </c>
      <c r="G702" t="s">
        <v>3315</v>
      </c>
      <c r="H702">
        <v>20000</v>
      </c>
      <c r="I702" t="s">
        <v>3834</v>
      </c>
      <c r="J702">
        <v>20000</v>
      </c>
      <c r="K702">
        <v>80000</v>
      </c>
      <c r="L702" t="s">
        <v>118</v>
      </c>
      <c r="M702" t="s">
        <v>91</v>
      </c>
      <c r="N702" t="s">
        <v>136</v>
      </c>
      <c r="O702" t="s">
        <v>3422</v>
      </c>
      <c r="P702" s="5" t="s">
        <v>3318</v>
      </c>
      <c r="Q702">
        <v>4</v>
      </c>
    </row>
    <row r="703" spans="1:17" x14ac:dyDescent="0.3">
      <c r="A703" s="4">
        <v>44630</v>
      </c>
      <c r="B703" t="s">
        <v>4260</v>
      </c>
      <c r="C703" t="s">
        <v>3454</v>
      </c>
      <c r="D703" s="77">
        <v>0.625</v>
      </c>
      <c r="E703" t="s">
        <v>3314</v>
      </c>
      <c r="F703">
        <v>42</v>
      </c>
      <c r="G703" t="s">
        <v>3315</v>
      </c>
      <c r="H703">
        <v>20000</v>
      </c>
      <c r="I703" t="s">
        <v>3834</v>
      </c>
      <c r="J703">
        <v>20000</v>
      </c>
      <c r="K703">
        <v>80000</v>
      </c>
      <c r="L703" t="s">
        <v>118</v>
      </c>
      <c r="M703" t="s">
        <v>85</v>
      </c>
      <c r="N703" t="s">
        <v>109</v>
      </c>
      <c r="O703" t="s">
        <v>3342</v>
      </c>
      <c r="P703" s="5" t="s">
        <v>3318</v>
      </c>
      <c r="Q703">
        <v>4</v>
      </c>
    </row>
    <row r="704" spans="1:17" x14ac:dyDescent="0.3">
      <c r="A704" s="4">
        <v>44630</v>
      </c>
      <c r="B704" t="s">
        <v>4261</v>
      </c>
      <c r="C704" t="s">
        <v>4015</v>
      </c>
      <c r="D704" s="77">
        <v>0.62569444444444444</v>
      </c>
      <c r="E704" t="s">
        <v>3314</v>
      </c>
      <c r="F704">
        <v>49</v>
      </c>
      <c r="G704" t="s">
        <v>3315</v>
      </c>
      <c r="H704">
        <v>20000</v>
      </c>
      <c r="I704" t="s">
        <v>3316</v>
      </c>
      <c r="J704">
        <v>20000</v>
      </c>
      <c r="K704">
        <v>90000</v>
      </c>
      <c r="L704" t="s">
        <v>113</v>
      </c>
      <c r="M704" t="s">
        <v>22</v>
      </c>
      <c r="N704" t="s">
        <v>98</v>
      </c>
      <c r="O704" t="s">
        <v>3437</v>
      </c>
      <c r="P704" s="5" t="s">
        <v>3318</v>
      </c>
      <c r="Q704">
        <v>4.5</v>
      </c>
    </row>
    <row r="705" spans="1:17" x14ac:dyDescent="0.3">
      <c r="A705" s="4">
        <v>44630</v>
      </c>
      <c r="B705" t="s">
        <v>4262</v>
      </c>
      <c r="C705" t="s">
        <v>3812</v>
      </c>
      <c r="D705" s="77">
        <v>0.6333333333333333</v>
      </c>
      <c r="E705" t="s">
        <v>3314</v>
      </c>
      <c r="F705">
        <v>46</v>
      </c>
      <c r="G705" t="s">
        <v>3315</v>
      </c>
      <c r="H705">
        <v>20000</v>
      </c>
      <c r="I705" t="s">
        <v>3316</v>
      </c>
      <c r="J705">
        <v>20000</v>
      </c>
      <c r="K705">
        <v>90000</v>
      </c>
      <c r="L705" t="s">
        <v>116</v>
      </c>
      <c r="M705" t="s">
        <v>78</v>
      </c>
      <c r="N705" t="s">
        <v>100</v>
      </c>
      <c r="O705" t="s">
        <v>3629</v>
      </c>
      <c r="P705" s="5" t="s">
        <v>3318</v>
      </c>
      <c r="Q705">
        <v>4.5</v>
      </c>
    </row>
    <row r="706" spans="1:17" x14ac:dyDescent="0.3">
      <c r="A706" s="4">
        <v>44630</v>
      </c>
      <c r="B706" t="s">
        <v>4263</v>
      </c>
      <c r="C706" t="s">
        <v>4173</v>
      </c>
      <c r="D706" s="77">
        <v>0.63541666666666663</v>
      </c>
      <c r="E706" t="s">
        <v>3314</v>
      </c>
      <c r="F706">
        <v>35</v>
      </c>
      <c r="G706" t="s">
        <v>3315</v>
      </c>
      <c r="H706">
        <v>20000</v>
      </c>
      <c r="I706" t="s">
        <v>3316</v>
      </c>
      <c r="J706">
        <v>20000</v>
      </c>
      <c r="K706">
        <v>90000</v>
      </c>
      <c r="L706" t="s">
        <v>114</v>
      </c>
      <c r="M706" t="s">
        <v>79</v>
      </c>
      <c r="N706" t="s">
        <v>131</v>
      </c>
      <c r="O706" t="s">
        <v>3465</v>
      </c>
      <c r="P706" s="5" t="s">
        <v>3318</v>
      </c>
      <c r="Q706">
        <v>4.5</v>
      </c>
    </row>
    <row r="707" spans="1:17" x14ac:dyDescent="0.3">
      <c r="A707" s="4">
        <v>44630</v>
      </c>
      <c r="B707" t="s">
        <v>4264</v>
      </c>
      <c r="C707" t="s">
        <v>3414</v>
      </c>
      <c r="D707" s="77">
        <v>0.6381944444444444</v>
      </c>
      <c r="E707" t="s">
        <v>3314</v>
      </c>
      <c r="F707">
        <v>33</v>
      </c>
      <c r="G707" t="s">
        <v>3315</v>
      </c>
      <c r="H707">
        <v>30000</v>
      </c>
      <c r="I707" t="s">
        <v>3316</v>
      </c>
      <c r="J707">
        <v>30000</v>
      </c>
      <c r="K707">
        <v>120000</v>
      </c>
      <c r="L707" t="s">
        <v>118</v>
      </c>
      <c r="M707" t="s">
        <v>84</v>
      </c>
      <c r="N707" t="s">
        <v>108</v>
      </c>
      <c r="O707" t="s">
        <v>3366</v>
      </c>
      <c r="P707" s="5" t="s">
        <v>3318</v>
      </c>
      <c r="Q707">
        <v>4</v>
      </c>
    </row>
    <row r="708" spans="1:17" x14ac:dyDescent="0.3">
      <c r="A708" s="4">
        <v>44630</v>
      </c>
      <c r="B708" t="s">
        <v>4265</v>
      </c>
      <c r="C708" t="s">
        <v>3454</v>
      </c>
      <c r="D708" s="77">
        <v>0.64583333333333337</v>
      </c>
      <c r="E708" t="s">
        <v>3314</v>
      </c>
      <c r="F708">
        <v>51</v>
      </c>
      <c r="G708" t="s">
        <v>3315</v>
      </c>
      <c r="H708">
        <v>20000</v>
      </c>
      <c r="I708" t="s">
        <v>3316</v>
      </c>
      <c r="J708">
        <v>20000</v>
      </c>
      <c r="K708">
        <v>90000</v>
      </c>
      <c r="L708" t="s">
        <v>114</v>
      </c>
      <c r="M708" t="s">
        <v>30</v>
      </c>
      <c r="N708" t="s">
        <v>106</v>
      </c>
      <c r="O708" t="s">
        <v>3379</v>
      </c>
      <c r="P708" s="5" t="s">
        <v>3318</v>
      </c>
      <c r="Q708">
        <v>4.5</v>
      </c>
    </row>
    <row r="709" spans="1:17" x14ac:dyDescent="0.3">
      <c r="A709" s="4">
        <v>44630</v>
      </c>
      <c r="B709" t="s">
        <v>4266</v>
      </c>
      <c r="C709" t="s">
        <v>4173</v>
      </c>
      <c r="D709" s="77">
        <v>0.64722222222222225</v>
      </c>
      <c r="E709" t="s">
        <v>3314</v>
      </c>
      <c r="F709">
        <v>57</v>
      </c>
      <c r="G709" t="s">
        <v>3315</v>
      </c>
      <c r="H709">
        <v>20000</v>
      </c>
      <c r="I709" t="s">
        <v>3316</v>
      </c>
      <c r="J709">
        <v>20000</v>
      </c>
      <c r="K709">
        <v>90000</v>
      </c>
      <c r="L709" t="s">
        <v>114</v>
      </c>
      <c r="M709" t="s">
        <v>79</v>
      </c>
      <c r="N709" t="s">
        <v>131</v>
      </c>
      <c r="O709" t="s">
        <v>3465</v>
      </c>
      <c r="P709" s="5" t="s">
        <v>3318</v>
      </c>
      <c r="Q709">
        <v>4.5</v>
      </c>
    </row>
    <row r="710" spans="1:17" x14ac:dyDescent="0.3">
      <c r="A710" s="4">
        <v>44630</v>
      </c>
      <c r="B710" t="s">
        <v>4267</v>
      </c>
      <c r="C710" t="s">
        <v>4250</v>
      </c>
      <c r="D710" s="77">
        <v>0.6479166666666667</v>
      </c>
      <c r="E710" t="s">
        <v>3332</v>
      </c>
      <c r="F710">
        <v>28</v>
      </c>
      <c r="G710" t="s">
        <v>3315</v>
      </c>
      <c r="H710">
        <v>30000</v>
      </c>
      <c r="I710" t="s">
        <v>3834</v>
      </c>
      <c r="J710">
        <v>30000</v>
      </c>
      <c r="K710">
        <v>150000</v>
      </c>
      <c r="L710" t="s">
        <v>116</v>
      </c>
      <c r="M710" t="s">
        <v>111</v>
      </c>
      <c r="N710" t="s">
        <v>112</v>
      </c>
      <c r="O710" t="s">
        <v>3345</v>
      </c>
      <c r="P710" s="5" t="s">
        <v>3318</v>
      </c>
      <c r="Q710">
        <v>5</v>
      </c>
    </row>
    <row r="711" spans="1:17" x14ac:dyDescent="0.3">
      <c r="A711" s="4">
        <v>44630</v>
      </c>
      <c r="B711" t="s">
        <v>4268</v>
      </c>
      <c r="C711" t="s">
        <v>3414</v>
      </c>
      <c r="D711" s="77">
        <v>0.65486111111111112</v>
      </c>
      <c r="E711" t="s">
        <v>3314</v>
      </c>
      <c r="F711">
        <v>48</v>
      </c>
      <c r="G711" t="s">
        <v>3315</v>
      </c>
      <c r="H711">
        <v>20000</v>
      </c>
      <c r="I711" t="s">
        <v>3834</v>
      </c>
      <c r="J711">
        <v>20000</v>
      </c>
      <c r="K711">
        <v>90000</v>
      </c>
      <c r="L711" t="s">
        <v>116</v>
      </c>
      <c r="M711" t="s">
        <v>77</v>
      </c>
      <c r="N711" t="s">
        <v>133</v>
      </c>
      <c r="O711" t="s">
        <v>3376</v>
      </c>
      <c r="P711" s="5" t="s">
        <v>3318</v>
      </c>
      <c r="Q711">
        <v>4.5</v>
      </c>
    </row>
    <row r="712" spans="1:17" x14ac:dyDescent="0.3">
      <c r="A712" s="4">
        <v>44630</v>
      </c>
      <c r="B712" t="s">
        <v>4269</v>
      </c>
      <c r="C712" t="s">
        <v>4173</v>
      </c>
      <c r="D712" s="77">
        <v>0.65625</v>
      </c>
      <c r="E712" t="s">
        <v>3314</v>
      </c>
      <c r="F712">
        <v>41</v>
      </c>
      <c r="G712" t="s">
        <v>3315</v>
      </c>
      <c r="H712">
        <v>20000</v>
      </c>
      <c r="I712" t="s">
        <v>3316</v>
      </c>
      <c r="J712">
        <v>20000</v>
      </c>
      <c r="K712">
        <v>90000</v>
      </c>
      <c r="L712" t="s">
        <v>114</v>
      </c>
      <c r="M712" t="s">
        <v>79</v>
      </c>
      <c r="N712" t="s">
        <v>131</v>
      </c>
      <c r="O712" t="s">
        <v>3465</v>
      </c>
      <c r="P712" s="5" t="s">
        <v>3318</v>
      </c>
      <c r="Q712">
        <v>4.5</v>
      </c>
    </row>
    <row r="713" spans="1:17" x14ac:dyDescent="0.3">
      <c r="A713" s="4">
        <v>44630</v>
      </c>
      <c r="B713" t="s">
        <v>4270</v>
      </c>
      <c r="C713" t="s">
        <v>4252</v>
      </c>
      <c r="D713" s="77">
        <v>0.65972222222222221</v>
      </c>
      <c r="E713" t="s">
        <v>3332</v>
      </c>
      <c r="F713">
        <v>69</v>
      </c>
      <c r="G713" t="s">
        <v>3315</v>
      </c>
      <c r="H713">
        <v>20000</v>
      </c>
      <c r="I713" t="s">
        <v>3316</v>
      </c>
      <c r="J713">
        <v>20000</v>
      </c>
      <c r="K713">
        <v>100000</v>
      </c>
      <c r="L713" t="s">
        <v>114</v>
      </c>
      <c r="M713" t="s">
        <v>23</v>
      </c>
      <c r="N713" t="s">
        <v>99</v>
      </c>
      <c r="O713" t="s">
        <v>3358</v>
      </c>
      <c r="P713" s="5" t="s">
        <v>3318</v>
      </c>
      <c r="Q713">
        <v>5</v>
      </c>
    </row>
    <row r="714" spans="1:17" x14ac:dyDescent="0.3">
      <c r="A714" s="4">
        <v>44630</v>
      </c>
      <c r="B714" t="s">
        <v>4271</v>
      </c>
      <c r="C714" t="s">
        <v>3790</v>
      </c>
      <c r="D714" s="77">
        <v>0.66111111111111109</v>
      </c>
      <c r="E714" t="s">
        <v>3314</v>
      </c>
      <c r="F714">
        <v>58</v>
      </c>
      <c r="G714" t="s">
        <v>3315</v>
      </c>
      <c r="H714">
        <v>20000</v>
      </c>
      <c r="I714" t="s">
        <v>3316</v>
      </c>
      <c r="J714">
        <v>20000</v>
      </c>
      <c r="K714">
        <v>80000</v>
      </c>
      <c r="L714" t="s">
        <v>118</v>
      </c>
      <c r="M714" t="s">
        <v>92</v>
      </c>
      <c r="N714" t="s">
        <v>137</v>
      </c>
      <c r="O714" t="s">
        <v>3476</v>
      </c>
      <c r="P714" s="5" t="s">
        <v>3318</v>
      </c>
      <c r="Q714">
        <v>4</v>
      </c>
    </row>
    <row r="715" spans="1:17" x14ac:dyDescent="0.3">
      <c r="A715" s="4">
        <v>44630</v>
      </c>
      <c r="B715" t="s">
        <v>4272</v>
      </c>
      <c r="C715" t="s">
        <v>3414</v>
      </c>
      <c r="D715" s="77">
        <v>0.66319444444444442</v>
      </c>
      <c r="E715" t="s">
        <v>3314</v>
      </c>
      <c r="F715">
        <v>64</v>
      </c>
      <c r="G715" t="s">
        <v>3315</v>
      </c>
      <c r="H715">
        <v>30000</v>
      </c>
      <c r="I715" t="s">
        <v>3316</v>
      </c>
      <c r="J715">
        <v>30000</v>
      </c>
      <c r="K715">
        <v>120000</v>
      </c>
      <c r="L715" t="s">
        <v>118</v>
      </c>
      <c r="M715" t="s">
        <v>91</v>
      </c>
      <c r="N715" t="s">
        <v>136</v>
      </c>
      <c r="O715" t="s">
        <v>3422</v>
      </c>
      <c r="P715" s="5" t="s">
        <v>3318</v>
      </c>
      <c r="Q715">
        <v>4</v>
      </c>
    </row>
    <row r="716" spans="1:17" x14ac:dyDescent="0.3">
      <c r="A716" s="4">
        <v>44630</v>
      </c>
      <c r="B716" t="s">
        <v>4273</v>
      </c>
      <c r="C716" t="s">
        <v>3414</v>
      </c>
      <c r="D716" s="77">
        <v>0.66666666666666663</v>
      </c>
      <c r="E716" t="s">
        <v>3314</v>
      </c>
      <c r="F716">
        <v>54</v>
      </c>
      <c r="G716" t="s">
        <v>3315</v>
      </c>
      <c r="H716">
        <v>20000</v>
      </c>
      <c r="I716" t="s">
        <v>3834</v>
      </c>
      <c r="J716">
        <v>20000</v>
      </c>
      <c r="K716">
        <v>90000</v>
      </c>
      <c r="L716" t="s">
        <v>116</v>
      </c>
      <c r="M716" t="s">
        <v>77</v>
      </c>
      <c r="N716" t="s">
        <v>133</v>
      </c>
      <c r="O716" t="s">
        <v>3376</v>
      </c>
      <c r="P716" s="5" t="s">
        <v>3318</v>
      </c>
      <c r="Q716">
        <v>4.5</v>
      </c>
    </row>
    <row r="717" spans="1:17" x14ac:dyDescent="0.3">
      <c r="A717" s="4">
        <v>44630</v>
      </c>
      <c r="B717" t="s">
        <v>4274</v>
      </c>
      <c r="C717" t="s">
        <v>3454</v>
      </c>
      <c r="D717" s="77">
        <v>0.66666666666666663</v>
      </c>
      <c r="E717" t="s">
        <v>3314</v>
      </c>
      <c r="F717">
        <v>31</v>
      </c>
      <c r="G717" t="s">
        <v>3315</v>
      </c>
      <c r="H717">
        <v>30000</v>
      </c>
      <c r="I717" t="s">
        <v>3316</v>
      </c>
      <c r="J717">
        <v>30000</v>
      </c>
      <c r="K717">
        <v>135000</v>
      </c>
      <c r="L717" t="s">
        <v>119</v>
      </c>
      <c r="M717" t="s">
        <v>29</v>
      </c>
      <c r="N717" t="s">
        <v>104</v>
      </c>
      <c r="O717" t="s">
        <v>3457</v>
      </c>
      <c r="P717" s="5" t="s">
        <v>3318</v>
      </c>
      <c r="Q717">
        <v>4.5</v>
      </c>
    </row>
    <row r="718" spans="1:17" x14ac:dyDescent="0.3">
      <c r="A718" s="4">
        <v>44630</v>
      </c>
      <c r="B718" t="s">
        <v>4275</v>
      </c>
      <c r="C718" t="s">
        <v>4015</v>
      </c>
      <c r="D718" s="77">
        <v>0.66666666666666663</v>
      </c>
      <c r="E718" t="s">
        <v>3314</v>
      </c>
      <c r="F718">
        <v>59</v>
      </c>
      <c r="G718" t="s">
        <v>3315</v>
      </c>
      <c r="H718">
        <v>20000</v>
      </c>
      <c r="I718" t="s">
        <v>3316</v>
      </c>
      <c r="J718">
        <v>20000</v>
      </c>
      <c r="K718">
        <v>90000</v>
      </c>
      <c r="L718" t="s">
        <v>113</v>
      </c>
      <c r="M718" t="s">
        <v>22</v>
      </c>
      <c r="N718" t="s">
        <v>98</v>
      </c>
      <c r="O718" t="s">
        <v>3437</v>
      </c>
      <c r="P718" s="5" t="s">
        <v>3318</v>
      </c>
      <c r="Q718">
        <v>4.5</v>
      </c>
    </row>
    <row r="719" spans="1:17" x14ac:dyDescent="0.3">
      <c r="A719" s="4">
        <v>44630</v>
      </c>
      <c r="B719" t="s">
        <v>4276</v>
      </c>
      <c r="C719" t="s">
        <v>3454</v>
      </c>
      <c r="D719" s="77">
        <v>0.67222222222222217</v>
      </c>
      <c r="E719" t="s">
        <v>3314</v>
      </c>
      <c r="F719">
        <v>32</v>
      </c>
      <c r="G719" t="s">
        <v>3315</v>
      </c>
      <c r="H719">
        <v>20000</v>
      </c>
      <c r="I719" t="s">
        <v>3316</v>
      </c>
      <c r="J719">
        <v>20000</v>
      </c>
      <c r="K719">
        <v>90000</v>
      </c>
      <c r="L719" t="s">
        <v>114</v>
      </c>
      <c r="M719" t="s">
        <v>30</v>
      </c>
      <c r="N719" t="s">
        <v>106</v>
      </c>
      <c r="O719" t="s">
        <v>3379</v>
      </c>
      <c r="P719" s="5" t="s">
        <v>3318</v>
      </c>
      <c r="Q719">
        <v>4.5</v>
      </c>
    </row>
    <row r="720" spans="1:17" x14ac:dyDescent="0.3">
      <c r="A720" s="4">
        <v>44630</v>
      </c>
      <c r="B720" t="s">
        <v>4277</v>
      </c>
      <c r="C720" t="s">
        <v>3414</v>
      </c>
      <c r="D720" s="77">
        <v>0.67222222222222217</v>
      </c>
      <c r="E720" t="s">
        <v>3314</v>
      </c>
      <c r="F720">
        <v>53</v>
      </c>
      <c r="G720" t="s">
        <v>3336</v>
      </c>
      <c r="H720">
        <v>20000</v>
      </c>
      <c r="I720" t="s">
        <v>3336</v>
      </c>
      <c r="J720">
        <v>20000</v>
      </c>
      <c r="K720">
        <v>90000</v>
      </c>
      <c r="L720" t="s">
        <v>116</v>
      </c>
      <c r="M720" t="s">
        <v>77</v>
      </c>
      <c r="N720" t="s">
        <v>133</v>
      </c>
      <c r="O720" t="s">
        <v>3376</v>
      </c>
      <c r="P720" s="5" t="s">
        <v>3318</v>
      </c>
      <c r="Q720">
        <v>4.5</v>
      </c>
    </row>
    <row r="721" spans="1:17" x14ac:dyDescent="0.3">
      <c r="A721" s="4">
        <v>44630</v>
      </c>
      <c r="B721" t="s">
        <v>4278</v>
      </c>
      <c r="C721" t="s">
        <v>4252</v>
      </c>
      <c r="D721" s="77">
        <v>0.67708333333333337</v>
      </c>
      <c r="E721" t="s">
        <v>3332</v>
      </c>
      <c r="F721">
        <v>48</v>
      </c>
      <c r="G721" t="s">
        <v>3315</v>
      </c>
      <c r="H721">
        <v>30000</v>
      </c>
      <c r="I721" t="s">
        <v>3316</v>
      </c>
      <c r="J721">
        <v>30000</v>
      </c>
      <c r="K721">
        <v>120000</v>
      </c>
      <c r="L721" t="s">
        <v>118</v>
      </c>
      <c r="M721" t="s">
        <v>812</v>
      </c>
      <c r="N721" t="s">
        <v>814</v>
      </c>
      <c r="O721" t="s">
        <v>3412</v>
      </c>
      <c r="P721" s="5" t="s">
        <v>3318</v>
      </c>
      <c r="Q721">
        <v>4</v>
      </c>
    </row>
    <row r="722" spans="1:17" x14ac:dyDescent="0.3">
      <c r="A722" s="4">
        <v>44630</v>
      </c>
      <c r="B722" t="s">
        <v>4279</v>
      </c>
      <c r="C722" t="s">
        <v>3454</v>
      </c>
      <c r="D722" s="77">
        <v>0.67708333333333337</v>
      </c>
      <c r="E722" t="s">
        <v>3314</v>
      </c>
      <c r="F722">
        <v>26</v>
      </c>
      <c r="G722" t="s">
        <v>3315</v>
      </c>
      <c r="H722">
        <v>20000</v>
      </c>
      <c r="I722" t="s">
        <v>3834</v>
      </c>
      <c r="J722">
        <v>20000</v>
      </c>
      <c r="K722">
        <v>80000</v>
      </c>
      <c r="L722" t="s">
        <v>118</v>
      </c>
      <c r="M722" t="s">
        <v>85</v>
      </c>
      <c r="N722" t="s">
        <v>109</v>
      </c>
      <c r="O722" t="s">
        <v>3342</v>
      </c>
      <c r="P722" s="5" t="s">
        <v>3318</v>
      </c>
      <c r="Q722">
        <v>4</v>
      </c>
    </row>
    <row r="723" spans="1:17" x14ac:dyDescent="0.3">
      <c r="A723" s="4">
        <v>44630</v>
      </c>
      <c r="B723" t="s">
        <v>4280</v>
      </c>
      <c r="C723" t="s">
        <v>3414</v>
      </c>
      <c r="D723" s="77">
        <v>0.6791666666666667</v>
      </c>
      <c r="E723" t="s">
        <v>3314</v>
      </c>
      <c r="F723">
        <v>52</v>
      </c>
      <c r="G723" t="s">
        <v>3315</v>
      </c>
      <c r="H723">
        <v>30000</v>
      </c>
      <c r="I723" t="s">
        <v>3316</v>
      </c>
      <c r="J723">
        <v>30000</v>
      </c>
      <c r="K723">
        <v>120000</v>
      </c>
      <c r="L723" t="s">
        <v>118</v>
      </c>
      <c r="M723" t="s">
        <v>91</v>
      </c>
      <c r="N723" t="s">
        <v>136</v>
      </c>
      <c r="O723" t="s">
        <v>3422</v>
      </c>
      <c r="P723" s="5" t="s">
        <v>3318</v>
      </c>
      <c r="Q723">
        <v>4</v>
      </c>
    </row>
    <row r="724" spans="1:17" x14ac:dyDescent="0.3">
      <c r="A724" s="4">
        <v>44630</v>
      </c>
      <c r="B724" t="s">
        <v>4281</v>
      </c>
      <c r="C724" t="s">
        <v>4015</v>
      </c>
      <c r="D724" s="77">
        <v>0.68472222222222223</v>
      </c>
      <c r="E724" t="s">
        <v>3314</v>
      </c>
      <c r="F724">
        <v>58</v>
      </c>
      <c r="G724" t="s">
        <v>3315</v>
      </c>
      <c r="H724">
        <v>30000</v>
      </c>
      <c r="I724" t="s">
        <v>3316</v>
      </c>
      <c r="J724">
        <v>30000</v>
      </c>
      <c r="K724">
        <v>120000</v>
      </c>
      <c r="L724" t="s">
        <v>118</v>
      </c>
      <c r="M724" t="s">
        <v>88</v>
      </c>
      <c r="N724" t="s">
        <v>117</v>
      </c>
      <c r="O724" t="s">
        <v>3494</v>
      </c>
      <c r="P724" s="5" t="s">
        <v>3318</v>
      </c>
      <c r="Q724">
        <v>4</v>
      </c>
    </row>
    <row r="725" spans="1:17" x14ac:dyDescent="0.3">
      <c r="A725" s="4">
        <v>44630</v>
      </c>
      <c r="B725" t="s">
        <v>4282</v>
      </c>
      <c r="C725" t="s">
        <v>3454</v>
      </c>
      <c r="D725" s="77">
        <v>0.69097222222222221</v>
      </c>
      <c r="E725" t="s">
        <v>3314</v>
      </c>
      <c r="F725">
        <v>46</v>
      </c>
      <c r="G725" t="s">
        <v>3315</v>
      </c>
      <c r="H725">
        <v>20000</v>
      </c>
      <c r="I725" t="s">
        <v>3316</v>
      </c>
      <c r="J725">
        <v>20000</v>
      </c>
      <c r="K725">
        <v>80000</v>
      </c>
      <c r="L725" t="s">
        <v>118</v>
      </c>
      <c r="M725" t="s">
        <v>85</v>
      </c>
      <c r="N725" t="s">
        <v>109</v>
      </c>
      <c r="O725" t="s">
        <v>3342</v>
      </c>
      <c r="P725" s="5" t="s">
        <v>3318</v>
      </c>
      <c r="Q725">
        <v>4</v>
      </c>
    </row>
    <row r="726" spans="1:17" x14ac:dyDescent="0.3">
      <c r="A726" s="4">
        <v>44630</v>
      </c>
      <c r="B726" t="s">
        <v>4283</v>
      </c>
      <c r="C726" t="s">
        <v>3414</v>
      </c>
      <c r="D726" s="77">
        <v>0.70416666666666661</v>
      </c>
      <c r="E726" t="s">
        <v>3314</v>
      </c>
      <c r="F726">
        <v>53</v>
      </c>
      <c r="G726" t="s">
        <v>3315</v>
      </c>
      <c r="H726">
        <v>20000</v>
      </c>
      <c r="I726" t="s">
        <v>3316</v>
      </c>
      <c r="J726">
        <v>20000</v>
      </c>
      <c r="K726">
        <v>90000</v>
      </c>
      <c r="L726" t="s">
        <v>116</v>
      </c>
      <c r="M726" t="s">
        <v>77</v>
      </c>
      <c r="N726" t="s">
        <v>133</v>
      </c>
      <c r="O726" t="s">
        <v>3376</v>
      </c>
      <c r="P726" s="5" t="s">
        <v>3318</v>
      </c>
      <c r="Q726">
        <v>4.5</v>
      </c>
    </row>
    <row r="727" spans="1:17" x14ac:dyDescent="0.3">
      <c r="A727" s="4">
        <v>44630</v>
      </c>
      <c r="B727" t="s">
        <v>4284</v>
      </c>
      <c r="C727" t="s">
        <v>3454</v>
      </c>
      <c r="D727" s="77">
        <v>0.70833333333333337</v>
      </c>
      <c r="E727" t="s">
        <v>3314</v>
      </c>
      <c r="F727">
        <v>32</v>
      </c>
      <c r="G727" t="s">
        <v>3315</v>
      </c>
      <c r="H727">
        <v>20000</v>
      </c>
      <c r="I727" t="s">
        <v>3316</v>
      </c>
      <c r="J727">
        <v>20000</v>
      </c>
      <c r="K727">
        <v>90000</v>
      </c>
      <c r="L727" t="s">
        <v>119</v>
      </c>
      <c r="M727" t="s">
        <v>29</v>
      </c>
      <c r="N727" t="s">
        <v>104</v>
      </c>
      <c r="O727" t="s">
        <v>3457</v>
      </c>
      <c r="P727" s="5" t="s">
        <v>3318</v>
      </c>
      <c r="Q727">
        <v>4.5</v>
      </c>
    </row>
    <row r="728" spans="1:17" x14ac:dyDescent="0.3">
      <c r="A728" s="4">
        <v>44630</v>
      </c>
      <c r="B728" t="s">
        <v>4285</v>
      </c>
      <c r="C728" t="s">
        <v>4015</v>
      </c>
      <c r="D728" s="77">
        <v>0.70972222222222225</v>
      </c>
      <c r="E728" t="s">
        <v>3314</v>
      </c>
      <c r="F728">
        <v>68</v>
      </c>
      <c r="G728" t="s">
        <v>3315</v>
      </c>
      <c r="H728">
        <v>30000</v>
      </c>
      <c r="I728" t="s">
        <v>3316</v>
      </c>
      <c r="J728">
        <v>30000</v>
      </c>
      <c r="K728">
        <v>135000</v>
      </c>
      <c r="L728" t="s">
        <v>119</v>
      </c>
      <c r="M728" t="s">
        <v>27</v>
      </c>
      <c r="N728" t="s">
        <v>101</v>
      </c>
      <c r="O728" t="s">
        <v>3803</v>
      </c>
      <c r="P728" s="5" t="s">
        <v>3318</v>
      </c>
      <c r="Q728">
        <v>4.5</v>
      </c>
    </row>
    <row r="729" spans="1:17" x14ac:dyDescent="0.3">
      <c r="A729" s="4">
        <v>44630</v>
      </c>
      <c r="B729" t="s">
        <v>4286</v>
      </c>
      <c r="C729" t="s">
        <v>3414</v>
      </c>
      <c r="D729" s="77">
        <v>0.72499999999999998</v>
      </c>
      <c r="E729" t="s">
        <v>3314</v>
      </c>
      <c r="F729">
        <v>50</v>
      </c>
      <c r="G729" t="s">
        <v>3315</v>
      </c>
      <c r="H729">
        <v>20000</v>
      </c>
      <c r="I729" t="s">
        <v>3316</v>
      </c>
      <c r="J729">
        <v>20000</v>
      </c>
      <c r="K729">
        <v>80000</v>
      </c>
      <c r="L729" t="s">
        <v>118</v>
      </c>
      <c r="M729" t="s">
        <v>91</v>
      </c>
      <c r="N729" t="s">
        <v>136</v>
      </c>
      <c r="O729" t="s">
        <v>3422</v>
      </c>
      <c r="P729" s="5" t="s">
        <v>3318</v>
      </c>
      <c r="Q729">
        <v>4</v>
      </c>
    </row>
    <row r="730" spans="1:17" x14ac:dyDescent="0.3">
      <c r="A730" s="4">
        <v>44630</v>
      </c>
      <c r="B730" t="s">
        <v>4287</v>
      </c>
      <c r="C730" t="s">
        <v>3454</v>
      </c>
      <c r="D730" s="77">
        <v>0.72916666666666663</v>
      </c>
      <c r="E730" t="s">
        <v>3314</v>
      </c>
      <c r="F730">
        <v>45</v>
      </c>
      <c r="G730" t="s">
        <v>3315</v>
      </c>
      <c r="H730">
        <v>20000</v>
      </c>
      <c r="I730" t="s">
        <v>3316</v>
      </c>
      <c r="J730">
        <v>20000</v>
      </c>
      <c r="K730">
        <v>80000</v>
      </c>
      <c r="L730" t="s">
        <v>118</v>
      </c>
      <c r="M730" t="s">
        <v>85</v>
      </c>
      <c r="N730" t="s">
        <v>109</v>
      </c>
      <c r="O730" t="s">
        <v>3342</v>
      </c>
      <c r="P730" s="5" t="s">
        <v>3318</v>
      </c>
      <c r="Q730">
        <v>4</v>
      </c>
    </row>
    <row r="731" spans="1:17" x14ac:dyDescent="0.3">
      <c r="A731" s="4">
        <v>44630</v>
      </c>
      <c r="B731" t="s">
        <v>4288</v>
      </c>
      <c r="C731" t="s">
        <v>4289</v>
      </c>
      <c r="D731" s="77">
        <v>0.73402777777777783</v>
      </c>
      <c r="E731" t="s">
        <v>3314</v>
      </c>
      <c r="F731">
        <v>62</v>
      </c>
      <c r="G731" t="s">
        <v>3315</v>
      </c>
      <c r="H731">
        <v>30000</v>
      </c>
      <c r="I731" t="s">
        <v>3316</v>
      </c>
      <c r="J731">
        <v>30000</v>
      </c>
      <c r="K731">
        <v>135000</v>
      </c>
      <c r="L731" t="s">
        <v>116</v>
      </c>
      <c r="M731" t="s">
        <v>65</v>
      </c>
      <c r="N731" t="s">
        <v>102</v>
      </c>
      <c r="O731" t="s">
        <v>3506</v>
      </c>
      <c r="P731" s="5" t="s">
        <v>3318</v>
      </c>
      <c r="Q731">
        <v>4.5</v>
      </c>
    </row>
    <row r="732" spans="1:17" x14ac:dyDescent="0.3">
      <c r="A732" s="4">
        <v>44630</v>
      </c>
      <c r="B732" t="s">
        <v>4290</v>
      </c>
      <c r="C732" t="s">
        <v>4291</v>
      </c>
      <c r="D732" s="77">
        <v>0.74305555555555547</v>
      </c>
      <c r="E732" t="s">
        <v>3314</v>
      </c>
      <c r="F732">
        <v>29</v>
      </c>
      <c r="G732" t="s">
        <v>3315</v>
      </c>
      <c r="H732">
        <v>20000</v>
      </c>
      <c r="I732" t="s">
        <v>3316</v>
      </c>
      <c r="J732">
        <v>20000</v>
      </c>
      <c r="K732">
        <v>60000</v>
      </c>
      <c r="L732" t="s">
        <v>149</v>
      </c>
      <c r="M732" t="s">
        <v>96</v>
      </c>
      <c r="N732" t="s">
        <v>140</v>
      </c>
      <c r="O732" t="s">
        <v>4105</v>
      </c>
      <c r="P732" s="5" t="s">
        <v>3318</v>
      </c>
      <c r="Q732">
        <v>3</v>
      </c>
    </row>
    <row r="733" spans="1:17" x14ac:dyDescent="0.3">
      <c r="A733" s="4">
        <v>44630</v>
      </c>
      <c r="B733" t="s">
        <v>4292</v>
      </c>
      <c r="C733" t="s">
        <v>4289</v>
      </c>
      <c r="D733" s="77">
        <v>0.74791666666666667</v>
      </c>
      <c r="E733" t="s">
        <v>3314</v>
      </c>
      <c r="F733">
        <v>53</v>
      </c>
      <c r="G733" t="s">
        <v>3315</v>
      </c>
      <c r="H733">
        <v>50000</v>
      </c>
      <c r="I733" t="s">
        <v>3316</v>
      </c>
      <c r="J733">
        <v>50000</v>
      </c>
      <c r="K733">
        <v>200000</v>
      </c>
      <c r="L733" t="s">
        <v>118</v>
      </c>
      <c r="M733" t="s">
        <v>86</v>
      </c>
      <c r="N733" t="s">
        <v>120</v>
      </c>
      <c r="O733" t="s">
        <v>3446</v>
      </c>
      <c r="P733" s="5" t="s">
        <v>3318</v>
      </c>
      <c r="Q733">
        <v>4</v>
      </c>
    </row>
    <row r="734" spans="1:17" x14ac:dyDescent="0.3">
      <c r="A734" s="4">
        <v>44630</v>
      </c>
      <c r="B734" t="s">
        <v>4293</v>
      </c>
      <c r="C734" t="s">
        <v>4294</v>
      </c>
      <c r="D734" s="77">
        <v>0.75069444444444444</v>
      </c>
      <c r="E734" t="s">
        <v>3314</v>
      </c>
      <c r="F734">
        <v>65</v>
      </c>
      <c r="G734" t="s">
        <v>3315</v>
      </c>
      <c r="H734">
        <v>20000</v>
      </c>
      <c r="I734" t="s">
        <v>3316</v>
      </c>
      <c r="J734">
        <v>20000</v>
      </c>
      <c r="K734">
        <v>80000</v>
      </c>
      <c r="L734" t="s">
        <v>118</v>
      </c>
      <c r="M734" t="s">
        <v>92</v>
      </c>
      <c r="N734" t="s">
        <v>137</v>
      </c>
      <c r="O734" t="s">
        <v>3476</v>
      </c>
      <c r="P734" s="5" t="s">
        <v>3318</v>
      </c>
      <c r="Q734">
        <v>4</v>
      </c>
    </row>
    <row r="735" spans="1:17" x14ac:dyDescent="0.3">
      <c r="A735" s="4">
        <v>44630</v>
      </c>
      <c r="B735" t="s">
        <v>4295</v>
      </c>
      <c r="C735" t="s">
        <v>4291</v>
      </c>
      <c r="D735" s="77">
        <v>0.75208333333333333</v>
      </c>
      <c r="E735" t="s">
        <v>3314</v>
      </c>
      <c r="F735">
        <v>31</v>
      </c>
      <c r="G735" t="s">
        <v>3315</v>
      </c>
      <c r="H735">
        <v>30000</v>
      </c>
      <c r="I735" t="s">
        <v>3316</v>
      </c>
      <c r="J735">
        <v>30000</v>
      </c>
      <c r="K735">
        <v>135000</v>
      </c>
      <c r="L735" t="s">
        <v>114</v>
      </c>
      <c r="M735" t="s">
        <v>31</v>
      </c>
      <c r="N735" t="s">
        <v>105</v>
      </c>
      <c r="O735" t="s">
        <v>3339</v>
      </c>
      <c r="P735" s="5" t="s">
        <v>3318</v>
      </c>
      <c r="Q735">
        <v>4.5</v>
      </c>
    </row>
    <row r="736" spans="1:17" x14ac:dyDescent="0.3">
      <c r="A736" s="4">
        <v>44630</v>
      </c>
      <c r="B736" t="s">
        <v>4296</v>
      </c>
      <c r="C736" t="s">
        <v>3843</v>
      </c>
      <c r="D736" s="77">
        <v>0.76250000000000007</v>
      </c>
      <c r="E736" t="s">
        <v>3314</v>
      </c>
      <c r="F736">
        <v>27</v>
      </c>
      <c r="G736" t="s">
        <v>3315</v>
      </c>
      <c r="H736">
        <v>20000</v>
      </c>
      <c r="I736" t="s">
        <v>3316</v>
      </c>
      <c r="J736">
        <v>20000</v>
      </c>
      <c r="K736">
        <v>60000</v>
      </c>
      <c r="L736" t="s">
        <v>149</v>
      </c>
      <c r="M736" t="s">
        <v>3020</v>
      </c>
      <c r="N736" t="s">
        <v>2852</v>
      </c>
      <c r="O736" t="s">
        <v>3661</v>
      </c>
      <c r="P736" s="5" t="s">
        <v>3318</v>
      </c>
      <c r="Q736">
        <v>3</v>
      </c>
    </row>
    <row r="737" spans="1:17" x14ac:dyDescent="0.3">
      <c r="A737" s="4">
        <v>44630</v>
      </c>
      <c r="B737" t="s">
        <v>4297</v>
      </c>
      <c r="C737" t="s">
        <v>4015</v>
      </c>
      <c r="D737" s="77">
        <v>0.76736111111111116</v>
      </c>
      <c r="E737" t="s">
        <v>3314</v>
      </c>
      <c r="F737">
        <v>54</v>
      </c>
      <c r="G737" t="s">
        <v>3315</v>
      </c>
      <c r="H737">
        <v>20000</v>
      </c>
      <c r="I737" t="s">
        <v>3316</v>
      </c>
      <c r="J737">
        <v>20000</v>
      </c>
      <c r="K737">
        <v>80000</v>
      </c>
      <c r="L737" t="s">
        <v>118</v>
      </c>
      <c r="M737" t="s">
        <v>93</v>
      </c>
      <c r="N737" t="s">
        <v>121</v>
      </c>
      <c r="O737" t="s">
        <v>3781</v>
      </c>
      <c r="P737" s="5" t="s">
        <v>3318</v>
      </c>
      <c r="Q737">
        <v>4</v>
      </c>
    </row>
    <row r="738" spans="1:17" x14ac:dyDescent="0.3">
      <c r="A738" s="4">
        <v>44630</v>
      </c>
      <c r="B738" t="s">
        <v>4298</v>
      </c>
      <c r="C738" t="s">
        <v>4289</v>
      </c>
      <c r="D738" s="77">
        <v>0.77430555555555547</v>
      </c>
      <c r="E738" t="s">
        <v>3314</v>
      </c>
      <c r="F738">
        <v>43</v>
      </c>
      <c r="G738" t="s">
        <v>3315</v>
      </c>
      <c r="H738">
        <v>20000</v>
      </c>
      <c r="I738" t="s">
        <v>3348</v>
      </c>
      <c r="J738">
        <v>20000</v>
      </c>
      <c r="K738">
        <v>90000</v>
      </c>
      <c r="L738" t="s">
        <v>116</v>
      </c>
      <c r="M738" t="s">
        <v>65</v>
      </c>
      <c r="N738" t="s">
        <v>102</v>
      </c>
      <c r="O738" t="s">
        <v>3506</v>
      </c>
      <c r="P738" s="5" t="s">
        <v>3318</v>
      </c>
      <c r="Q738">
        <v>4.5</v>
      </c>
    </row>
    <row r="739" spans="1:17" x14ac:dyDescent="0.3">
      <c r="A739" s="4">
        <v>44630</v>
      </c>
      <c r="B739" t="s">
        <v>4299</v>
      </c>
      <c r="C739" t="s">
        <v>4291</v>
      </c>
      <c r="D739" s="77">
        <v>0.80069444444444438</v>
      </c>
      <c r="E739" t="s">
        <v>3314</v>
      </c>
      <c r="F739">
        <v>42</v>
      </c>
      <c r="G739" t="s">
        <v>3315</v>
      </c>
      <c r="H739">
        <v>30000</v>
      </c>
      <c r="I739" t="s">
        <v>3834</v>
      </c>
      <c r="J739">
        <v>30000</v>
      </c>
      <c r="K739">
        <v>90000</v>
      </c>
      <c r="L739" t="s">
        <v>149</v>
      </c>
      <c r="M739" t="s">
        <v>96</v>
      </c>
      <c r="N739" t="s">
        <v>140</v>
      </c>
      <c r="O739" t="s">
        <v>4105</v>
      </c>
      <c r="P739" s="5" t="s">
        <v>3318</v>
      </c>
      <c r="Q739">
        <v>3</v>
      </c>
    </row>
    <row r="740" spans="1:17" x14ac:dyDescent="0.3">
      <c r="A740" s="4">
        <v>44630</v>
      </c>
      <c r="B740" t="s">
        <v>4300</v>
      </c>
      <c r="C740" t="s">
        <v>4301</v>
      </c>
      <c r="D740" s="77">
        <v>0.86041666666666661</v>
      </c>
      <c r="E740" t="s">
        <v>3314</v>
      </c>
      <c r="F740">
        <v>56</v>
      </c>
      <c r="G740" t="s">
        <v>3315</v>
      </c>
      <c r="H740">
        <v>30000</v>
      </c>
      <c r="I740" t="s">
        <v>3316</v>
      </c>
      <c r="J740">
        <v>30000</v>
      </c>
      <c r="K740">
        <v>135000</v>
      </c>
      <c r="L740" t="s">
        <v>116</v>
      </c>
      <c r="M740" t="s">
        <v>76</v>
      </c>
      <c r="N740" t="s">
        <v>107</v>
      </c>
      <c r="O740" t="s">
        <v>3321</v>
      </c>
      <c r="P740" s="5" t="s">
        <v>3318</v>
      </c>
      <c r="Q740">
        <v>4.5</v>
      </c>
    </row>
    <row r="741" spans="1:17" x14ac:dyDescent="0.3">
      <c r="A741" s="4">
        <v>44630</v>
      </c>
      <c r="B741" t="s">
        <v>4302</v>
      </c>
      <c r="C741" t="s">
        <v>4301</v>
      </c>
      <c r="D741" s="77">
        <v>0.875</v>
      </c>
      <c r="E741" t="s">
        <v>3314</v>
      </c>
      <c r="F741">
        <v>44</v>
      </c>
      <c r="G741" t="s">
        <v>3315</v>
      </c>
      <c r="H741">
        <v>30000</v>
      </c>
      <c r="I741" t="s">
        <v>3834</v>
      </c>
      <c r="J741">
        <v>30000</v>
      </c>
      <c r="K741">
        <v>120000</v>
      </c>
      <c r="L741" t="s">
        <v>118</v>
      </c>
      <c r="M741" t="s">
        <v>87</v>
      </c>
      <c r="N741" t="s">
        <v>134</v>
      </c>
      <c r="O741" t="s">
        <v>3528</v>
      </c>
      <c r="P741" s="5" t="s">
        <v>3318</v>
      </c>
      <c r="Q741">
        <v>4</v>
      </c>
    </row>
    <row r="742" spans="1:17" x14ac:dyDescent="0.3">
      <c r="A742" s="4">
        <v>44631</v>
      </c>
      <c r="B742" t="s">
        <v>4303</v>
      </c>
      <c r="C742" t="s">
        <v>3774</v>
      </c>
      <c r="D742" s="77">
        <v>0.44930555555555557</v>
      </c>
      <c r="E742" t="s">
        <v>3314</v>
      </c>
      <c r="F742">
        <v>28</v>
      </c>
      <c r="G742" t="s">
        <v>3315</v>
      </c>
      <c r="H742">
        <v>20000</v>
      </c>
      <c r="I742" t="s">
        <v>3316</v>
      </c>
      <c r="J742">
        <v>20000</v>
      </c>
      <c r="K742">
        <v>90000</v>
      </c>
      <c r="L742" t="s">
        <v>116</v>
      </c>
      <c r="M742" t="s">
        <v>77</v>
      </c>
      <c r="N742" t="s">
        <v>133</v>
      </c>
      <c r="O742" t="s">
        <v>3376</v>
      </c>
      <c r="P742" s="5" t="s">
        <v>3318</v>
      </c>
      <c r="Q742">
        <v>4.5</v>
      </c>
    </row>
    <row r="743" spans="1:17" x14ac:dyDescent="0.3">
      <c r="A743" s="4">
        <v>44631</v>
      </c>
      <c r="B743" t="s">
        <v>4304</v>
      </c>
      <c r="C743" t="s">
        <v>4173</v>
      </c>
      <c r="D743" s="77">
        <v>0.46875</v>
      </c>
      <c r="E743" t="s">
        <v>3314</v>
      </c>
      <c r="F743">
        <v>48</v>
      </c>
      <c r="G743" t="s">
        <v>3315</v>
      </c>
      <c r="H743">
        <v>20000</v>
      </c>
      <c r="I743" t="s">
        <v>3316</v>
      </c>
      <c r="J743">
        <v>20000</v>
      </c>
      <c r="K743">
        <v>90000</v>
      </c>
      <c r="L743" t="s">
        <v>114</v>
      </c>
      <c r="M743" t="s">
        <v>79</v>
      </c>
      <c r="N743" t="s">
        <v>131</v>
      </c>
      <c r="O743" t="s">
        <v>3465</v>
      </c>
      <c r="P743" s="5" t="s">
        <v>3318</v>
      </c>
      <c r="Q743">
        <v>4.5</v>
      </c>
    </row>
    <row r="744" spans="1:17" x14ac:dyDescent="0.3">
      <c r="A744" s="4">
        <v>44631</v>
      </c>
      <c r="B744" t="s">
        <v>4305</v>
      </c>
      <c r="C744" t="s">
        <v>4306</v>
      </c>
      <c r="D744" s="77">
        <v>0.48749999999999999</v>
      </c>
      <c r="E744" t="s">
        <v>3314</v>
      </c>
      <c r="F744">
        <v>47</v>
      </c>
      <c r="G744" t="s">
        <v>3315</v>
      </c>
      <c r="H744">
        <v>30000</v>
      </c>
      <c r="I744" t="s">
        <v>3316</v>
      </c>
      <c r="J744">
        <v>30000</v>
      </c>
      <c r="K744">
        <v>120000</v>
      </c>
      <c r="L744" t="s">
        <v>118</v>
      </c>
      <c r="M744" t="s">
        <v>88</v>
      </c>
      <c r="N744" t="s">
        <v>117</v>
      </c>
      <c r="O744" t="s">
        <v>3494</v>
      </c>
      <c r="P744" s="5" t="s">
        <v>3318</v>
      </c>
      <c r="Q744">
        <v>4</v>
      </c>
    </row>
    <row r="745" spans="1:17" x14ac:dyDescent="0.3">
      <c r="A745" s="4">
        <v>44631</v>
      </c>
      <c r="B745" t="s">
        <v>4307</v>
      </c>
      <c r="C745" t="s">
        <v>3774</v>
      </c>
      <c r="D745" s="77">
        <v>0.50486111111111109</v>
      </c>
      <c r="E745" t="s">
        <v>3314</v>
      </c>
      <c r="F745">
        <v>22</v>
      </c>
      <c r="G745" t="s">
        <v>3575</v>
      </c>
      <c r="H745">
        <v>20000</v>
      </c>
      <c r="I745" t="s">
        <v>3575</v>
      </c>
      <c r="J745">
        <v>20000</v>
      </c>
      <c r="K745">
        <v>90000</v>
      </c>
      <c r="L745" t="s">
        <v>116</v>
      </c>
      <c r="M745" t="s">
        <v>77</v>
      </c>
      <c r="N745" t="s">
        <v>133</v>
      </c>
      <c r="O745" t="s">
        <v>3376</v>
      </c>
      <c r="P745" s="5" t="s">
        <v>3318</v>
      </c>
      <c r="Q745">
        <v>4.5</v>
      </c>
    </row>
    <row r="746" spans="1:17" x14ac:dyDescent="0.3">
      <c r="A746" s="4">
        <v>44631</v>
      </c>
      <c r="B746" t="s">
        <v>4308</v>
      </c>
      <c r="C746" t="s">
        <v>4309</v>
      </c>
      <c r="D746" s="77">
        <v>0.51597222222222217</v>
      </c>
      <c r="E746" t="s">
        <v>3332</v>
      </c>
      <c r="F746">
        <v>29</v>
      </c>
      <c r="G746" t="s">
        <v>3315</v>
      </c>
      <c r="H746">
        <v>30000</v>
      </c>
      <c r="I746" t="s">
        <v>3834</v>
      </c>
      <c r="J746">
        <v>30000</v>
      </c>
      <c r="K746">
        <v>150000</v>
      </c>
      <c r="L746" t="s">
        <v>116</v>
      </c>
      <c r="M746" t="s">
        <v>111</v>
      </c>
      <c r="N746" t="s">
        <v>112</v>
      </c>
      <c r="O746" t="s">
        <v>3345</v>
      </c>
      <c r="P746" s="5" t="s">
        <v>3318</v>
      </c>
      <c r="Q746">
        <v>5</v>
      </c>
    </row>
    <row r="747" spans="1:17" x14ac:dyDescent="0.3">
      <c r="A747" s="4">
        <v>44631</v>
      </c>
      <c r="B747" t="s">
        <v>4310</v>
      </c>
      <c r="C747" t="s">
        <v>4311</v>
      </c>
      <c r="D747" s="77">
        <v>0.52083333333333337</v>
      </c>
      <c r="E747" t="s">
        <v>3332</v>
      </c>
      <c r="F747">
        <v>51</v>
      </c>
      <c r="G747" t="s">
        <v>3336</v>
      </c>
      <c r="H747">
        <v>50000</v>
      </c>
      <c r="I747" t="s">
        <v>3336</v>
      </c>
      <c r="J747">
        <v>50000</v>
      </c>
      <c r="K747">
        <v>250000</v>
      </c>
      <c r="L747" t="s">
        <v>114</v>
      </c>
      <c r="M747" t="s">
        <v>23</v>
      </c>
      <c r="N747" t="s">
        <v>99</v>
      </c>
      <c r="O747" t="s">
        <v>3358</v>
      </c>
      <c r="P747" s="5" t="s">
        <v>3318</v>
      </c>
      <c r="Q747">
        <v>5</v>
      </c>
    </row>
    <row r="748" spans="1:17" x14ac:dyDescent="0.3">
      <c r="A748" s="4">
        <v>44631</v>
      </c>
      <c r="B748" t="s">
        <v>4312</v>
      </c>
      <c r="C748" t="s">
        <v>4313</v>
      </c>
      <c r="D748" s="77">
        <v>0.52083333333333337</v>
      </c>
      <c r="E748" t="s">
        <v>3314</v>
      </c>
      <c r="F748">
        <v>53</v>
      </c>
      <c r="G748" t="s">
        <v>3315</v>
      </c>
      <c r="H748">
        <v>20000</v>
      </c>
      <c r="I748" t="s">
        <v>3316</v>
      </c>
      <c r="J748">
        <v>20000</v>
      </c>
      <c r="K748">
        <v>80000</v>
      </c>
      <c r="L748" t="s">
        <v>118</v>
      </c>
      <c r="M748" t="s">
        <v>86</v>
      </c>
      <c r="N748" t="s">
        <v>120</v>
      </c>
      <c r="O748" t="s">
        <v>3446</v>
      </c>
      <c r="P748" s="5" t="s">
        <v>3318</v>
      </c>
      <c r="Q748">
        <v>4</v>
      </c>
    </row>
    <row r="749" spans="1:17" x14ac:dyDescent="0.3">
      <c r="A749" s="4">
        <v>44631</v>
      </c>
      <c r="B749" t="s">
        <v>4314</v>
      </c>
      <c r="C749" t="s">
        <v>4309</v>
      </c>
      <c r="D749" s="77">
        <v>0.53263888888888888</v>
      </c>
      <c r="E749" t="s">
        <v>3332</v>
      </c>
      <c r="F749">
        <v>32</v>
      </c>
      <c r="G749" t="s">
        <v>3315</v>
      </c>
      <c r="H749">
        <v>20000</v>
      </c>
      <c r="I749" t="s">
        <v>3834</v>
      </c>
      <c r="J749">
        <v>20000</v>
      </c>
      <c r="K749">
        <v>100000</v>
      </c>
      <c r="L749" t="s">
        <v>116</v>
      </c>
      <c r="M749" t="s">
        <v>111</v>
      </c>
      <c r="N749" t="s">
        <v>112</v>
      </c>
      <c r="O749" t="s">
        <v>3345</v>
      </c>
      <c r="P749" s="5" t="s">
        <v>3318</v>
      </c>
      <c r="Q749">
        <v>5</v>
      </c>
    </row>
    <row r="750" spans="1:17" x14ac:dyDescent="0.3">
      <c r="A750" s="4">
        <v>44631</v>
      </c>
      <c r="B750" t="s">
        <v>4315</v>
      </c>
      <c r="C750" t="s">
        <v>4306</v>
      </c>
      <c r="D750" s="77">
        <v>0.54097222222222219</v>
      </c>
      <c r="E750" t="s">
        <v>3314</v>
      </c>
      <c r="F750">
        <v>50</v>
      </c>
      <c r="G750" t="s">
        <v>3315</v>
      </c>
      <c r="H750">
        <v>30000</v>
      </c>
      <c r="I750" t="s">
        <v>3316</v>
      </c>
      <c r="J750">
        <v>30000</v>
      </c>
      <c r="K750">
        <v>135000</v>
      </c>
      <c r="L750" t="s">
        <v>116</v>
      </c>
      <c r="M750" t="s">
        <v>78</v>
      </c>
      <c r="N750" t="s">
        <v>100</v>
      </c>
      <c r="O750" t="s">
        <v>3629</v>
      </c>
      <c r="P750" s="5" t="s">
        <v>3318</v>
      </c>
      <c r="Q750">
        <v>4.5</v>
      </c>
    </row>
    <row r="751" spans="1:17" x14ac:dyDescent="0.3">
      <c r="A751" s="4">
        <v>44631</v>
      </c>
      <c r="B751" t="s">
        <v>4316</v>
      </c>
      <c r="C751" t="s">
        <v>3774</v>
      </c>
      <c r="D751" s="77">
        <v>0.54513888888888895</v>
      </c>
      <c r="E751" t="s">
        <v>3314</v>
      </c>
      <c r="F751">
        <v>50</v>
      </c>
      <c r="G751" t="s">
        <v>3315</v>
      </c>
      <c r="H751">
        <v>20000</v>
      </c>
      <c r="I751" t="s">
        <v>3316</v>
      </c>
      <c r="J751">
        <v>20000</v>
      </c>
      <c r="K751">
        <v>80000</v>
      </c>
      <c r="L751" t="s">
        <v>118</v>
      </c>
      <c r="M751" t="s">
        <v>91</v>
      </c>
      <c r="N751" t="s">
        <v>136</v>
      </c>
      <c r="O751" t="s">
        <v>3422</v>
      </c>
      <c r="P751" s="5" t="s">
        <v>3318</v>
      </c>
      <c r="Q751">
        <v>4</v>
      </c>
    </row>
    <row r="752" spans="1:17" x14ac:dyDescent="0.3">
      <c r="A752" s="4">
        <v>44631</v>
      </c>
      <c r="B752" t="s">
        <v>4317</v>
      </c>
      <c r="C752" t="s">
        <v>4318</v>
      </c>
      <c r="D752" s="77">
        <v>0.55555555555555558</v>
      </c>
      <c r="E752" t="s">
        <v>3314</v>
      </c>
      <c r="F752">
        <v>34</v>
      </c>
      <c r="G752" t="s">
        <v>3315</v>
      </c>
      <c r="H752">
        <v>20000</v>
      </c>
      <c r="I752" t="s">
        <v>3834</v>
      </c>
      <c r="J752">
        <v>20000</v>
      </c>
      <c r="K752">
        <v>60000</v>
      </c>
      <c r="L752" t="s">
        <v>149</v>
      </c>
      <c r="M752" t="s">
        <v>96</v>
      </c>
      <c r="N752" t="s">
        <v>140</v>
      </c>
      <c r="O752" t="s">
        <v>4105</v>
      </c>
      <c r="P752" s="5" t="s">
        <v>3318</v>
      </c>
      <c r="Q752">
        <v>3</v>
      </c>
    </row>
    <row r="753" spans="1:17" x14ac:dyDescent="0.3">
      <c r="A753" s="4">
        <v>44631</v>
      </c>
      <c r="B753" t="s">
        <v>4319</v>
      </c>
      <c r="C753" t="s">
        <v>4309</v>
      </c>
      <c r="D753" s="77">
        <v>0.55833333333333335</v>
      </c>
      <c r="E753" t="s">
        <v>3332</v>
      </c>
      <c r="F753">
        <v>68</v>
      </c>
      <c r="G753" t="s">
        <v>3344</v>
      </c>
      <c r="H753">
        <v>20000</v>
      </c>
      <c r="I753" t="s">
        <v>3344</v>
      </c>
      <c r="J753">
        <v>20000</v>
      </c>
      <c r="K753">
        <v>100000</v>
      </c>
      <c r="L753" t="s">
        <v>116</v>
      </c>
      <c r="M753" t="s">
        <v>111</v>
      </c>
      <c r="N753" t="s">
        <v>112</v>
      </c>
      <c r="O753" t="s">
        <v>3345</v>
      </c>
      <c r="P753" s="5" t="s">
        <v>3318</v>
      </c>
      <c r="Q753">
        <v>5</v>
      </c>
    </row>
    <row r="754" spans="1:17" x14ac:dyDescent="0.3">
      <c r="A754" s="4">
        <v>44631</v>
      </c>
      <c r="B754" t="s">
        <v>4320</v>
      </c>
      <c r="C754" t="s">
        <v>4313</v>
      </c>
      <c r="D754" s="77">
        <v>0.55902777777777779</v>
      </c>
      <c r="E754" t="s">
        <v>3314</v>
      </c>
      <c r="F754">
        <v>25</v>
      </c>
      <c r="G754" t="s">
        <v>3315</v>
      </c>
      <c r="H754">
        <v>20000</v>
      </c>
      <c r="I754" t="s">
        <v>3316</v>
      </c>
      <c r="J754">
        <v>20000</v>
      </c>
      <c r="K754">
        <v>90000</v>
      </c>
      <c r="L754" t="s">
        <v>116</v>
      </c>
      <c r="M754" t="s">
        <v>65</v>
      </c>
      <c r="N754" t="s">
        <v>102</v>
      </c>
      <c r="O754" t="s">
        <v>3506</v>
      </c>
      <c r="P754" s="5" t="s">
        <v>3318</v>
      </c>
      <c r="Q754">
        <v>4.5</v>
      </c>
    </row>
    <row r="755" spans="1:17" x14ac:dyDescent="0.3">
      <c r="A755" s="4">
        <v>44631</v>
      </c>
      <c r="B755" t="s">
        <v>4321</v>
      </c>
      <c r="C755" t="s">
        <v>4318</v>
      </c>
      <c r="D755" s="77">
        <v>0.56944444444444442</v>
      </c>
      <c r="E755" t="s">
        <v>3314</v>
      </c>
      <c r="F755">
        <v>55</v>
      </c>
      <c r="G755" t="s">
        <v>3315</v>
      </c>
      <c r="H755">
        <v>20000</v>
      </c>
      <c r="I755" t="s">
        <v>3316</v>
      </c>
      <c r="J755">
        <v>20000</v>
      </c>
      <c r="K755">
        <v>90000</v>
      </c>
      <c r="L755" t="s">
        <v>116</v>
      </c>
      <c r="M755" t="s">
        <v>76</v>
      </c>
      <c r="N755" t="s">
        <v>107</v>
      </c>
      <c r="O755" t="s">
        <v>3321</v>
      </c>
      <c r="P755" s="5" t="s">
        <v>3318</v>
      </c>
      <c r="Q755">
        <v>4.5</v>
      </c>
    </row>
    <row r="756" spans="1:17" x14ac:dyDescent="0.3">
      <c r="A756" s="4">
        <v>44631</v>
      </c>
      <c r="B756" t="s">
        <v>4322</v>
      </c>
      <c r="C756" t="s">
        <v>4323</v>
      </c>
      <c r="D756" s="77">
        <v>0.57222222222222219</v>
      </c>
      <c r="E756" t="s">
        <v>3314</v>
      </c>
      <c r="F756">
        <v>57</v>
      </c>
      <c r="G756" t="s">
        <v>3315</v>
      </c>
      <c r="H756">
        <v>20000</v>
      </c>
      <c r="I756" t="s">
        <v>3348</v>
      </c>
      <c r="J756">
        <v>20000</v>
      </c>
      <c r="K756">
        <v>90000</v>
      </c>
      <c r="L756" t="s">
        <v>119</v>
      </c>
      <c r="M756" t="s">
        <v>27</v>
      </c>
      <c r="N756" t="s">
        <v>101</v>
      </c>
      <c r="O756" t="s">
        <v>3803</v>
      </c>
      <c r="P756" s="5" t="s">
        <v>3318</v>
      </c>
      <c r="Q756">
        <v>4.5</v>
      </c>
    </row>
    <row r="757" spans="1:17" x14ac:dyDescent="0.3">
      <c r="A757" s="4">
        <v>44631</v>
      </c>
      <c r="B757" t="s">
        <v>4324</v>
      </c>
      <c r="C757" t="s">
        <v>4318</v>
      </c>
      <c r="D757" s="77">
        <v>0.57291666666666663</v>
      </c>
      <c r="E757" t="s">
        <v>3314</v>
      </c>
      <c r="F757">
        <v>68</v>
      </c>
      <c r="G757" t="s">
        <v>3315</v>
      </c>
      <c r="H757">
        <v>20000</v>
      </c>
      <c r="I757" t="s">
        <v>3834</v>
      </c>
      <c r="J757">
        <v>20000</v>
      </c>
      <c r="K757">
        <v>60000</v>
      </c>
      <c r="L757" t="s">
        <v>149</v>
      </c>
      <c r="M757" t="s">
        <v>96</v>
      </c>
      <c r="N757" t="s">
        <v>140</v>
      </c>
      <c r="O757" t="s">
        <v>4105</v>
      </c>
      <c r="P757" s="5" t="s">
        <v>3318</v>
      </c>
      <c r="Q757">
        <v>3</v>
      </c>
    </row>
    <row r="758" spans="1:17" x14ac:dyDescent="0.3">
      <c r="A758" s="4">
        <v>44631</v>
      </c>
      <c r="B758" t="s">
        <v>4325</v>
      </c>
      <c r="C758" t="s">
        <v>4323</v>
      </c>
      <c r="D758" s="77">
        <v>0.57638888888888895</v>
      </c>
      <c r="E758" t="s">
        <v>3314</v>
      </c>
      <c r="F758">
        <v>56</v>
      </c>
      <c r="G758" t="s">
        <v>3315</v>
      </c>
      <c r="H758">
        <v>20000</v>
      </c>
      <c r="I758" t="s">
        <v>3316</v>
      </c>
      <c r="J758">
        <v>20000</v>
      </c>
      <c r="K758">
        <v>90000</v>
      </c>
      <c r="L758" t="s">
        <v>113</v>
      </c>
      <c r="M758" t="s">
        <v>22</v>
      </c>
      <c r="N758" t="s">
        <v>98</v>
      </c>
      <c r="O758" t="s">
        <v>3437</v>
      </c>
      <c r="P758" s="5" t="s">
        <v>3318</v>
      </c>
      <c r="Q758">
        <v>4.5</v>
      </c>
    </row>
    <row r="759" spans="1:17" x14ac:dyDescent="0.3">
      <c r="A759" s="4">
        <v>44631</v>
      </c>
      <c r="B759" t="s">
        <v>4326</v>
      </c>
      <c r="C759" t="s">
        <v>4311</v>
      </c>
      <c r="D759" s="77">
        <v>0.59027777777777779</v>
      </c>
      <c r="E759" t="s">
        <v>3332</v>
      </c>
      <c r="F759">
        <v>55</v>
      </c>
      <c r="G759" t="s">
        <v>3315</v>
      </c>
      <c r="H759">
        <v>20000</v>
      </c>
      <c r="I759" t="s">
        <v>3336</v>
      </c>
      <c r="J759">
        <v>20000</v>
      </c>
      <c r="K759">
        <v>100000</v>
      </c>
      <c r="L759" t="s">
        <v>114</v>
      </c>
      <c r="M759" t="s">
        <v>23</v>
      </c>
      <c r="N759" t="s">
        <v>99</v>
      </c>
      <c r="O759" t="s">
        <v>3358</v>
      </c>
      <c r="P759" s="5" t="s">
        <v>3318</v>
      </c>
      <c r="Q759">
        <v>5</v>
      </c>
    </row>
    <row r="760" spans="1:17" x14ac:dyDescent="0.3">
      <c r="A760" s="4">
        <v>44631</v>
      </c>
      <c r="B760" t="s">
        <v>4327</v>
      </c>
      <c r="C760" t="s">
        <v>4306</v>
      </c>
      <c r="D760" s="77">
        <v>0.60277777777777775</v>
      </c>
      <c r="E760" t="s">
        <v>3314</v>
      </c>
      <c r="F760">
        <v>46</v>
      </c>
      <c r="G760" t="s">
        <v>3315</v>
      </c>
      <c r="H760">
        <v>30000</v>
      </c>
      <c r="I760" t="s">
        <v>3316</v>
      </c>
      <c r="J760">
        <v>30000</v>
      </c>
      <c r="K760">
        <v>120000</v>
      </c>
      <c r="L760" t="s">
        <v>118</v>
      </c>
      <c r="M760" t="s">
        <v>88</v>
      </c>
      <c r="N760" t="s">
        <v>117</v>
      </c>
      <c r="O760" t="s">
        <v>3494</v>
      </c>
      <c r="P760" s="5" t="s">
        <v>3318</v>
      </c>
      <c r="Q760">
        <v>4</v>
      </c>
    </row>
    <row r="761" spans="1:17" x14ac:dyDescent="0.3">
      <c r="A761" s="4">
        <v>44631</v>
      </c>
      <c r="B761" t="s">
        <v>4328</v>
      </c>
      <c r="C761" t="s">
        <v>4323</v>
      </c>
      <c r="D761" s="77">
        <v>0.60416666666666663</v>
      </c>
      <c r="E761" t="s">
        <v>3314</v>
      </c>
      <c r="F761">
        <v>67</v>
      </c>
      <c r="G761" t="s">
        <v>3315</v>
      </c>
      <c r="H761">
        <v>30000</v>
      </c>
      <c r="I761" t="s">
        <v>3316</v>
      </c>
      <c r="J761">
        <v>30000</v>
      </c>
      <c r="K761">
        <v>135000</v>
      </c>
      <c r="L761" t="s">
        <v>119</v>
      </c>
      <c r="M761" t="s">
        <v>27</v>
      </c>
      <c r="N761" t="s">
        <v>101</v>
      </c>
      <c r="O761" t="s">
        <v>3803</v>
      </c>
      <c r="P761" s="5" t="s">
        <v>3318</v>
      </c>
      <c r="Q761">
        <v>4.5</v>
      </c>
    </row>
    <row r="762" spans="1:17" x14ac:dyDescent="0.3">
      <c r="A762" s="4">
        <v>44631</v>
      </c>
      <c r="B762" t="s">
        <v>4329</v>
      </c>
      <c r="C762" t="s">
        <v>4309</v>
      </c>
      <c r="D762" s="77">
        <v>0.61944444444444446</v>
      </c>
      <c r="E762" t="s">
        <v>3332</v>
      </c>
      <c r="F762">
        <v>55</v>
      </c>
      <c r="G762" t="s">
        <v>3336</v>
      </c>
      <c r="H762">
        <v>30000</v>
      </c>
      <c r="I762" t="s">
        <v>3336</v>
      </c>
      <c r="J762">
        <v>30000</v>
      </c>
      <c r="K762">
        <v>120000</v>
      </c>
      <c r="L762" t="s">
        <v>118</v>
      </c>
      <c r="M762" t="s">
        <v>147</v>
      </c>
      <c r="N762" t="s">
        <v>148</v>
      </c>
      <c r="O762" t="s">
        <v>3354</v>
      </c>
      <c r="P762" s="5" t="s">
        <v>3318</v>
      </c>
      <c r="Q762">
        <v>4</v>
      </c>
    </row>
    <row r="763" spans="1:17" x14ac:dyDescent="0.3">
      <c r="A763" s="4">
        <v>44631</v>
      </c>
      <c r="B763" t="s">
        <v>4330</v>
      </c>
      <c r="C763" t="s">
        <v>3774</v>
      </c>
      <c r="D763" s="77">
        <v>0.62986111111111109</v>
      </c>
      <c r="E763" t="s">
        <v>3314</v>
      </c>
      <c r="F763">
        <v>23</v>
      </c>
      <c r="G763" t="s">
        <v>3575</v>
      </c>
      <c r="H763">
        <v>20000</v>
      </c>
      <c r="I763" t="s">
        <v>3575</v>
      </c>
      <c r="J763">
        <v>20000</v>
      </c>
      <c r="K763">
        <v>90000</v>
      </c>
      <c r="L763" t="s">
        <v>116</v>
      </c>
      <c r="M763" t="s">
        <v>77</v>
      </c>
      <c r="N763" t="s">
        <v>133</v>
      </c>
      <c r="O763" t="s">
        <v>3376</v>
      </c>
      <c r="P763" s="5" t="s">
        <v>3318</v>
      </c>
      <c r="Q763">
        <v>4.5</v>
      </c>
    </row>
    <row r="764" spans="1:17" x14ac:dyDescent="0.3">
      <c r="A764" s="4">
        <v>44631</v>
      </c>
      <c r="B764" t="s">
        <v>4331</v>
      </c>
      <c r="C764" t="s">
        <v>4306</v>
      </c>
      <c r="D764" s="77">
        <v>0.63680555555555551</v>
      </c>
      <c r="E764" t="s">
        <v>3314</v>
      </c>
      <c r="F764">
        <v>78</v>
      </c>
      <c r="G764" t="s">
        <v>3336</v>
      </c>
      <c r="H764">
        <v>20000</v>
      </c>
      <c r="I764" t="s">
        <v>3336</v>
      </c>
      <c r="J764">
        <v>20000</v>
      </c>
      <c r="K764">
        <v>90000</v>
      </c>
      <c r="L764" t="s">
        <v>116</v>
      </c>
      <c r="M764" t="s">
        <v>78</v>
      </c>
      <c r="N764" t="s">
        <v>100</v>
      </c>
      <c r="O764" t="s">
        <v>3629</v>
      </c>
      <c r="P764" s="5" t="s">
        <v>3318</v>
      </c>
      <c r="Q764">
        <v>4.5</v>
      </c>
    </row>
    <row r="765" spans="1:17" x14ac:dyDescent="0.3">
      <c r="A765" s="4">
        <v>44631</v>
      </c>
      <c r="B765" t="s">
        <v>4332</v>
      </c>
      <c r="C765" t="s">
        <v>4313</v>
      </c>
      <c r="D765" s="77">
        <v>0.65625</v>
      </c>
      <c r="E765" t="s">
        <v>3314</v>
      </c>
      <c r="F765">
        <v>52</v>
      </c>
      <c r="G765" t="s">
        <v>3315</v>
      </c>
      <c r="H765">
        <v>20000</v>
      </c>
      <c r="I765" t="s">
        <v>3316</v>
      </c>
      <c r="J765">
        <v>20000</v>
      </c>
      <c r="K765">
        <v>80000</v>
      </c>
      <c r="L765" t="s">
        <v>118</v>
      </c>
      <c r="M765" t="s">
        <v>86</v>
      </c>
      <c r="N765" t="s">
        <v>120</v>
      </c>
      <c r="O765" t="s">
        <v>3446</v>
      </c>
      <c r="P765" s="5" t="s">
        <v>3318</v>
      </c>
      <c r="Q765">
        <v>4</v>
      </c>
    </row>
    <row r="766" spans="1:17" x14ac:dyDescent="0.3">
      <c r="A766" s="4">
        <v>44631</v>
      </c>
      <c r="B766" t="s">
        <v>4333</v>
      </c>
      <c r="C766" t="s">
        <v>4334</v>
      </c>
      <c r="D766" s="77">
        <v>0.6645833333333333</v>
      </c>
      <c r="E766" t="s">
        <v>3314</v>
      </c>
      <c r="F766">
        <v>51</v>
      </c>
      <c r="G766" t="s">
        <v>3315</v>
      </c>
      <c r="H766">
        <v>30000</v>
      </c>
      <c r="I766" t="s">
        <v>3316</v>
      </c>
      <c r="J766">
        <v>30000</v>
      </c>
      <c r="K766">
        <v>120000</v>
      </c>
      <c r="L766" t="s">
        <v>118</v>
      </c>
      <c r="M766" t="s">
        <v>94</v>
      </c>
      <c r="N766" t="s">
        <v>138</v>
      </c>
      <c r="O766" t="s">
        <v>3775</v>
      </c>
      <c r="P766" s="5" t="s">
        <v>3318</v>
      </c>
      <c r="Q766">
        <v>4</v>
      </c>
    </row>
    <row r="767" spans="1:17" x14ac:dyDescent="0.3">
      <c r="A767" s="4">
        <v>44631</v>
      </c>
      <c r="B767" t="s">
        <v>4335</v>
      </c>
      <c r="C767" t="s">
        <v>3724</v>
      </c>
      <c r="D767" s="77">
        <v>0.66666666666666663</v>
      </c>
      <c r="E767" t="s">
        <v>3314</v>
      </c>
      <c r="F767">
        <v>50</v>
      </c>
      <c r="G767" t="s">
        <v>3315</v>
      </c>
      <c r="H767">
        <v>20000</v>
      </c>
      <c r="I767" t="s">
        <v>3316</v>
      </c>
      <c r="J767">
        <v>20000</v>
      </c>
      <c r="K767">
        <v>90000</v>
      </c>
      <c r="L767" t="s">
        <v>119</v>
      </c>
      <c r="M767" t="s">
        <v>29</v>
      </c>
      <c r="N767" t="s">
        <v>104</v>
      </c>
      <c r="O767" t="s">
        <v>3457</v>
      </c>
      <c r="P767" s="5" t="s">
        <v>3318</v>
      </c>
      <c r="Q767">
        <v>4.5</v>
      </c>
    </row>
    <row r="768" spans="1:17" x14ac:dyDescent="0.3">
      <c r="A768" s="4">
        <v>44631</v>
      </c>
      <c r="B768" t="s">
        <v>4336</v>
      </c>
      <c r="C768" t="s">
        <v>4313</v>
      </c>
      <c r="D768" s="77">
        <v>0.66666666666666663</v>
      </c>
      <c r="E768" t="s">
        <v>3314</v>
      </c>
      <c r="F768">
        <v>52</v>
      </c>
      <c r="G768" t="s">
        <v>3336</v>
      </c>
      <c r="H768">
        <v>30000</v>
      </c>
      <c r="I768" t="s">
        <v>3336</v>
      </c>
      <c r="J768">
        <v>30000</v>
      </c>
      <c r="K768">
        <v>135000</v>
      </c>
      <c r="L768" t="s">
        <v>116</v>
      </c>
      <c r="M768" t="s">
        <v>65</v>
      </c>
      <c r="N768" t="s">
        <v>102</v>
      </c>
      <c r="O768" t="s">
        <v>3506</v>
      </c>
      <c r="P768" s="5" t="s">
        <v>3318</v>
      </c>
      <c r="Q768">
        <v>4.5</v>
      </c>
    </row>
    <row r="769" spans="1:17" x14ac:dyDescent="0.3">
      <c r="A769" s="4">
        <v>44631</v>
      </c>
      <c r="B769" t="s">
        <v>4337</v>
      </c>
      <c r="C769" t="s">
        <v>4306</v>
      </c>
      <c r="D769" s="77">
        <v>0.67152777777777783</v>
      </c>
      <c r="E769" t="s">
        <v>3314</v>
      </c>
      <c r="F769">
        <v>56</v>
      </c>
      <c r="G769" t="s">
        <v>3344</v>
      </c>
      <c r="H769">
        <v>50000</v>
      </c>
      <c r="I769" t="s">
        <v>3344</v>
      </c>
      <c r="J769">
        <v>50000</v>
      </c>
      <c r="K769">
        <v>200000</v>
      </c>
      <c r="L769" t="s">
        <v>118</v>
      </c>
      <c r="M769" t="s">
        <v>88</v>
      </c>
      <c r="N769" t="s">
        <v>117</v>
      </c>
      <c r="O769" t="s">
        <v>3494</v>
      </c>
      <c r="P769" s="5" t="s">
        <v>3318</v>
      </c>
      <c r="Q769">
        <v>4</v>
      </c>
    </row>
    <row r="770" spans="1:17" x14ac:dyDescent="0.3">
      <c r="A770" s="4">
        <v>44631</v>
      </c>
      <c r="B770" t="s">
        <v>4338</v>
      </c>
      <c r="C770" t="s">
        <v>4323</v>
      </c>
      <c r="D770" s="77">
        <v>0.68125000000000002</v>
      </c>
      <c r="E770" t="s">
        <v>3314</v>
      </c>
      <c r="F770">
        <v>47</v>
      </c>
      <c r="G770" t="s">
        <v>3315</v>
      </c>
      <c r="H770">
        <v>20000</v>
      </c>
      <c r="I770" t="s">
        <v>3834</v>
      </c>
      <c r="J770">
        <v>20000</v>
      </c>
      <c r="K770">
        <v>90000</v>
      </c>
      <c r="L770" t="s">
        <v>119</v>
      </c>
      <c r="M770" t="s">
        <v>27</v>
      </c>
      <c r="N770" t="s">
        <v>101</v>
      </c>
      <c r="O770" t="s">
        <v>3803</v>
      </c>
      <c r="P770" s="5" t="s">
        <v>3318</v>
      </c>
      <c r="Q770">
        <v>4.5</v>
      </c>
    </row>
    <row r="771" spans="1:17" x14ac:dyDescent="0.3">
      <c r="A771" s="4">
        <v>44631</v>
      </c>
      <c r="B771" t="s">
        <v>4339</v>
      </c>
      <c r="C771" t="s">
        <v>4334</v>
      </c>
      <c r="D771" s="77">
        <v>0.68611111111111101</v>
      </c>
      <c r="E771" t="s">
        <v>3314</v>
      </c>
      <c r="F771">
        <v>42</v>
      </c>
      <c r="G771" t="s">
        <v>3315</v>
      </c>
      <c r="H771">
        <v>20000</v>
      </c>
      <c r="I771" t="s">
        <v>3316</v>
      </c>
      <c r="J771">
        <v>20000</v>
      </c>
      <c r="K771">
        <v>80000</v>
      </c>
      <c r="L771" t="s">
        <v>118</v>
      </c>
      <c r="M771" t="s">
        <v>94</v>
      </c>
      <c r="N771" t="s">
        <v>138</v>
      </c>
      <c r="O771" t="s">
        <v>3775</v>
      </c>
      <c r="P771" s="5" t="s">
        <v>3318</v>
      </c>
      <c r="Q771">
        <v>4</v>
      </c>
    </row>
    <row r="772" spans="1:17" x14ac:dyDescent="0.3">
      <c r="A772" s="4">
        <v>44631</v>
      </c>
      <c r="B772" t="s">
        <v>4340</v>
      </c>
      <c r="C772" t="s">
        <v>4323</v>
      </c>
      <c r="D772" s="77">
        <v>0.6875</v>
      </c>
      <c r="E772" t="s">
        <v>3314</v>
      </c>
      <c r="F772">
        <v>26</v>
      </c>
      <c r="G772" t="s">
        <v>3336</v>
      </c>
      <c r="H772">
        <v>20000</v>
      </c>
      <c r="I772" t="s">
        <v>3336</v>
      </c>
      <c r="J772">
        <v>20000</v>
      </c>
      <c r="K772">
        <v>80000</v>
      </c>
      <c r="L772" t="s">
        <v>118</v>
      </c>
      <c r="M772" t="s">
        <v>93</v>
      </c>
      <c r="N772" t="s">
        <v>121</v>
      </c>
      <c r="O772" t="s">
        <v>3781</v>
      </c>
      <c r="P772" s="5" t="s">
        <v>3318</v>
      </c>
      <c r="Q772">
        <v>4</v>
      </c>
    </row>
    <row r="773" spans="1:17" x14ac:dyDescent="0.3">
      <c r="A773" s="4">
        <v>44631</v>
      </c>
      <c r="B773" t="s">
        <v>4341</v>
      </c>
      <c r="C773" t="s">
        <v>4318</v>
      </c>
      <c r="D773" s="77">
        <v>0.6875</v>
      </c>
      <c r="E773" t="s">
        <v>3314</v>
      </c>
      <c r="F773">
        <v>19</v>
      </c>
      <c r="G773" t="s">
        <v>3315</v>
      </c>
      <c r="H773">
        <v>20000</v>
      </c>
      <c r="I773" t="s">
        <v>3316</v>
      </c>
      <c r="J773">
        <v>20000</v>
      </c>
      <c r="K773">
        <v>90000</v>
      </c>
      <c r="L773" t="s">
        <v>116</v>
      </c>
      <c r="M773" t="s">
        <v>76</v>
      </c>
      <c r="N773" t="s">
        <v>107</v>
      </c>
      <c r="O773" t="s">
        <v>3321</v>
      </c>
      <c r="P773" s="5" t="s">
        <v>3318</v>
      </c>
      <c r="Q773">
        <v>4.5</v>
      </c>
    </row>
    <row r="774" spans="1:17" x14ac:dyDescent="0.3">
      <c r="A774" s="4">
        <v>44631</v>
      </c>
      <c r="B774" t="s">
        <v>4342</v>
      </c>
      <c r="C774" t="s">
        <v>4318</v>
      </c>
      <c r="D774" s="77">
        <v>0.6875</v>
      </c>
      <c r="E774" t="s">
        <v>3314</v>
      </c>
      <c r="F774">
        <v>16</v>
      </c>
      <c r="G774" t="s">
        <v>3315</v>
      </c>
      <c r="H774">
        <v>20000</v>
      </c>
      <c r="I774" t="s">
        <v>3316</v>
      </c>
      <c r="J774">
        <v>20000</v>
      </c>
      <c r="K774">
        <v>90000</v>
      </c>
      <c r="L774" t="s">
        <v>116</v>
      </c>
      <c r="M774" t="s">
        <v>76</v>
      </c>
      <c r="N774" t="s">
        <v>107</v>
      </c>
      <c r="O774" t="s">
        <v>3321</v>
      </c>
      <c r="P774" s="5" t="s">
        <v>3318</v>
      </c>
      <c r="Q774">
        <v>4.5</v>
      </c>
    </row>
    <row r="775" spans="1:17" x14ac:dyDescent="0.3">
      <c r="A775" s="4">
        <v>44631</v>
      </c>
      <c r="B775" t="s">
        <v>4343</v>
      </c>
      <c r="C775" t="s">
        <v>4323</v>
      </c>
      <c r="D775" s="77">
        <v>0.6875</v>
      </c>
      <c r="E775" t="s">
        <v>3314</v>
      </c>
      <c r="F775">
        <v>38</v>
      </c>
      <c r="G775" t="s">
        <v>3315</v>
      </c>
      <c r="H775">
        <v>20000</v>
      </c>
      <c r="I775" t="s">
        <v>3834</v>
      </c>
      <c r="J775">
        <v>20000</v>
      </c>
      <c r="K775">
        <v>90000</v>
      </c>
      <c r="L775" t="s">
        <v>113</v>
      </c>
      <c r="M775" t="s">
        <v>22</v>
      </c>
      <c r="N775" t="s">
        <v>98</v>
      </c>
      <c r="O775" t="s">
        <v>3437</v>
      </c>
      <c r="P775" s="5" t="s">
        <v>3318</v>
      </c>
      <c r="Q775">
        <v>4.5</v>
      </c>
    </row>
    <row r="776" spans="1:17" x14ac:dyDescent="0.3">
      <c r="A776" s="4">
        <v>44631</v>
      </c>
      <c r="B776" t="s">
        <v>4344</v>
      </c>
      <c r="C776" t="s">
        <v>3724</v>
      </c>
      <c r="D776" s="77">
        <v>0.69444444444444453</v>
      </c>
      <c r="E776" t="s">
        <v>3314</v>
      </c>
      <c r="F776">
        <v>58</v>
      </c>
      <c r="G776" t="s">
        <v>3315</v>
      </c>
      <c r="H776">
        <v>20000</v>
      </c>
      <c r="I776" t="s">
        <v>3316</v>
      </c>
      <c r="J776">
        <v>20000</v>
      </c>
      <c r="K776">
        <v>80000</v>
      </c>
      <c r="L776" t="s">
        <v>118</v>
      </c>
      <c r="M776" t="s">
        <v>85</v>
      </c>
      <c r="N776" t="s">
        <v>109</v>
      </c>
      <c r="O776" t="s">
        <v>3342</v>
      </c>
      <c r="P776" s="5" t="s">
        <v>3318</v>
      </c>
      <c r="Q776">
        <v>4</v>
      </c>
    </row>
    <row r="777" spans="1:17" x14ac:dyDescent="0.3">
      <c r="A777" s="4">
        <v>44631</v>
      </c>
      <c r="B777" t="s">
        <v>4345</v>
      </c>
      <c r="C777" t="s">
        <v>4346</v>
      </c>
      <c r="D777" s="77">
        <v>0.69444444444444453</v>
      </c>
      <c r="E777" t="s">
        <v>3314</v>
      </c>
      <c r="F777">
        <v>71</v>
      </c>
      <c r="G777" t="s">
        <v>3315</v>
      </c>
      <c r="H777">
        <v>20000</v>
      </c>
      <c r="I777" t="s">
        <v>3316</v>
      </c>
      <c r="J777">
        <v>20000</v>
      </c>
      <c r="K777">
        <v>80000</v>
      </c>
      <c r="L777" t="s">
        <v>118</v>
      </c>
      <c r="M777" t="s">
        <v>3033</v>
      </c>
      <c r="N777" t="s">
        <v>3035</v>
      </c>
      <c r="O777" t="s">
        <v>3542</v>
      </c>
      <c r="P777" s="5" t="s">
        <v>3318</v>
      </c>
      <c r="Q777">
        <v>4</v>
      </c>
    </row>
    <row r="778" spans="1:17" x14ac:dyDescent="0.3">
      <c r="A778" s="4">
        <v>44631</v>
      </c>
      <c r="B778" t="s">
        <v>4347</v>
      </c>
      <c r="C778" t="s">
        <v>4306</v>
      </c>
      <c r="D778" s="77">
        <v>0.69652777777777775</v>
      </c>
      <c r="E778" t="s">
        <v>3314</v>
      </c>
      <c r="F778">
        <v>80</v>
      </c>
      <c r="G778" t="s">
        <v>3336</v>
      </c>
      <c r="H778">
        <v>20000</v>
      </c>
      <c r="I778" t="s">
        <v>3336</v>
      </c>
      <c r="J778">
        <v>20000</v>
      </c>
      <c r="K778">
        <v>90000</v>
      </c>
      <c r="L778" t="s">
        <v>116</v>
      </c>
      <c r="M778" t="s">
        <v>78</v>
      </c>
      <c r="N778" t="s">
        <v>100</v>
      </c>
      <c r="O778" t="s">
        <v>3629</v>
      </c>
      <c r="P778" s="5" t="s">
        <v>3318</v>
      </c>
      <c r="Q778">
        <v>4.5</v>
      </c>
    </row>
    <row r="779" spans="1:17" x14ac:dyDescent="0.3">
      <c r="A779" s="4">
        <v>44631</v>
      </c>
      <c r="B779" t="s">
        <v>4348</v>
      </c>
      <c r="C779" t="s">
        <v>4311</v>
      </c>
      <c r="D779" s="77">
        <v>0.70833333333333337</v>
      </c>
      <c r="E779" t="s">
        <v>3332</v>
      </c>
      <c r="F779">
        <v>64</v>
      </c>
      <c r="G779" t="s">
        <v>3315</v>
      </c>
      <c r="H779">
        <v>20000</v>
      </c>
      <c r="I779" t="s">
        <v>3834</v>
      </c>
      <c r="J779">
        <v>20000</v>
      </c>
      <c r="K779">
        <v>100000</v>
      </c>
      <c r="L779" t="s">
        <v>114</v>
      </c>
      <c r="M779" t="s">
        <v>23</v>
      </c>
      <c r="N779" t="s">
        <v>99</v>
      </c>
      <c r="O779" t="s">
        <v>3358</v>
      </c>
      <c r="P779" s="5" t="s">
        <v>3318</v>
      </c>
      <c r="Q779">
        <v>5</v>
      </c>
    </row>
    <row r="780" spans="1:17" x14ac:dyDescent="0.3">
      <c r="A780" s="4">
        <v>44631</v>
      </c>
      <c r="B780" t="s">
        <v>4349</v>
      </c>
      <c r="C780" t="s">
        <v>3724</v>
      </c>
      <c r="D780" s="77">
        <v>0.70833333333333337</v>
      </c>
      <c r="E780" t="s">
        <v>3314</v>
      </c>
      <c r="F780">
        <v>40</v>
      </c>
      <c r="G780" t="s">
        <v>3336</v>
      </c>
      <c r="H780">
        <v>20000</v>
      </c>
      <c r="I780" t="s">
        <v>3336</v>
      </c>
      <c r="J780">
        <v>20000</v>
      </c>
      <c r="K780">
        <v>80000</v>
      </c>
      <c r="L780" t="s">
        <v>118</v>
      </c>
      <c r="M780" t="s">
        <v>85</v>
      </c>
      <c r="N780" t="s">
        <v>109</v>
      </c>
      <c r="O780" t="s">
        <v>3342</v>
      </c>
      <c r="P780" s="5" t="s">
        <v>3318</v>
      </c>
      <c r="Q780">
        <v>4</v>
      </c>
    </row>
    <row r="781" spans="1:17" x14ac:dyDescent="0.3">
      <c r="A781" s="4">
        <v>44631</v>
      </c>
      <c r="B781" t="s">
        <v>4350</v>
      </c>
      <c r="C781" t="s">
        <v>4351</v>
      </c>
      <c r="D781" s="77">
        <v>0.71388888888888891</v>
      </c>
      <c r="E781" t="s">
        <v>3314</v>
      </c>
      <c r="F781">
        <v>42</v>
      </c>
      <c r="G781" t="s">
        <v>3315</v>
      </c>
      <c r="H781">
        <v>20000</v>
      </c>
      <c r="I781" t="s">
        <v>3316</v>
      </c>
      <c r="J781">
        <v>20000</v>
      </c>
      <c r="K781">
        <v>80000</v>
      </c>
      <c r="L781" t="s">
        <v>118</v>
      </c>
      <c r="M781" t="s">
        <v>28</v>
      </c>
      <c r="N781" t="s">
        <v>132</v>
      </c>
      <c r="O781" t="s">
        <v>3449</v>
      </c>
      <c r="P781" s="5" t="s">
        <v>3318</v>
      </c>
      <c r="Q781">
        <v>4</v>
      </c>
    </row>
    <row r="782" spans="1:17" x14ac:dyDescent="0.3">
      <c r="A782" s="4">
        <v>44631</v>
      </c>
      <c r="B782" t="s">
        <v>4352</v>
      </c>
      <c r="C782" t="s">
        <v>4323</v>
      </c>
      <c r="D782" s="77">
        <v>0.71527777777777779</v>
      </c>
      <c r="E782" t="s">
        <v>3314</v>
      </c>
      <c r="F782">
        <v>61</v>
      </c>
      <c r="G782" t="s">
        <v>3315</v>
      </c>
      <c r="H782">
        <v>30000</v>
      </c>
      <c r="I782" t="s">
        <v>3316</v>
      </c>
      <c r="J782">
        <v>30000</v>
      </c>
      <c r="K782">
        <v>135000</v>
      </c>
      <c r="L782" t="s">
        <v>113</v>
      </c>
      <c r="M782" t="s">
        <v>22</v>
      </c>
      <c r="N782" t="s">
        <v>98</v>
      </c>
      <c r="O782" t="s">
        <v>3437</v>
      </c>
      <c r="P782" s="5" t="s">
        <v>3318</v>
      </c>
      <c r="Q782">
        <v>4.5</v>
      </c>
    </row>
    <row r="783" spans="1:17" x14ac:dyDescent="0.3">
      <c r="A783" s="4">
        <v>44631</v>
      </c>
      <c r="B783" t="s">
        <v>4353</v>
      </c>
      <c r="C783" t="s">
        <v>3724</v>
      </c>
      <c r="D783" s="77">
        <v>0.71875</v>
      </c>
      <c r="E783" t="s">
        <v>3314</v>
      </c>
      <c r="F783">
        <v>51</v>
      </c>
      <c r="G783" t="s">
        <v>3315</v>
      </c>
      <c r="H783">
        <v>20000</v>
      </c>
      <c r="I783" t="s">
        <v>3316</v>
      </c>
      <c r="J783">
        <v>20000</v>
      </c>
      <c r="K783">
        <v>80000</v>
      </c>
      <c r="L783" t="s">
        <v>118</v>
      </c>
      <c r="M783" t="s">
        <v>85</v>
      </c>
      <c r="N783" t="s">
        <v>109</v>
      </c>
      <c r="O783" t="s">
        <v>3342</v>
      </c>
      <c r="P783" s="5" t="s">
        <v>3318</v>
      </c>
      <c r="Q783">
        <v>4</v>
      </c>
    </row>
    <row r="784" spans="1:17" x14ac:dyDescent="0.3">
      <c r="A784" s="4">
        <v>44631</v>
      </c>
      <c r="B784" t="s">
        <v>4354</v>
      </c>
      <c r="C784" t="s">
        <v>4323</v>
      </c>
      <c r="D784" s="77">
        <v>0.72013888888888899</v>
      </c>
      <c r="E784" t="s">
        <v>3314</v>
      </c>
      <c r="F784">
        <v>42</v>
      </c>
      <c r="G784" t="s">
        <v>3315</v>
      </c>
      <c r="H784">
        <v>30000</v>
      </c>
      <c r="I784" t="s">
        <v>3348</v>
      </c>
      <c r="J784">
        <v>30000</v>
      </c>
      <c r="K784">
        <v>135000</v>
      </c>
      <c r="L784" t="s">
        <v>119</v>
      </c>
      <c r="M784" t="s">
        <v>27</v>
      </c>
      <c r="N784" t="s">
        <v>101</v>
      </c>
      <c r="O784" t="s">
        <v>3803</v>
      </c>
      <c r="P784" s="5" t="s">
        <v>3318</v>
      </c>
      <c r="Q784">
        <v>4.5</v>
      </c>
    </row>
    <row r="785" spans="1:17" x14ac:dyDescent="0.3">
      <c r="A785" s="4">
        <v>44631</v>
      </c>
      <c r="B785" t="s">
        <v>4355</v>
      </c>
      <c r="C785" t="s">
        <v>4318</v>
      </c>
      <c r="D785" s="77">
        <v>0.72222222222222221</v>
      </c>
      <c r="E785" t="s">
        <v>3314</v>
      </c>
      <c r="F785">
        <v>33</v>
      </c>
      <c r="G785" t="s">
        <v>3315</v>
      </c>
      <c r="H785">
        <v>20000</v>
      </c>
      <c r="I785" t="s">
        <v>3834</v>
      </c>
      <c r="J785">
        <v>20000</v>
      </c>
      <c r="K785">
        <v>90000</v>
      </c>
      <c r="L785" t="s">
        <v>116</v>
      </c>
      <c r="M785" t="s">
        <v>76</v>
      </c>
      <c r="N785" t="s">
        <v>107</v>
      </c>
      <c r="O785" t="s">
        <v>3321</v>
      </c>
      <c r="P785" s="5" t="s">
        <v>3318</v>
      </c>
      <c r="Q785">
        <v>4.5</v>
      </c>
    </row>
    <row r="786" spans="1:17" x14ac:dyDescent="0.3">
      <c r="A786" s="4">
        <v>44631</v>
      </c>
      <c r="B786" t="s">
        <v>4356</v>
      </c>
      <c r="C786" t="s">
        <v>4334</v>
      </c>
      <c r="D786" s="77">
        <v>0.73819444444444438</v>
      </c>
      <c r="E786" t="s">
        <v>3314</v>
      </c>
      <c r="F786">
        <v>30</v>
      </c>
      <c r="G786" t="s">
        <v>3315</v>
      </c>
      <c r="H786">
        <v>100000</v>
      </c>
      <c r="I786" t="s">
        <v>3316</v>
      </c>
      <c r="J786">
        <v>100000</v>
      </c>
      <c r="K786">
        <v>400000</v>
      </c>
      <c r="L786" t="s">
        <v>118</v>
      </c>
      <c r="M786" t="s">
        <v>84</v>
      </c>
      <c r="N786" t="s">
        <v>108</v>
      </c>
      <c r="O786" t="s">
        <v>3366</v>
      </c>
      <c r="P786" s="5" t="s">
        <v>3318</v>
      </c>
      <c r="Q786">
        <v>4</v>
      </c>
    </row>
    <row r="787" spans="1:17" x14ac:dyDescent="0.3">
      <c r="A787" s="4">
        <v>44631</v>
      </c>
      <c r="B787" t="s">
        <v>4357</v>
      </c>
      <c r="C787" t="s">
        <v>4318</v>
      </c>
      <c r="D787" s="77">
        <v>0.75347222222222221</v>
      </c>
      <c r="E787" t="s">
        <v>3314</v>
      </c>
      <c r="F787">
        <v>53</v>
      </c>
      <c r="G787" t="s">
        <v>3315</v>
      </c>
      <c r="H787">
        <v>20000</v>
      </c>
      <c r="I787" t="s">
        <v>3316</v>
      </c>
      <c r="J787">
        <v>20000</v>
      </c>
      <c r="K787">
        <v>90000</v>
      </c>
      <c r="L787" t="s">
        <v>116</v>
      </c>
      <c r="M787" t="s">
        <v>76</v>
      </c>
      <c r="N787" t="s">
        <v>107</v>
      </c>
      <c r="O787" t="s">
        <v>3321</v>
      </c>
      <c r="P787" s="5" t="s">
        <v>3318</v>
      </c>
      <c r="Q787">
        <v>4.5</v>
      </c>
    </row>
    <row r="788" spans="1:17" x14ac:dyDescent="0.3">
      <c r="A788" s="4">
        <v>44631</v>
      </c>
      <c r="B788" t="s">
        <v>4358</v>
      </c>
      <c r="C788" t="s">
        <v>3796</v>
      </c>
      <c r="D788" s="77">
        <v>0.75486111111111109</v>
      </c>
      <c r="E788" t="s">
        <v>3314</v>
      </c>
      <c r="F788">
        <v>45</v>
      </c>
      <c r="G788" t="s">
        <v>3315</v>
      </c>
      <c r="H788">
        <v>20000</v>
      </c>
      <c r="I788" t="s">
        <v>3316</v>
      </c>
      <c r="J788">
        <v>20000</v>
      </c>
      <c r="K788">
        <v>80000</v>
      </c>
      <c r="L788" t="s">
        <v>118</v>
      </c>
      <c r="M788" t="s">
        <v>3023</v>
      </c>
      <c r="N788" t="s">
        <v>3025</v>
      </c>
      <c r="O788" t="s">
        <v>3481</v>
      </c>
      <c r="P788" s="5" t="s">
        <v>3318</v>
      </c>
      <c r="Q788">
        <v>4</v>
      </c>
    </row>
    <row r="789" spans="1:17" x14ac:dyDescent="0.3">
      <c r="A789" s="4">
        <v>44631</v>
      </c>
      <c r="B789" t="s">
        <v>4359</v>
      </c>
      <c r="C789" t="s">
        <v>4306</v>
      </c>
      <c r="D789" s="77">
        <v>0.76180555555555562</v>
      </c>
      <c r="E789" t="s">
        <v>3314</v>
      </c>
      <c r="F789">
        <v>42</v>
      </c>
      <c r="G789" t="s">
        <v>3315</v>
      </c>
      <c r="H789">
        <v>20000</v>
      </c>
      <c r="I789" t="s">
        <v>3316</v>
      </c>
      <c r="J789">
        <v>20000</v>
      </c>
      <c r="K789">
        <v>80000</v>
      </c>
      <c r="L789" t="s">
        <v>118</v>
      </c>
      <c r="M789" t="s">
        <v>88</v>
      </c>
      <c r="N789" t="s">
        <v>117</v>
      </c>
      <c r="O789" t="s">
        <v>3494</v>
      </c>
      <c r="P789" s="5" t="s">
        <v>3318</v>
      </c>
      <c r="Q789">
        <v>4</v>
      </c>
    </row>
    <row r="790" spans="1:17" x14ac:dyDescent="0.3">
      <c r="A790" s="4">
        <v>44631</v>
      </c>
      <c r="B790" t="s">
        <v>4360</v>
      </c>
      <c r="C790" t="s">
        <v>4351</v>
      </c>
      <c r="D790" s="77">
        <v>0.79166666666666663</v>
      </c>
      <c r="E790" t="s">
        <v>3314</v>
      </c>
      <c r="F790">
        <v>52</v>
      </c>
      <c r="G790" t="s">
        <v>3315</v>
      </c>
      <c r="H790">
        <v>30000</v>
      </c>
      <c r="I790" t="s">
        <v>3316</v>
      </c>
      <c r="J790">
        <v>30000</v>
      </c>
      <c r="K790">
        <v>120000</v>
      </c>
      <c r="L790" t="s">
        <v>118</v>
      </c>
      <c r="M790" t="s">
        <v>28</v>
      </c>
      <c r="N790" t="s">
        <v>132</v>
      </c>
      <c r="O790" t="s">
        <v>3449</v>
      </c>
      <c r="P790" s="5" t="s">
        <v>3318</v>
      </c>
      <c r="Q790">
        <v>4</v>
      </c>
    </row>
    <row r="791" spans="1:17" x14ac:dyDescent="0.3">
      <c r="A791" s="4">
        <v>44631</v>
      </c>
      <c r="B791" t="s">
        <v>4361</v>
      </c>
      <c r="C791" t="s">
        <v>3796</v>
      </c>
      <c r="D791" s="77">
        <v>0.79722222222222217</v>
      </c>
      <c r="E791" t="s">
        <v>3314</v>
      </c>
      <c r="F791">
        <v>66</v>
      </c>
      <c r="G791" t="s">
        <v>3315</v>
      </c>
      <c r="H791">
        <v>20000</v>
      </c>
      <c r="I791" t="s">
        <v>3316</v>
      </c>
      <c r="J791">
        <v>20000</v>
      </c>
      <c r="K791">
        <v>80000</v>
      </c>
      <c r="L791" t="s">
        <v>118</v>
      </c>
      <c r="M791" t="s">
        <v>92</v>
      </c>
      <c r="N791" t="s">
        <v>137</v>
      </c>
      <c r="O791" t="s">
        <v>3476</v>
      </c>
      <c r="P791" s="5" t="s">
        <v>3318</v>
      </c>
      <c r="Q791">
        <v>4</v>
      </c>
    </row>
    <row r="792" spans="1:17" x14ac:dyDescent="0.3">
      <c r="A792" s="4">
        <v>44631</v>
      </c>
      <c r="B792" t="s">
        <v>4362</v>
      </c>
      <c r="C792" t="s">
        <v>4306</v>
      </c>
      <c r="D792" s="77">
        <v>0.80069444444444438</v>
      </c>
      <c r="E792" t="s">
        <v>3314</v>
      </c>
      <c r="F792">
        <v>70</v>
      </c>
      <c r="G792" t="s">
        <v>3315</v>
      </c>
      <c r="H792">
        <v>30000</v>
      </c>
      <c r="I792" t="s">
        <v>3348</v>
      </c>
      <c r="J792">
        <v>30000</v>
      </c>
      <c r="K792">
        <v>120000</v>
      </c>
      <c r="L792" t="s">
        <v>118</v>
      </c>
      <c r="M792" t="s">
        <v>88</v>
      </c>
      <c r="N792" t="s">
        <v>117</v>
      </c>
      <c r="O792" t="s">
        <v>3494</v>
      </c>
      <c r="P792" s="5" t="s">
        <v>3318</v>
      </c>
      <c r="Q792">
        <v>4</v>
      </c>
    </row>
    <row r="793" spans="1:17" x14ac:dyDescent="0.3">
      <c r="A793" s="4">
        <v>44631</v>
      </c>
      <c r="B793" t="s">
        <v>4363</v>
      </c>
      <c r="C793" t="s">
        <v>4306</v>
      </c>
      <c r="D793" s="77">
        <v>0.81944444444444453</v>
      </c>
      <c r="E793" t="s">
        <v>3314</v>
      </c>
      <c r="F793">
        <v>70</v>
      </c>
      <c r="G793" t="s">
        <v>3315</v>
      </c>
      <c r="H793">
        <v>100000</v>
      </c>
      <c r="I793" t="s">
        <v>3348</v>
      </c>
      <c r="J793">
        <v>100000</v>
      </c>
      <c r="K793">
        <v>450000</v>
      </c>
      <c r="L793" t="s">
        <v>116</v>
      </c>
      <c r="M793" t="s">
        <v>78</v>
      </c>
      <c r="N793" t="s">
        <v>100</v>
      </c>
      <c r="O793" t="s">
        <v>3629</v>
      </c>
      <c r="P793" s="5" t="s">
        <v>3318</v>
      </c>
      <c r="Q793">
        <v>4.5</v>
      </c>
    </row>
    <row r="794" spans="1:17" x14ac:dyDescent="0.3">
      <c r="A794" s="4">
        <v>44631</v>
      </c>
      <c r="B794" t="s">
        <v>4364</v>
      </c>
      <c r="C794" t="s">
        <v>4365</v>
      </c>
      <c r="D794" s="77">
        <v>0.8256944444444444</v>
      </c>
      <c r="E794" t="s">
        <v>3314</v>
      </c>
      <c r="F794">
        <v>54</v>
      </c>
      <c r="G794" t="s">
        <v>3315</v>
      </c>
      <c r="H794">
        <v>20000</v>
      </c>
      <c r="I794" t="s">
        <v>3316</v>
      </c>
      <c r="J794">
        <v>20000</v>
      </c>
      <c r="K794">
        <v>60000</v>
      </c>
      <c r="L794" t="s">
        <v>149</v>
      </c>
      <c r="M794" t="s">
        <v>3020</v>
      </c>
      <c r="N794" t="s">
        <v>2852</v>
      </c>
      <c r="O794" t="s">
        <v>3661</v>
      </c>
      <c r="P794" s="5" t="s">
        <v>3318</v>
      </c>
      <c r="Q794">
        <v>3</v>
      </c>
    </row>
    <row r="795" spans="1:17" x14ac:dyDescent="0.3">
      <c r="A795" s="4">
        <v>44631</v>
      </c>
      <c r="B795" t="s">
        <v>4366</v>
      </c>
      <c r="C795" t="s">
        <v>4351</v>
      </c>
      <c r="D795" s="77">
        <v>0.85416666666666663</v>
      </c>
      <c r="E795" t="s">
        <v>3314</v>
      </c>
      <c r="F795">
        <v>35</v>
      </c>
      <c r="G795" t="s">
        <v>3315</v>
      </c>
      <c r="H795">
        <v>50000</v>
      </c>
      <c r="I795" t="s">
        <v>3316</v>
      </c>
      <c r="J795">
        <v>50000</v>
      </c>
      <c r="K795">
        <v>200000</v>
      </c>
      <c r="L795" t="s">
        <v>118</v>
      </c>
      <c r="M795" t="s">
        <v>28</v>
      </c>
      <c r="N795" t="s">
        <v>132</v>
      </c>
      <c r="O795" t="s">
        <v>3449</v>
      </c>
      <c r="P795" s="5" t="s">
        <v>3318</v>
      </c>
      <c r="Q795">
        <v>4</v>
      </c>
    </row>
    <row r="796" spans="1:17" x14ac:dyDescent="0.3">
      <c r="A796" s="4">
        <v>44632</v>
      </c>
      <c r="B796" t="s">
        <v>4367</v>
      </c>
      <c r="C796" t="s">
        <v>4368</v>
      </c>
      <c r="D796" s="77">
        <v>0.51736111111111105</v>
      </c>
      <c r="E796" t="s">
        <v>3332</v>
      </c>
      <c r="F796">
        <v>47</v>
      </c>
      <c r="G796" t="s">
        <v>3315</v>
      </c>
      <c r="H796">
        <v>30000</v>
      </c>
      <c r="I796" t="s">
        <v>3834</v>
      </c>
      <c r="J796">
        <v>30000</v>
      </c>
      <c r="K796">
        <v>120000</v>
      </c>
      <c r="L796" t="s">
        <v>118</v>
      </c>
      <c r="M796" t="s">
        <v>812</v>
      </c>
      <c r="N796" t="s">
        <v>814</v>
      </c>
      <c r="O796" t="s">
        <v>3412</v>
      </c>
      <c r="P796" s="5" t="s">
        <v>3318</v>
      </c>
      <c r="Q796">
        <v>4</v>
      </c>
    </row>
    <row r="797" spans="1:17" x14ac:dyDescent="0.3">
      <c r="A797" s="4">
        <v>44632</v>
      </c>
      <c r="B797" t="s">
        <v>4369</v>
      </c>
      <c r="C797" t="s">
        <v>4368</v>
      </c>
      <c r="D797" s="77">
        <v>0.54166666666666663</v>
      </c>
      <c r="E797" t="s">
        <v>3332</v>
      </c>
      <c r="F797">
        <v>54</v>
      </c>
      <c r="G797" t="s">
        <v>3315</v>
      </c>
      <c r="H797">
        <v>20000</v>
      </c>
      <c r="I797" t="s">
        <v>3316</v>
      </c>
      <c r="J797">
        <v>20000</v>
      </c>
      <c r="K797">
        <v>100000</v>
      </c>
      <c r="L797" t="s">
        <v>116</v>
      </c>
      <c r="M797" t="s">
        <v>73</v>
      </c>
      <c r="N797" t="s">
        <v>115</v>
      </c>
      <c r="O797" t="s">
        <v>3349</v>
      </c>
      <c r="P797" s="5" t="s">
        <v>3318</v>
      </c>
      <c r="Q797">
        <v>5</v>
      </c>
    </row>
    <row r="798" spans="1:17" x14ac:dyDescent="0.3">
      <c r="A798" s="4">
        <v>44632</v>
      </c>
      <c r="B798" t="s">
        <v>4370</v>
      </c>
      <c r="C798" t="s">
        <v>3480</v>
      </c>
      <c r="D798" s="77">
        <v>0.5625</v>
      </c>
      <c r="E798" t="s">
        <v>3314</v>
      </c>
      <c r="F798">
        <v>52</v>
      </c>
      <c r="G798" t="s">
        <v>3315</v>
      </c>
      <c r="H798">
        <v>30000</v>
      </c>
      <c r="I798" t="s">
        <v>3316</v>
      </c>
      <c r="J798">
        <v>30000</v>
      </c>
      <c r="K798">
        <v>120000</v>
      </c>
      <c r="L798" t="s">
        <v>118</v>
      </c>
      <c r="M798" t="s">
        <v>94</v>
      </c>
      <c r="N798" t="s">
        <v>138</v>
      </c>
      <c r="O798" t="s">
        <v>3775</v>
      </c>
      <c r="P798" s="5" t="s">
        <v>3318</v>
      </c>
      <c r="Q798">
        <v>4</v>
      </c>
    </row>
    <row r="799" spans="1:17" x14ac:dyDescent="0.3">
      <c r="A799" s="4">
        <v>44632</v>
      </c>
      <c r="B799" t="s">
        <v>4371</v>
      </c>
      <c r="C799" t="s">
        <v>3480</v>
      </c>
      <c r="D799" s="77">
        <v>0.5625</v>
      </c>
      <c r="E799" t="s">
        <v>3314</v>
      </c>
      <c r="F799">
        <v>20</v>
      </c>
      <c r="G799" t="s">
        <v>3575</v>
      </c>
      <c r="H799">
        <v>30000</v>
      </c>
      <c r="I799" t="s">
        <v>3575</v>
      </c>
      <c r="J799">
        <v>30000</v>
      </c>
      <c r="K799">
        <v>120000</v>
      </c>
      <c r="L799" t="s">
        <v>118</v>
      </c>
      <c r="M799" t="s">
        <v>94</v>
      </c>
      <c r="N799" t="s">
        <v>138</v>
      </c>
      <c r="O799" t="s">
        <v>3775</v>
      </c>
      <c r="P799" s="5" t="s">
        <v>3318</v>
      </c>
      <c r="Q799">
        <v>4</v>
      </c>
    </row>
    <row r="800" spans="1:17" x14ac:dyDescent="0.3">
      <c r="A800" s="4">
        <v>44632</v>
      </c>
      <c r="B800" t="s">
        <v>4372</v>
      </c>
      <c r="C800" t="s">
        <v>3480</v>
      </c>
      <c r="D800" s="77">
        <v>0.57638888888888895</v>
      </c>
      <c r="E800" t="s">
        <v>3314</v>
      </c>
      <c r="F800">
        <v>63</v>
      </c>
      <c r="G800" t="s">
        <v>3315</v>
      </c>
      <c r="H800">
        <v>30000</v>
      </c>
      <c r="I800" t="s">
        <v>3316</v>
      </c>
      <c r="J800">
        <v>30000</v>
      </c>
      <c r="K800">
        <v>120000</v>
      </c>
      <c r="L800" t="s">
        <v>118</v>
      </c>
      <c r="M800" t="s">
        <v>94</v>
      </c>
      <c r="N800" t="s">
        <v>138</v>
      </c>
      <c r="O800" t="s">
        <v>3775</v>
      </c>
      <c r="P800" s="5" t="s">
        <v>3318</v>
      </c>
      <c r="Q800">
        <v>4</v>
      </c>
    </row>
    <row r="801" spans="1:17" x14ac:dyDescent="0.3">
      <c r="A801" s="4">
        <v>44632</v>
      </c>
      <c r="B801" t="s">
        <v>4373</v>
      </c>
      <c r="C801" t="s">
        <v>4368</v>
      </c>
      <c r="D801" s="77">
        <v>0.57986111111111105</v>
      </c>
      <c r="E801" t="s">
        <v>3332</v>
      </c>
      <c r="F801">
        <v>57</v>
      </c>
      <c r="G801" t="s">
        <v>3315</v>
      </c>
      <c r="H801">
        <v>20000</v>
      </c>
      <c r="I801" t="s">
        <v>3834</v>
      </c>
      <c r="J801">
        <v>20000</v>
      </c>
      <c r="K801">
        <v>80000</v>
      </c>
      <c r="L801" t="s">
        <v>118</v>
      </c>
      <c r="M801" t="s">
        <v>812</v>
      </c>
      <c r="N801" t="s">
        <v>814</v>
      </c>
      <c r="O801" t="s">
        <v>3412</v>
      </c>
      <c r="P801" s="5" t="s">
        <v>3318</v>
      </c>
      <c r="Q801">
        <v>4</v>
      </c>
    </row>
    <row r="802" spans="1:17" x14ac:dyDescent="0.3">
      <c r="A802" s="4">
        <v>44632</v>
      </c>
      <c r="B802" t="s">
        <v>4374</v>
      </c>
      <c r="C802" t="s">
        <v>3368</v>
      </c>
      <c r="D802" s="77">
        <v>0.58333333333333337</v>
      </c>
      <c r="E802" t="s">
        <v>3314</v>
      </c>
      <c r="F802">
        <v>59</v>
      </c>
      <c r="G802" t="s">
        <v>3315</v>
      </c>
      <c r="H802">
        <v>20000</v>
      </c>
      <c r="I802" t="s">
        <v>3316</v>
      </c>
      <c r="J802">
        <v>20000</v>
      </c>
      <c r="K802">
        <v>80000</v>
      </c>
      <c r="L802" t="s">
        <v>118</v>
      </c>
      <c r="M802" t="s">
        <v>85</v>
      </c>
      <c r="N802" t="s">
        <v>109</v>
      </c>
      <c r="O802" t="s">
        <v>3342</v>
      </c>
      <c r="P802" s="5" t="s">
        <v>3318</v>
      </c>
      <c r="Q802">
        <v>4</v>
      </c>
    </row>
    <row r="803" spans="1:17" x14ac:dyDescent="0.3">
      <c r="A803" s="4">
        <v>44632</v>
      </c>
      <c r="B803" t="s">
        <v>4375</v>
      </c>
      <c r="C803" t="s">
        <v>3368</v>
      </c>
      <c r="D803" s="77">
        <v>0.58819444444444446</v>
      </c>
      <c r="E803" t="s">
        <v>3314</v>
      </c>
      <c r="F803">
        <v>51</v>
      </c>
      <c r="G803" t="s">
        <v>3315</v>
      </c>
      <c r="H803">
        <v>30000</v>
      </c>
      <c r="I803" t="s">
        <v>3316</v>
      </c>
      <c r="J803">
        <v>30000</v>
      </c>
      <c r="K803">
        <v>120000</v>
      </c>
      <c r="L803" t="s">
        <v>118</v>
      </c>
      <c r="M803" t="s">
        <v>84</v>
      </c>
      <c r="N803" t="s">
        <v>108</v>
      </c>
      <c r="O803" t="s">
        <v>3366</v>
      </c>
      <c r="P803" s="5" t="s">
        <v>3318</v>
      </c>
      <c r="Q803">
        <v>4</v>
      </c>
    </row>
    <row r="804" spans="1:17" x14ac:dyDescent="0.3">
      <c r="A804" s="4">
        <v>44632</v>
      </c>
      <c r="B804" t="s">
        <v>4376</v>
      </c>
      <c r="C804" t="s">
        <v>3384</v>
      </c>
      <c r="D804" s="77">
        <v>0.60347222222222219</v>
      </c>
      <c r="E804" t="s">
        <v>3314</v>
      </c>
      <c r="F804">
        <v>46</v>
      </c>
      <c r="G804" t="s">
        <v>3315</v>
      </c>
      <c r="H804">
        <v>30000</v>
      </c>
      <c r="I804" t="s">
        <v>3834</v>
      </c>
      <c r="J804">
        <v>30000</v>
      </c>
      <c r="K804">
        <v>135000</v>
      </c>
      <c r="L804" t="s">
        <v>116</v>
      </c>
      <c r="M804" t="s">
        <v>77</v>
      </c>
      <c r="N804" t="s">
        <v>133</v>
      </c>
      <c r="O804" t="s">
        <v>3376</v>
      </c>
      <c r="P804" s="5" t="s">
        <v>3318</v>
      </c>
      <c r="Q804">
        <v>4.5</v>
      </c>
    </row>
    <row r="805" spans="1:17" x14ac:dyDescent="0.3">
      <c r="A805" s="4">
        <v>44632</v>
      </c>
      <c r="B805" t="s">
        <v>4377</v>
      </c>
      <c r="C805" t="s">
        <v>3384</v>
      </c>
      <c r="D805" s="77">
        <v>0.60833333333333328</v>
      </c>
      <c r="E805" t="s">
        <v>3314</v>
      </c>
      <c r="F805">
        <v>25</v>
      </c>
      <c r="G805" t="s">
        <v>3889</v>
      </c>
      <c r="H805">
        <v>30000</v>
      </c>
      <c r="I805" t="s">
        <v>3889</v>
      </c>
      <c r="J805">
        <v>30000</v>
      </c>
      <c r="K805">
        <v>120000</v>
      </c>
      <c r="L805" t="s">
        <v>118</v>
      </c>
      <c r="M805" t="s">
        <v>91</v>
      </c>
      <c r="N805" t="s">
        <v>136</v>
      </c>
      <c r="O805" t="s">
        <v>3422</v>
      </c>
      <c r="P805" s="5" t="s">
        <v>3318</v>
      </c>
      <c r="Q805">
        <v>4</v>
      </c>
    </row>
    <row r="806" spans="1:17" x14ac:dyDescent="0.3">
      <c r="A806" s="4">
        <v>44632</v>
      </c>
      <c r="B806" t="s">
        <v>4378</v>
      </c>
      <c r="C806" t="s">
        <v>3384</v>
      </c>
      <c r="D806" s="77">
        <v>0.61736111111111114</v>
      </c>
      <c r="E806" t="s">
        <v>3314</v>
      </c>
      <c r="F806">
        <v>44</v>
      </c>
      <c r="G806" t="s">
        <v>3315</v>
      </c>
      <c r="H806">
        <v>20000</v>
      </c>
      <c r="I806" t="s">
        <v>3316</v>
      </c>
      <c r="J806">
        <v>20000</v>
      </c>
      <c r="K806">
        <v>80000</v>
      </c>
      <c r="L806" t="s">
        <v>118</v>
      </c>
      <c r="M806" t="s">
        <v>91</v>
      </c>
      <c r="N806" t="s">
        <v>136</v>
      </c>
      <c r="O806" t="s">
        <v>3422</v>
      </c>
      <c r="P806" s="5" t="s">
        <v>3318</v>
      </c>
      <c r="Q806">
        <v>4</v>
      </c>
    </row>
    <row r="807" spans="1:17" x14ac:dyDescent="0.3">
      <c r="A807" s="4">
        <v>44632</v>
      </c>
      <c r="B807" t="s">
        <v>4379</v>
      </c>
      <c r="C807" t="s">
        <v>4380</v>
      </c>
      <c r="D807" s="77">
        <v>0.625</v>
      </c>
      <c r="E807" t="s">
        <v>3314</v>
      </c>
      <c r="F807">
        <v>54</v>
      </c>
      <c r="G807" t="s">
        <v>3315</v>
      </c>
      <c r="H807">
        <v>30000</v>
      </c>
      <c r="I807" t="s">
        <v>3316</v>
      </c>
      <c r="J807">
        <v>30000</v>
      </c>
      <c r="K807">
        <v>135000</v>
      </c>
      <c r="L807" t="s">
        <v>113</v>
      </c>
      <c r="M807" t="s">
        <v>22</v>
      </c>
      <c r="N807" t="s">
        <v>98</v>
      </c>
      <c r="O807" t="s">
        <v>3437</v>
      </c>
      <c r="P807" s="5" t="s">
        <v>3318</v>
      </c>
      <c r="Q807">
        <v>4.5</v>
      </c>
    </row>
    <row r="808" spans="1:17" x14ac:dyDescent="0.3">
      <c r="A808" s="4">
        <v>44632</v>
      </c>
      <c r="B808" t="s">
        <v>4381</v>
      </c>
      <c r="C808" t="s">
        <v>3579</v>
      </c>
      <c r="D808" s="77">
        <v>0.62777777777777777</v>
      </c>
      <c r="E808" t="s">
        <v>3332</v>
      </c>
      <c r="F808">
        <v>44</v>
      </c>
      <c r="G808" t="s">
        <v>3315</v>
      </c>
      <c r="H808">
        <v>30000</v>
      </c>
      <c r="I808" t="s">
        <v>3834</v>
      </c>
      <c r="J808">
        <v>30000</v>
      </c>
      <c r="K808">
        <v>120000</v>
      </c>
      <c r="L808" t="s">
        <v>118</v>
      </c>
      <c r="M808" t="s">
        <v>145</v>
      </c>
      <c r="N808" t="s">
        <v>146</v>
      </c>
      <c r="O808" t="s">
        <v>3333</v>
      </c>
      <c r="P808" s="5" t="s">
        <v>3318</v>
      </c>
      <c r="Q808">
        <v>4</v>
      </c>
    </row>
    <row r="809" spans="1:17" x14ac:dyDescent="0.3">
      <c r="A809" s="4">
        <v>44632</v>
      </c>
      <c r="B809" t="s">
        <v>4382</v>
      </c>
      <c r="C809" t="s">
        <v>3480</v>
      </c>
      <c r="D809" s="77">
        <v>0.63402777777777775</v>
      </c>
      <c r="E809" t="s">
        <v>3314</v>
      </c>
      <c r="F809">
        <v>52</v>
      </c>
      <c r="G809" t="s">
        <v>3315</v>
      </c>
      <c r="H809">
        <v>20000</v>
      </c>
      <c r="I809" t="s">
        <v>3316</v>
      </c>
      <c r="J809">
        <v>20000</v>
      </c>
      <c r="K809">
        <v>80000</v>
      </c>
      <c r="L809" t="s">
        <v>118</v>
      </c>
      <c r="M809" t="s">
        <v>94</v>
      </c>
      <c r="N809" t="s">
        <v>138</v>
      </c>
      <c r="O809" t="s">
        <v>3775</v>
      </c>
      <c r="P809" s="5" t="s">
        <v>3318</v>
      </c>
      <c r="Q809">
        <v>4</v>
      </c>
    </row>
    <row r="810" spans="1:17" x14ac:dyDescent="0.3">
      <c r="A810" s="4">
        <v>44632</v>
      </c>
      <c r="B810" t="s">
        <v>4383</v>
      </c>
      <c r="C810" t="s">
        <v>3480</v>
      </c>
      <c r="D810" s="77">
        <v>0.64583333333333337</v>
      </c>
      <c r="E810" t="s">
        <v>3314</v>
      </c>
      <c r="F810">
        <v>63</v>
      </c>
      <c r="G810" t="s">
        <v>3315</v>
      </c>
      <c r="H810">
        <v>20000</v>
      </c>
      <c r="I810" t="s">
        <v>3316</v>
      </c>
      <c r="J810">
        <v>20000</v>
      </c>
      <c r="K810">
        <v>80000</v>
      </c>
      <c r="L810" t="s">
        <v>118</v>
      </c>
      <c r="M810" t="s">
        <v>94</v>
      </c>
      <c r="N810" t="s">
        <v>138</v>
      </c>
      <c r="O810" t="s">
        <v>3775</v>
      </c>
      <c r="P810" s="5" t="s">
        <v>3318</v>
      </c>
      <c r="Q810">
        <v>4</v>
      </c>
    </row>
    <row r="811" spans="1:17" x14ac:dyDescent="0.3">
      <c r="A811" s="4">
        <v>44632</v>
      </c>
      <c r="B811" t="s">
        <v>4384</v>
      </c>
      <c r="C811" t="s">
        <v>3480</v>
      </c>
      <c r="D811" s="77">
        <v>0.66666666666666663</v>
      </c>
      <c r="E811" t="s">
        <v>3314</v>
      </c>
      <c r="F811">
        <v>58</v>
      </c>
      <c r="G811" t="s">
        <v>3315</v>
      </c>
      <c r="H811">
        <v>20000</v>
      </c>
      <c r="I811" t="s">
        <v>3834</v>
      </c>
      <c r="J811">
        <v>20000</v>
      </c>
      <c r="K811">
        <v>80000</v>
      </c>
      <c r="L811" t="s">
        <v>118</v>
      </c>
      <c r="M811" t="s">
        <v>94</v>
      </c>
      <c r="N811" t="s">
        <v>138</v>
      </c>
      <c r="O811" t="s">
        <v>3775</v>
      </c>
      <c r="P811" s="5" t="s">
        <v>3318</v>
      </c>
      <c r="Q811">
        <v>4</v>
      </c>
    </row>
    <row r="812" spans="1:17" x14ac:dyDescent="0.3">
      <c r="A812" s="4">
        <v>44632</v>
      </c>
      <c r="B812" t="s">
        <v>4385</v>
      </c>
      <c r="C812" t="s">
        <v>3368</v>
      </c>
      <c r="D812" s="77">
        <v>0.67361111111111116</v>
      </c>
      <c r="E812" t="s">
        <v>3314</v>
      </c>
      <c r="F812">
        <v>62</v>
      </c>
      <c r="G812" t="s">
        <v>3315</v>
      </c>
      <c r="H812">
        <v>30000</v>
      </c>
      <c r="I812" t="s">
        <v>3316</v>
      </c>
      <c r="J812">
        <v>30000</v>
      </c>
      <c r="K812">
        <v>120000</v>
      </c>
      <c r="L812" t="s">
        <v>118</v>
      </c>
      <c r="M812" t="s">
        <v>85</v>
      </c>
      <c r="N812" t="s">
        <v>109</v>
      </c>
      <c r="O812" t="s">
        <v>3342</v>
      </c>
      <c r="P812" s="5" t="s">
        <v>3318</v>
      </c>
      <c r="Q812">
        <v>4</v>
      </c>
    </row>
    <row r="813" spans="1:17" x14ac:dyDescent="0.3">
      <c r="A813" s="4">
        <v>44632</v>
      </c>
      <c r="B813" t="s">
        <v>4386</v>
      </c>
      <c r="C813" t="s">
        <v>3843</v>
      </c>
      <c r="D813" s="77">
        <v>0.67708333333333337</v>
      </c>
      <c r="E813" t="s">
        <v>3314</v>
      </c>
      <c r="F813">
        <v>42</v>
      </c>
      <c r="G813" t="s">
        <v>3315</v>
      </c>
      <c r="H813">
        <v>20000</v>
      </c>
      <c r="I813" t="s">
        <v>3834</v>
      </c>
      <c r="J813">
        <v>20000</v>
      </c>
      <c r="K813">
        <v>90000</v>
      </c>
      <c r="L813" t="s">
        <v>119</v>
      </c>
      <c r="M813" t="s">
        <v>29</v>
      </c>
      <c r="N813" t="s">
        <v>104</v>
      </c>
      <c r="O813" t="s">
        <v>3457</v>
      </c>
      <c r="P813" s="5" t="s">
        <v>3318</v>
      </c>
      <c r="Q813">
        <v>4.5</v>
      </c>
    </row>
    <row r="814" spans="1:17" x14ac:dyDescent="0.3">
      <c r="A814" s="4">
        <v>44632</v>
      </c>
      <c r="B814" t="s">
        <v>4387</v>
      </c>
      <c r="C814" t="s">
        <v>4380</v>
      </c>
      <c r="D814" s="77">
        <v>0.68263888888888891</v>
      </c>
      <c r="E814" t="s">
        <v>3314</v>
      </c>
      <c r="F814">
        <v>53</v>
      </c>
      <c r="G814" t="s">
        <v>3315</v>
      </c>
      <c r="H814">
        <v>30000</v>
      </c>
      <c r="I814" t="s">
        <v>3316</v>
      </c>
      <c r="J814">
        <v>30000</v>
      </c>
      <c r="K814">
        <v>135000</v>
      </c>
      <c r="L814" t="s">
        <v>119</v>
      </c>
      <c r="M814" t="s">
        <v>27</v>
      </c>
      <c r="N814" t="s">
        <v>101</v>
      </c>
      <c r="O814" t="s">
        <v>3803</v>
      </c>
      <c r="P814" s="5" t="s">
        <v>3318</v>
      </c>
      <c r="Q814">
        <v>4.5</v>
      </c>
    </row>
    <row r="815" spans="1:17" x14ac:dyDescent="0.3">
      <c r="A815" s="4">
        <v>44632</v>
      </c>
      <c r="B815" t="s">
        <v>4388</v>
      </c>
      <c r="C815" t="s">
        <v>3384</v>
      </c>
      <c r="D815" s="77">
        <v>0.68611111111111101</v>
      </c>
      <c r="E815" t="s">
        <v>3314</v>
      </c>
      <c r="F815">
        <v>50</v>
      </c>
      <c r="G815" t="s">
        <v>3315</v>
      </c>
      <c r="H815">
        <v>20000</v>
      </c>
      <c r="I815" t="s">
        <v>3316</v>
      </c>
      <c r="J815">
        <v>20000</v>
      </c>
      <c r="K815">
        <v>90000</v>
      </c>
      <c r="L815" t="s">
        <v>116</v>
      </c>
      <c r="M815" t="s">
        <v>77</v>
      </c>
      <c r="N815" t="s">
        <v>133</v>
      </c>
      <c r="O815" t="s">
        <v>3376</v>
      </c>
      <c r="P815" s="5" t="s">
        <v>3318</v>
      </c>
      <c r="Q815">
        <v>4.5</v>
      </c>
    </row>
    <row r="816" spans="1:17" x14ac:dyDescent="0.3">
      <c r="A816" s="4">
        <v>44632</v>
      </c>
      <c r="B816" t="s">
        <v>4389</v>
      </c>
      <c r="C816" t="s">
        <v>3480</v>
      </c>
      <c r="D816" s="77">
        <v>0.6875</v>
      </c>
      <c r="E816" t="s">
        <v>3314</v>
      </c>
      <c r="F816">
        <v>66</v>
      </c>
      <c r="G816" t="s">
        <v>3315</v>
      </c>
      <c r="H816">
        <v>20000</v>
      </c>
      <c r="I816" t="s">
        <v>3316</v>
      </c>
      <c r="J816">
        <v>20000</v>
      </c>
      <c r="K816">
        <v>80000</v>
      </c>
      <c r="L816" t="s">
        <v>118</v>
      </c>
      <c r="M816" t="s">
        <v>94</v>
      </c>
      <c r="N816" t="s">
        <v>138</v>
      </c>
      <c r="O816" t="s">
        <v>3775</v>
      </c>
      <c r="P816" s="5" t="s">
        <v>3318</v>
      </c>
      <c r="Q816">
        <v>4</v>
      </c>
    </row>
    <row r="817" spans="1:17" x14ac:dyDescent="0.3">
      <c r="A817" s="4">
        <v>44632</v>
      </c>
      <c r="B817" t="s">
        <v>4390</v>
      </c>
      <c r="C817" t="s">
        <v>4318</v>
      </c>
      <c r="D817" s="77">
        <v>0.6875</v>
      </c>
      <c r="E817" t="s">
        <v>3314</v>
      </c>
      <c r="F817">
        <v>48</v>
      </c>
      <c r="G817" t="s">
        <v>3315</v>
      </c>
      <c r="H817">
        <v>30000</v>
      </c>
      <c r="I817" t="s">
        <v>3316</v>
      </c>
      <c r="J817">
        <v>30000</v>
      </c>
      <c r="K817">
        <v>120000</v>
      </c>
      <c r="L817" t="s">
        <v>118</v>
      </c>
      <c r="M817" t="s">
        <v>87</v>
      </c>
      <c r="N817" t="s">
        <v>134</v>
      </c>
      <c r="O817" t="s">
        <v>3528</v>
      </c>
      <c r="P817" s="5" t="s">
        <v>3318</v>
      </c>
      <c r="Q817">
        <v>4</v>
      </c>
    </row>
    <row r="818" spans="1:17" x14ac:dyDescent="0.3">
      <c r="A818" s="4">
        <v>44632</v>
      </c>
      <c r="B818" t="s">
        <v>4391</v>
      </c>
      <c r="C818" t="s">
        <v>3480</v>
      </c>
      <c r="D818" s="77">
        <v>0.70347222222222217</v>
      </c>
      <c r="E818" t="s">
        <v>3314</v>
      </c>
      <c r="F818">
        <v>52</v>
      </c>
      <c r="G818" t="s">
        <v>3889</v>
      </c>
      <c r="H818">
        <v>20000</v>
      </c>
      <c r="I818" t="s">
        <v>3889</v>
      </c>
      <c r="J818">
        <v>20000</v>
      </c>
      <c r="K818">
        <v>80000</v>
      </c>
      <c r="L818" t="s">
        <v>118</v>
      </c>
      <c r="M818" t="s">
        <v>94</v>
      </c>
      <c r="N818" t="s">
        <v>138</v>
      </c>
      <c r="O818" t="s">
        <v>3775</v>
      </c>
      <c r="P818" s="5" t="s">
        <v>3318</v>
      </c>
      <c r="Q818">
        <v>4</v>
      </c>
    </row>
    <row r="819" spans="1:17" x14ac:dyDescent="0.3">
      <c r="A819" s="4">
        <v>44632</v>
      </c>
      <c r="B819" t="s">
        <v>4392</v>
      </c>
      <c r="C819" t="s">
        <v>3368</v>
      </c>
      <c r="D819" s="77">
        <v>0.70416666666666661</v>
      </c>
      <c r="E819" t="s">
        <v>3314</v>
      </c>
      <c r="F819">
        <v>39</v>
      </c>
      <c r="G819" t="s">
        <v>3315</v>
      </c>
      <c r="H819">
        <v>30000</v>
      </c>
      <c r="I819" t="s">
        <v>3834</v>
      </c>
      <c r="J819">
        <v>30000</v>
      </c>
      <c r="K819">
        <v>120000</v>
      </c>
      <c r="L819" t="s">
        <v>118</v>
      </c>
      <c r="M819" t="s">
        <v>84</v>
      </c>
      <c r="N819" t="s">
        <v>108</v>
      </c>
      <c r="O819" t="s">
        <v>3366</v>
      </c>
      <c r="P819" s="5" t="s">
        <v>3318</v>
      </c>
      <c r="Q819">
        <v>4</v>
      </c>
    </row>
    <row r="820" spans="1:17" x14ac:dyDescent="0.3">
      <c r="A820" s="4">
        <v>44632</v>
      </c>
      <c r="B820" t="s">
        <v>4393</v>
      </c>
      <c r="C820" t="s">
        <v>4318</v>
      </c>
      <c r="D820" s="77">
        <v>0.70833333333333337</v>
      </c>
      <c r="E820" t="s">
        <v>3314</v>
      </c>
      <c r="F820">
        <v>51</v>
      </c>
      <c r="G820" t="s">
        <v>3315</v>
      </c>
      <c r="H820">
        <v>20000</v>
      </c>
      <c r="I820" t="s">
        <v>3316</v>
      </c>
      <c r="J820">
        <v>20000</v>
      </c>
      <c r="K820">
        <v>80000</v>
      </c>
      <c r="L820" t="s">
        <v>118</v>
      </c>
      <c r="M820" t="s">
        <v>87</v>
      </c>
      <c r="N820" t="s">
        <v>134</v>
      </c>
      <c r="O820" t="s">
        <v>3528</v>
      </c>
      <c r="P820" s="5" t="s">
        <v>3318</v>
      </c>
      <c r="Q820">
        <v>4</v>
      </c>
    </row>
    <row r="821" spans="1:17" x14ac:dyDescent="0.3">
      <c r="A821" s="4">
        <v>44632</v>
      </c>
      <c r="B821" t="s">
        <v>4394</v>
      </c>
      <c r="C821" t="s">
        <v>4395</v>
      </c>
      <c r="D821" s="77">
        <v>0.70833333333333337</v>
      </c>
      <c r="E821" t="s">
        <v>3314</v>
      </c>
      <c r="F821">
        <v>58</v>
      </c>
      <c r="G821" t="s">
        <v>3315</v>
      </c>
      <c r="H821">
        <v>20000</v>
      </c>
      <c r="I821" t="s">
        <v>3316</v>
      </c>
      <c r="J821">
        <v>20000</v>
      </c>
      <c r="K821">
        <v>80000</v>
      </c>
      <c r="L821" t="s">
        <v>118</v>
      </c>
      <c r="M821" t="s">
        <v>28</v>
      </c>
      <c r="N821" t="s">
        <v>132</v>
      </c>
      <c r="O821" t="s">
        <v>3449</v>
      </c>
      <c r="P821" s="5" t="s">
        <v>3318</v>
      </c>
      <c r="Q821">
        <v>4</v>
      </c>
    </row>
    <row r="822" spans="1:17" x14ac:dyDescent="0.3">
      <c r="A822" s="4">
        <v>44632</v>
      </c>
      <c r="B822" t="s">
        <v>4396</v>
      </c>
      <c r="C822" t="s">
        <v>4318</v>
      </c>
      <c r="D822" s="77">
        <v>0.70833333333333337</v>
      </c>
      <c r="E822" t="s">
        <v>3314</v>
      </c>
      <c r="F822">
        <v>26</v>
      </c>
      <c r="G822" t="s">
        <v>3315</v>
      </c>
      <c r="H822">
        <v>20000</v>
      </c>
      <c r="I822" t="s">
        <v>3834</v>
      </c>
      <c r="J822">
        <v>20000</v>
      </c>
      <c r="K822">
        <v>90000</v>
      </c>
      <c r="L822" t="s">
        <v>116</v>
      </c>
      <c r="M822" t="s">
        <v>76</v>
      </c>
      <c r="N822" t="s">
        <v>107</v>
      </c>
      <c r="O822" t="s">
        <v>3321</v>
      </c>
      <c r="P822" s="5" t="s">
        <v>3318</v>
      </c>
      <c r="Q822">
        <v>4.5</v>
      </c>
    </row>
    <row r="823" spans="1:17" x14ac:dyDescent="0.3">
      <c r="A823" s="4">
        <v>44632</v>
      </c>
      <c r="B823" t="s">
        <v>4397</v>
      </c>
      <c r="C823" t="s">
        <v>3391</v>
      </c>
      <c r="D823" s="77">
        <v>0.72361111111111109</v>
      </c>
      <c r="E823" t="s">
        <v>3332</v>
      </c>
      <c r="F823">
        <v>31</v>
      </c>
      <c r="G823" t="s">
        <v>3315</v>
      </c>
      <c r="H823">
        <v>20000</v>
      </c>
      <c r="I823" t="s">
        <v>3834</v>
      </c>
      <c r="J823">
        <v>20000</v>
      </c>
      <c r="K823">
        <v>80000</v>
      </c>
      <c r="L823" t="s">
        <v>118</v>
      </c>
      <c r="M823" t="s">
        <v>147</v>
      </c>
      <c r="N823" t="s">
        <v>148</v>
      </c>
      <c r="O823" t="s">
        <v>3354</v>
      </c>
      <c r="P823" s="5" t="s">
        <v>3318</v>
      </c>
      <c r="Q823">
        <v>4</v>
      </c>
    </row>
    <row r="824" spans="1:17" x14ac:dyDescent="0.3">
      <c r="A824" s="4">
        <v>44632</v>
      </c>
      <c r="B824" t="s">
        <v>4398</v>
      </c>
      <c r="C824" t="s">
        <v>3368</v>
      </c>
      <c r="D824" s="77">
        <v>0.73263888888888884</v>
      </c>
      <c r="E824" t="s">
        <v>3314</v>
      </c>
      <c r="F824">
        <v>41</v>
      </c>
      <c r="G824" t="s">
        <v>3315</v>
      </c>
      <c r="H824">
        <v>30000</v>
      </c>
      <c r="I824" t="s">
        <v>3316</v>
      </c>
      <c r="J824">
        <v>30000</v>
      </c>
      <c r="K824">
        <v>135000</v>
      </c>
      <c r="L824" t="s">
        <v>114</v>
      </c>
      <c r="M824" t="s">
        <v>30</v>
      </c>
      <c r="N824" t="s">
        <v>106</v>
      </c>
      <c r="O824" t="s">
        <v>3379</v>
      </c>
      <c r="P824" s="5" t="s">
        <v>3318</v>
      </c>
      <c r="Q824">
        <v>4.5</v>
      </c>
    </row>
    <row r="825" spans="1:17" x14ac:dyDescent="0.3">
      <c r="A825" s="4">
        <v>44632</v>
      </c>
      <c r="B825" t="s">
        <v>4399</v>
      </c>
      <c r="C825" t="s">
        <v>4400</v>
      </c>
      <c r="D825" s="77">
        <v>0.74305555555555547</v>
      </c>
      <c r="E825" t="s">
        <v>3314</v>
      </c>
      <c r="F825">
        <v>49</v>
      </c>
      <c r="G825" t="s">
        <v>3315</v>
      </c>
      <c r="H825">
        <v>20000</v>
      </c>
      <c r="I825" t="s">
        <v>3316</v>
      </c>
      <c r="J825">
        <v>20000</v>
      </c>
      <c r="K825">
        <v>80000</v>
      </c>
      <c r="L825" t="s">
        <v>118</v>
      </c>
      <c r="M825" t="s">
        <v>92</v>
      </c>
      <c r="N825" t="s">
        <v>137</v>
      </c>
      <c r="O825" t="s">
        <v>3476</v>
      </c>
      <c r="P825" s="5" t="s">
        <v>3318</v>
      </c>
      <c r="Q825">
        <v>4</v>
      </c>
    </row>
    <row r="826" spans="1:17" x14ac:dyDescent="0.3">
      <c r="A826" s="4">
        <v>44632</v>
      </c>
      <c r="B826" t="s">
        <v>4401</v>
      </c>
      <c r="C826" t="s">
        <v>3480</v>
      </c>
      <c r="D826" s="77">
        <v>0.74652777777777779</v>
      </c>
      <c r="E826" t="s">
        <v>3314</v>
      </c>
      <c r="F826">
        <v>72</v>
      </c>
      <c r="G826" t="s">
        <v>3315</v>
      </c>
      <c r="H826">
        <v>20000</v>
      </c>
      <c r="I826" t="s">
        <v>3316</v>
      </c>
      <c r="J826">
        <v>20000</v>
      </c>
      <c r="K826">
        <v>80000</v>
      </c>
      <c r="L826" t="s">
        <v>118</v>
      </c>
      <c r="M826" t="s">
        <v>94</v>
      </c>
      <c r="N826" t="s">
        <v>138</v>
      </c>
      <c r="O826" t="s">
        <v>3775</v>
      </c>
      <c r="P826" s="5" t="s">
        <v>3318</v>
      </c>
      <c r="Q826">
        <v>4</v>
      </c>
    </row>
    <row r="827" spans="1:17" x14ac:dyDescent="0.3">
      <c r="A827" s="4">
        <v>44632</v>
      </c>
      <c r="B827" t="s">
        <v>4402</v>
      </c>
      <c r="C827" t="s">
        <v>3480</v>
      </c>
      <c r="D827" s="77">
        <v>0.74861111111111101</v>
      </c>
      <c r="E827" t="s">
        <v>3314</v>
      </c>
      <c r="F827">
        <v>67</v>
      </c>
      <c r="G827" t="s">
        <v>3315</v>
      </c>
      <c r="H827">
        <v>30000</v>
      </c>
      <c r="I827" t="s">
        <v>3316</v>
      </c>
      <c r="J827">
        <v>30000</v>
      </c>
      <c r="K827">
        <v>120000</v>
      </c>
      <c r="L827" t="s">
        <v>118</v>
      </c>
      <c r="M827" t="s">
        <v>3033</v>
      </c>
      <c r="N827" t="s">
        <v>3035</v>
      </c>
      <c r="O827" t="s">
        <v>3542</v>
      </c>
      <c r="P827" s="5" t="s">
        <v>3318</v>
      </c>
      <c r="Q827">
        <v>4</v>
      </c>
    </row>
    <row r="828" spans="1:17" x14ac:dyDescent="0.3">
      <c r="A828" s="4">
        <v>44632</v>
      </c>
      <c r="B828" t="s">
        <v>4403</v>
      </c>
      <c r="C828" t="s">
        <v>4400</v>
      </c>
      <c r="D828" s="77">
        <v>0.75763888888888886</v>
      </c>
      <c r="E828" t="s">
        <v>3314</v>
      </c>
      <c r="F828">
        <v>49</v>
      </c>
      <c r="G828" t="s">
        <v>3315</v>
      </c>
      <c r="H828">
        <v>20000</v>
      </c>
      <c r="I828" t="s">
        <v>3316</v>
      </c>
      <c r="J828">
        <v>20000</v>
      </c>
      <c r="K828">
        <v>80000</v>
      </c>
      <c r="L828" t="s">
        <v>118</v>
      </c>
      <c r="M828" t="s">
        <v>92</v>
      </c>
      <c r="N828" t="s">
        <v>137</v>
      </c>
      <c r="O828" t="s">
        <v>3476</v>
      </c>
      <c r="P828" s="5" t="s">
        <v>3318</v>
      </c>
      <c r="Q828">
        <v>4</v>
      </c>
    </row>
    <row r="829" spans="1:17" x14ac:dyDescent="0.3">
      <c r="A829" s="4">
        <v>44632</v>
      </c>
      <c r="B829" t="s">
        <v>4404</v>
      </c>
      <c r="C829" t="s">
        <v>4318</v>
      </c>
      <c r="D829" s="77">
        <v>0.76041666666666663</v>
      </c>
      <c r="E829" t="s">
        <v>3314</v>
      </c>
      <c r="F829">
        <v>64</v>
      </c>
      <c r="G829" t="s">
        <v>3315</v>
      </c>
      <c r="H829">
        <v>20000</v>
      </c>
      <c r="I829" t="s">
        <v>3834</v>
      </c>
      <c r="J829">
        <v>20000</v>
      </c>
      <c r="K829">
        <v>90000</v>
      </c>
      <c r="L829" t="s">
        <v>116</v>
      </c>
      <c r="M829" t="s">
        <v>76</v>
      </c>
      <c r="N829" t="s">
        <v>107</v>
      </c>
      <c r="O829" t="s">
        <v>3321</v>
      </c>
      <c r="P829" s="5" t="s">
        <v>3318</v>
      </c>
      <c r="Q829">
        <v>4.5</v>
      </c>
    </row>
    <row r="830" spans="1:17" x14ac:dyDescent="0.3">
      <c r="A830" s="4">
        <v>44632</v>
      </c>
      <c r="B830" t="s">
        <v>4405</v>
      </c>
      <c r="C830" t="s">
        <v>3391</v>
      </c>
      <c r="D830" s="77">
        <v>0.7631944444444444</v>
      </c>
      <c r="E830" t="s">
        <v>3332</v>
      </c>
      <c r="F830">
        <v>27</v>
      </c>
      <c r="G830" t="s">
        <v>3315</v>
      </c>
      <c r="H830">
        <v>30000</v>
      </c>
      <c r="I830" t="s">
        <v>3316</v>
      </c>
      <c r="J830">
        <v>30000</v>
      </c>
      <c r="K830">
        <v>120000</v>
      </c>
      <c r="L830" t="s">
        <v>118</v>
      </c>
      <c r="M830" t="s">
        <v>147</v>
      </c>
      <c r="N830" t="s">
        <v>148</v>
      </c>
      <c r="O830" t="s">
        <v>3354</v>
      </c>
      <c r="P830" s="5" t="s">
        <v>3318</v>
      </c>
      <c r="Q830">
        <v>4</v>
      </c>
    </row>
    <row r="831" spans="1:17" x14ac:dyDescent="0.3">
      <c r="A831" s="4">
        <v>44632</v>
      </c>
      <c r="B831" t="s">
        <v>4406</v>
      </c>
      <c r="C831" t="s">
        <v>3368</v>
      </c>
      <c r="D831" s="77">
        <v>0.78055555555555556</v>
      </c>
      <c r="E831" t="s">
        <v>3314</v>
      </c>
      <c r="F831">
        <v>54</v>
      </c>
      <c r="G831" t="s">
        <v>3315</v>
      </c>
      <c r="H831">
        <v>20000</v>
      </c>
      <c r="I831" t="s">
        <v>3316</v>
      </c>
      <c r="J831">
        <v>20000</v>
      </c>
      <c r="K831">
        <v>90000</v>
      </c>
      <c r="L831" t="s">
        <v>114</v>
      </c>
      <c r="M831" t="s">
        <v>30</v>
      </c>
      <c r="N831" t="s">
        <v>106</v>
      </c>
      <c r="O831" t="s">
        <v>3379</v>
      </c>
      <c r="P831" s="5" t="s">
        <v>3318</v>
      </c>
      <c r="Q831">
        <v>4.5</v>
      </c>
    </row>
    <row r="832" spans="1:17" x14ac:dyDescent="0.3">
      <c r="A832" s="4">
        <v>44632</v>
      </c>
      <c r="B832" t="s">
        <v>4407</v>
      </c>
      <c r="C832" t="s">
        <v>4395</v>
      </c>
      <c r="D832" s="77">
        <v>0.83333333333333337</v>
      </c>
      <c r="E832" t="s">
        <v>3314</v>
      </c>
      <c r="F832">
        <v>49</v>
      </c>
      <c r="G832" t="s">
        <v>3315</v>
      </c>
      <c r="H832">
        <v>20000</v>
      </c>
      <c r="I832" t="s">
        <v>3316</v>
      </c>
      <c r="J832">
        <v>20000</v>
      </c>
      <c r="K832">
        <v>80000</v>
      </c>
      <c r="L832" t="s">
        <v>118</v>
      </c>
      <c r="M832" t="s">
        <v>28</v>
      </c>
      <c r="N832" t="s">
        <v>132</v>
      </c>
      <c r="O832" t="s">
        <v>3449</v>
      </c>
      <c r="P832" s="5" t="s">
        <v>3318</v>
      </c>
      <c r="Q832">
        <v>4</v>
      </c>
    </row>
    <row r="833" spans="1:17" x14ac:dyDescent="0.3">
      <c r="A833" s="4">
        <v>44634</v>
      </c>
      <c r="B833" t="s">
        <v>4408</v>
      </c>
      <c r="C833" t="s">
        <v>4409</v>
      </c>
      <c r="D833" s="77">
        <v>0.44027777777777777</v>
      </c>
      <c r="E833" t="s">
        <v>3314</v>
      </c>
      <c r="F833">
        <v>32</v>
      </c>
      <c r="G833" t="s">
        <v>3315</v>
      </c>
      <c r="H833">
        <v>30000</v>
      </c>
      <c r="I833" t="s">
        <v>3316</v>
      </c>
      <c r="J833">
        <v>30000</v>
      </c>
      <c r="K833">
        <v>135000</v>
      </c>
      <c r="L833" t="s">
        <v>114</v>
      </c>
      <c r="M833" t="s">
        <v>79</v>
      </c>
      <c r="N833" t="s">
        <v>131</v>
      </c>
      <c r="O833" t="s">
        <v>3465</v>
      </c>
      <c r="P833" s="5" t="s">
        <v>3318</v>
      </c>
      <c r="Q833">
        <v>4.5</v>
      </c>
    </row>
    <row r="834" spans="1:17" x14ac:dyDescent="0.3">
      <c r="A834" s="4">
        <v>44634</v>
      </c>
      <c r="B834" t="s">
        <v>4410</v>
      </c>
      <c r="C834" t="s">
        <v>4411</v>
      </c>
      <c r="D834" s="77">
        <v>0.48402777777777778</v>
      </c>
      <c r="E834" t="s">
        <v>3314</v>
      </c>
      <c r="F834">
        <v>33</v>
      </c>
      <c r="G834" t="s">
        <v>3889</v>
      </c>
      <c r="H834">
        <v>20000</v>
      </c>
      <c r="I834" t="s">
        <v>3889</v>
      </c>
      <c r="J834">
        <v>20000</v>
      </c>
      <c r="K834">
        <v>80000</v>
      </c>
      <c r="L834" t="s">
        <v>118</v>
      </c>
      <c r="M834" t="s">
        <v>91</v>
      </c>
      <c r="N834" t="s">
        <v>136</v>
      </c>
      <c r="O834" t="s">
        <v>3422</v>
      </c>
      <c r="P834" s="5" t="s">
        <v>3318</v>
      </c>
      <c r="Q834">
        <v>4</v>
      </c>
    </row>
    <row r="835" spans="1:17" x14ac:dyDescent="0.3">
      <c r="A835" s="4">
        <v>44634</v>
      </c>
      <c r="B835" t="s">
        <v>4412</v>
      </c>
      <c r="C835" t="s">
        <v>4411</v>
      </c>
      <c r="D835" s="77">
        <v>0.50208333333333333</v>
      </c>
      <c r="E835" t="s">
        <v>3314</v>
      </c>
      <c r="F835">
        <v>55</v>
      </c>
      <c r="G835" t="s">
        <v>3315</v>
      </c>
      <c r="H835">
        <v>30000</v>
      </c>
      <c r="I835" t="s">
        <v>3316</v>
      </c>
      <c r="J835">
        <v>30000</v>
      </c>
      <c r="K835">
        <v>120000</v>
      </c>
      <c r="L835" t="s">
        <v>118</v>
      </c>
      <c r="M835" t="s">
        <v>91</v>
      </c>
      <c r="N835" t="s">
        <v>136</v>
      </c>
      <c r="O835" t="s">
        <v>3422</v>
      </c>
      <c r="P835" s="5" t="s">
        <v>3318</v>
      </c>
      <c r="Q835">
        <v>4</v>
      </c>
    </row>
    <row r="836" spans="1:17" x14ac:dyDescent="0.3">
      <c r="A836" s="4">
        <v>44634</v>
      </c>
      <c r="B836" t="s">
        <v>4413</v>
      </c>
      <c r="C836" t="s">
        <v>4414</v>
      </c>
      <c r="D836" s="77">
        <v>0.50347222222222221</v>
      </c>
      <c r="E836" t="s">
        <v>3332</v>
      </c>
      <c r="F836">
        <v>61</v>
      </c>
      <c r="G836" t="s">
        <v>3315</v>
      </c>
      <c r="H836">
        <v>30000</v>
      </c>
      <c r="I836" t="s">
        <v>3316</v>
      </c>
      <c r="J836">
        <v>30000</v>
      </c>
      <c r="K836">
        <v>150000</v>
      </c>
      <c r="L836" t="s">
        <v>114</v>
      </c>
      <c r="M836" t="s">
        <v>23</v>
      </c>
      <c r="N836" t="s">
        <v>99</v>
      </c>
      <c r="O836" t="s">
        <v>3358</v>
      </c>
      <c r="P836" s="5" t="s">
        <v>3318</v>
      </c>
      <c r="Q836">
        <v>5</v>
      </c>
    </row>
    <row r="837" spans="1:17" x14ac:dyDescent="0.3">
      <c r="A837" s="4">
        <v>44634</v>
      </c>
      <c r="B837" t="s">
        <v>4415</v>
      </c>
      <c r="C837" t="s">
        <v>4416</v>
      </c>
      <c r="D837" s="77">
        <v>0.57986111111111105</v>
      </c>
      <c r="E837" t="s">
        <v>3314</v>
      </c>
      <c r="F837">
        <v>46</v>
      </c>
      <c r="G837" t="s">
        <v>3315</v>
      </c>
      <c r="H837">
        <v>20000</v>
      </c>
      <c r="I837" t="s">
        <v>3316</v>
      </c>
      <c r="J837">
        <v>20000</v>
      </c>
      <c r="K837">
        <v>80000</v>
      </c>
      <c r="L837" t="s">
        <v>118</v>
      </c>
      <c r="M837" t="s">
        <v>94</v>
      </c>
      <c r="N837" t="s">
        <v>138</v>
      </c>
      <c r="O837" t="s">
        <v>3775</v>
      </c>
      <c r="P837" s="5" t="s">
        <v>3318</v>
      </c>
      <c r="Q837">
        <v>4</v>
      </c>
    </row>
    <row r="838" spans="1:17" x14ac:dyDescent="0.3">
      <c r="A838" s="4">
        <v>44634</v>
      </c>
      <c r="B838" t="s">
        <v>4417</v>
      </c>
      <c r="C838" t="s">
        <v>4418</v>
      </c>
      <c r="D838" s="77">
        <v>0.58333333333333337</v>
      </c>
      <c r="E838" t="s">
        <v>3314</v>
      </c>
      <c r="F838">
        <v>72</v>
      </c>
      <c r="G838" t="s">
        <v>3315</v>
      </c>
      <c r="H838">
        <v>20000</v>
      </c>
      <c r="I838" t="s">
        <v>3316</v>
      </c>
      <c r="J838">
        <v>20000</v>
      </c>
      <c r="K838">
        <v>80000</v>
      </c>
      <c r="L838" t="s">
        <v>118</v>
      </c>
      <c r="M838" t="s">
        <v>24</v>
      </c>
      <c r="N838" t="s">
        <v>103</v>
      </c>
      <c r="O838" t="s">
        <v>3585</v>
      </c>
      <c r="P838" s="5" t="s">
        <v>3318</v>
      </c>
      <c r="Q838">
        <v>4</v>
      </c>
    </row>
    <row r="839" spans="1:17" x14ac:dyDescent="0.3">
      <c r="A839" s="4">
        <v>44634</v>
      </c>
      <c r="B839" t="s">
        <v>4419</v>
      </c>
      <c r="C839" t="s">
        <v>4409</v>
      </c>
      <c r="D839" s="77">
        <v>0.59166666666666667</v>
      </c>
      <c r="E839" t="s">
        <v>3314</v>
      </c>
      <c r="F839">
        <v>56</v>
      </c>
      <c r="G839" t="s">
        <v>3315</v>
      </c>
      <c r="H839">
        <v>20000</v>
      </c>
      <c r="I839" t="s">
        <v>3316</v>
      </c>
      <c r="J839">
        <v>20000</v>
      </c>
      <c r="K839">
        <v>90000</v>
      </c>
      <c r="L839" t="s">
        <v>114</v>
      </c>
      <c r="M839" t="s">
        <v>79</v>
      </c>
      <c r="N839" t="s">
        <v>131</v>
      </c>
      <c r="O839" t="s">
        <v>3465</v>
      </c>
      <c r="P839" s="5" t="s">
        <v>3318</v>
      </c>
      <c r="Q839">
        <v>4.5</v>
      </c>
    </row>
    <row r="840" spans="1:17" x14ac:dyDescent="0.3">
      <c r="A840" s="4">
        <v>44634</v>
      </c>
      <c r="B840" t="s">
        <v>4420</v>
      </c>
      <c r="C840" t="s">
        <v>4418</v>
      </c>
      <c r="D840" s="77">
        <v>0.60416666666666663</v>
      </c>
      <c r="E840" t="s">
        <v>3314</v>
      </c>
      <c r="F840">
        <v>58</v>
      </c>
      <c r="G840" t="s">
        <v>3315</v>
      </c>
      <c r="H840">
        <v>100000</v>
      </c>
      <c r="I840" t="s">
        <v>3316</v>
      </c>
      <c r="J840">
        <v>100000</v>
      </c>
      <c r="K840">
        <v>400000</v>
      </c>
      <c r="L840" t="s">
        <v>118</v>
      </c>
      <c r="M840" t="s">
        <v>24</v>
      </c>
      <c r="N840" t="s">
        <v>103</v>
      </c>
      <c r="O840" t="s">
        <v>3585</v>
      </c>
      <c r="P840" s="5" t="s">
        <v>3318</v>
      </c>
      <c r="Q840">
        <v>4</v>
      </c>
    </row>
    <row r="841" spans="1:17" x14ac:dyDescent="0.3">
      <c r="A841" s="4">
        <v>44634</v>
      </c>
      <c r="B841" t="s">
        <v>4421</v>
      </c>
      <c r="C841" t="s">
        <v>4409</v>
      </c>
      <c r="D841" s="77">
        <v>0.61458333333333337</v>
      </c>
      <c r="E841" t="s">
        <v>3314</v>
      </c>
      <c r="F841">
        <v>39</v>
      </c>
      <c r="G841" t="s">
        <v>3315</v>
      </c>
      <c r="H841">
        <v>20000</v>
      </c>
      <c r="I841" t="s">
        <v>3316</v>
      </c>
      <c r="J841">
        <v>20000</v>
      </c>
      <c r="K841">
        <v>90000</v>
      </c>
      <c r="L841" t="s">
        <v>114</v>
      </c>
      <c r="M841" t="s">
        <v>79</v>
      </c>
      <c r="N841" t="s">
        <v>131</v>
      </c>
      <c r="O841" t="s">
        <v>3465</v>
      </c>
      <c r="P841" s="5" t="s">
        <v>3318</v>
      </c>
      <c r="Q841">
        <v>4.5</v>
      </c>
    </row>
    <row r="842" spans="1:17" x14ac:dyDescent="0.3">
      <c r="A842" s="4">
        <v>44634</v>
      </c>
      <c r="B842" t="s">
        <v>4422</v>
      </c>
      <c r="C842" t="s">
        <v>4334</v>
      </c>
      <c r="D842" s="77">
        <v>0.6430555555555556</v>
      </c>
      <c r="E842" t="s">
        <v>3314</v>
      </c>
      <c r="F842">
        <v>60</v>
      </c>
      <c r="G842" t="s">
        <v>3315</v>
      </c>
      <c r="H842">
        <v>20000</v>
      </c>
      <c r="I842" t="s">
        <v>3316</v>
      </c>
      <c r="J842">
        <v>20000</v>
      </c>
      <c r="K842">
        <v>90000</v>
      </c>
      <c r="L842" t="s">
        <v>114</v>
      </c>
      <c r="M842" t="s">
        <v>30</v>
      </c>
      <c r="N842" t="s">
        <v>106</v>
      </c>
      <c r="O842" t="s">
        <v>3379</v>
      </c>
      <c r="P842" s="5" t="s">
        <v>3318</v>
      </c>
      <c r="Q842">
        <v>4.5</v>
      </c>
    </row>
    <row r="843" spans="1:17" x14ac:dyDescent="0.3">
      <c r="A843" s="4">
        <v>44634</v>
      </c>
      <c r="B843" t="s">
        <v>4423</v>
      </c>
      <c r="C843" t="s">
        <v>4334</v>
      </c>
      <c r="D843" s="77">
        <v>0.65277777777777779</v>
      </c>
      <c r="E843" t="s">
        <v>3314</v>
      </c>
      <c r="F843">
        <v>40</v>
      </c>
      <c r="G843" t="s">
        <v>3315</v>
      </c>
      <c r="H843">
        <v>20000</v>
      </c>
      <c r="I843" t="s">
        <v>3834</v>
      </c>
      <c r="J843">
        <v>20000</v>
      </c>
      <c r="K843">
        <v>90000</v>
      </c>
      <c r="L843" t="s">
        <v>116</v>
      </c>
      <c r="M843" t="s">
        <v>77</v>
      </c>
      <c r="N843" t="s">
        <v>133</v>
      </c>
      <c r="O843" t="s">
        <v>3376</v>
      </c>
      <c r="P843" s="5" t="s">
        <v>3318</v>
      </c>
      <c r="Q843">
        <v>4.5</v>
      </c>
    </row>
    <row r="844" spans="1:17" x14ac:dyDescent="0.3">
      <c r="A844" s="4">
        <v>44634</v>
      </c>
      <c r="B844" t="s">
        <v>4424</v>
      </c>
      <c r="C844" t="s">
        <v>4409</v>
      </c>
      <c r="D844" s="77">
        <v>0.68263888888888891</v>
      </c>
      <c r="E844" t="s">
        <v>3314</v>
      </c>
      <c r="F844">
        <v>56</v>
      </c>
      <c r="G844" t="s">
        <v>3315</v>
      </c>
      <c r="H844">
        <v>20000</v>
      </c>
      <c r="I844" t="s">
        <v>3834</v>
      </c>
      <c r="J844">
        <v>20000</v>
      </c>
      <c r="K844">
        <v>90000</v>
      </c>
      <c r="L844" t="s">
        <v>114</v>
      </c>
      <c r="M844" t="s">
        <v>79</v>
      </c>
      <c r="N844" t="s">
        <v>131</v>
      </c>
      <c r="O844" t="s">
        <v>3465</v>
      </c>
      <c r="P844" s="5" t="s">
        <v>3318</v>
      </c>
      <c r="Q844">
        <v>4.5</v>
      </c>
    </row>
    <row r="845" spans="1:17" x14ac:dyDescent="0.3">
      <c r="A845" s="4">
        <v>44634</v>
      </c>
      <c r="B845" t="s">
        <v>4425</v>
      </c>
      <c r="C845" t="s">
        <v>4334</v>
      </c>
      <c r="D845" s="77">
        <v>0.68402777777777779</v>
      </c>
      <c r="E845" t="s">
        <v>3314</v>
      </c>
      <c r="F845">
        <v>48</v>
      </c>
      <c r="G845" t="s">
        <v>3315</v>
      </c>
      <c r="H845">
        <v>20000</v>
      </c>
      <c r="I845" t="s">
        <v>3316</v>
      </c>
      <c r="J845">
        <v>20000</v>
      </c>
      <c r="K845">
        <v>90000</v>
      </c>
      <c r="L845" t="s">
        <v>116</v>
      </c>
      <c r="M845" t="s">
        <v>77</v>
      </c>
      <c r="N845" t="s">
        <v>133</v>
      </c>
      <c r="O845" t="s">
        <v>3376</v>
      </c>
      <c r="P845" s="5" t="s">
        <v>3318</v>
      </c>
      <c r="Q845">
        <v>4.5</v>
      </c>
    </row>
    <row r="846" spans="1:17" x14ac:dyDescent="0.3">
      <c r="A846" s="4">
        <v>44634</v>
      </c>
      <c r="B846" t="s">
        <v>4426</v>
      </c>
      <c r="C846" t="s">
        <v>4334</v>
      </c>
      <c r="D846" s="77">
        <v>0.6875</v>
      </c>
      <c r="E846" t="s">
        <v>3314</v>
      </c>
      <c r="F846">
        <v>64</v>
      </c>
      <c r="G846" t="s">
        <v>3315</v>
      </c>
      <c r="H846">
        <v>20000</v>
      </c>
      <c r="I846" t="s">
        <v>3316</v>
      </c>
      <c r="J846">
        <v>20000</v>
      </c>
      <c r="K846">
        <v>90000</v>
      </c>
      <c r="L846" t="s">
        <v>114</v>
      </c>
      <c r="M846" t="s">
        <v>30</v>
      </c>
      <c r="N846" t="s">
        <v>106</v>
      </c>
      <c r="O846" t="s">
        <v>3379</v>
      </c>
      <c r="P846" s="5" t="s">
        <v>3318</v>
      </c>
      <c r="Q846">
        <v>4.5</v>
      </c>
    </row>
    <row r="847" spans="1:17" x14ac:dyDescent="0.3">
      <c r="A847" s="4">
        <v>44634</v>
      </c>
      <c r="B847" t="s">
        <v>4427</v>
      </c>
      <c r="C847" t="s">
        <v>4428</v>
      </c>
      <c r="D847" s="77">
        <v>0.75</v>
      </c>
      <c r="E847" t="s">
        <v>3314</v>
      </c>
      <c r="F847">
        <v>44</v>
      </c>
      <c r="G847" t="s">
        <v>3488</v>
      </c>
      <c r="H847">
        <v>10000</v>
      </c>
      <c r="I847" t="s">
        <v>3488</v>
      </c>
      <c r="J847">
        <v>10000</v>
      </c>
      <c r="K847">
        <v>40000</v>
      </c>
      <c r="L847" t="s">
        <v>118</v>
      </c>
      <c r="M847" t="s">
        <v>28</v>
      </c>
      <c r="N847" t="s">
        <v>132</v>
      </c>
      <c r="O847" t="s">
        <v>3449</v>
      </c>
      <c r="P847" s="5" t="s">
        <v>3318</v>
      </c>
      <c r="Q847">
        <v>4</v>
      </c>
    </row>
    <row r="848" spans="1:17" x14ac:dyDescent="0.3">
      <c r="A848" s="4">
        <v>44634</v>
      </c>
      <c r="B848" t="s">
        <v>4429</v>
      </c>
      <c r="C848" t="s">
        <v>4428</v>
      </c>
      <c r="D848" s="77">
        <v>0.83333333333333337</v>
      </c>
      <c r="E848" t="s">
        <v>3314</v>
      </c>
      <c r="F848">
        <v>60</v>
      </c>
      <c r="G848" t="s">
        <v>3315</v>
      </c>
      <c r="H848">
        <v>30000</v>
      </c>
      <c r="I848" t="s">
        <v>3316</v>
      </c>
      <c r="J848">
        <v>30000</v>
      </c>
      <c r="K848">
        <v>120000</v>
      </c>
      <c r="L848" t="s">
        <v>118</v>
      </c>
      <c r="M848" t="s">
        <v>28</v>
      </c>
      <c r="N848" t="s">
        <v>132</v>
      </c>
      <c r="O848" t="s">
        <v>3449</v>
      </c>
      <c r="P848" s="5" t="s">
        <v>3318</v>
      </c>
      <c r="Q848">
        <v>4</v>
      </c>
    </row>
    <row r="849" spans="1:17" x14ac:dyDescent="0.3">
      <c r="A849" s="4">
        <v>44635</v>
      </c>
      <c r="B849" t="s">
        <v>4430</v>
      </c>
      <c r="C849" t="s">
        <v>4409</v>
      </c>
      <c r="D849" s="77">
        <v>0.4465277777777778</v>
      </c>
      <c r="E849" t="s">
        <v>3314</v>
      </c>
      <c r="F849">
        <v>49</v>
      </c>
      <c r="G849" t="s">
        <v>3315</v>
      </c>
      <c r="H849">
        <v>20000</v>
      </c>
      <c r="I849" t="s">
        <v>3316</v>
      </c>
      <c r="J849">
        <v>20000</v>
      </c>
      <c r="K849">
        <v>90000</v>
      </c>
      <c r="L849" t="s">
        <v>114</v>
      </c>
      <c r="M849" t="s">
        <v>79</v>
      </c>
      <c r="N849" t="s">
        <v>131</v>
      </c>
      <c r="O849" t="s">
        <v>3465</v>
      </c>
      <c r="P849" s="5" t="s">
        <v>3318</v>
      </c>
      <c r="Q849">
        <v>4.5</v>
      </c>
    </row>
    <row r="850" spans="1:17" x14ac:dyDescent="0.3">
      <c r="A850" s="4">
        <v>44635</v>
      </c>
      <c r="B850" t="s">
        <v>4431</v>
      </c>
      <c r="C850" t="s">
        <v>4409</v>
      </c>
      <c r="D850" s="77">
        <v>0.46875</v>
      </c>
      <c r="E850" t="s">
        <v>3314</v>
      </c>
      <c r="F850">
        <v>30</v>
      </c>
      <c r="G850" t="s">
        <v>3315</v>
      </c>
      <c r="H850">
        <v>20000</v>
      </c>
      <c r="I850" t="s">
        <v>3316</v>
      </c>
      <c r="J850">
        <v>20000</v>
      </c>
      <c r="K850">
        <v>90000</v>
      </c>
      <c r="L850" t="s">
        <v>114</v>
      </c>
      <c r="M850" t="s">
        <v>79</v>
      </c>
      <c r="N850" t="s">
        <v>131</v>
      </c>
      <c r="O850" t="s">
        <v>3465</v>
      </c>
      <c r="P850" s="5" t="s">
        <v>3318</v>
      </c>
      <c r="Q850">
        <v>4.5</v>
      </c>
    </row>
    <row r="851" spans="1:17" x14ac:dyDescent="0.3">
      <c r="A851" s="4">
        <v>44635</v>
      </c>
      <c r="B851" t="s">
        <v>4432</v>
      </c>
      <c r="C851" t="s">
        <v>4433</v>
      </c>
      <c r="D851" s="77">
        <v>0.54166666666666663</v>
      </c>
      <c r="E851" t="s">
        <v>3314</v>
      </c>
      <c r="F851">
        <v>42</v>
      </c>
      <c r="G851" t="s">
        <v>3315</v>
      </c>
      <c r="H851">
        <v>30000</v>
      </c>
      <c r="I851" t="s">
        <v>3316</v>
      </c>
      <c r="J851">
        <v>30000</v>
      </c>
      <c r="K851">
        <v>30000</v>
      </c>
      <c r="L851" t="s">
        <v>124</v>
      </c>
      <c r="M851" t="s">
        <v>817</v>
      </c>
      <c r="N851" t="s">
        <v>819</v>
      </c>
      <c r="O851" t="s">
        <v>4434</v>
      </c>
      <c r="P851" s="5" t="s">
        <v>3318</v>
      </c>
      <c r="Q851">
        <v>1</v>
      </c>
    </row>
    <row r="852" spans="1:17" x14ac:dyDescent="0.3">
      <c r="A852" s="4">
        <v>44635</v>
      </c>
      <c r="B852" t="s">
        <v>4435</v>
      </c>
      <c r="C852" t="s">
        <v>4428</v>
      </c>
      <c r="D852" s="77">
        <v>0.54166666666666663</v>
      </c>
      <c r="E852" t="s">
        <v>3314</v>
      </c>
      <c r="F852">
        <v>42</v>
      </c>
      <c r="G852" t="s">
        <v>3315</v>
      </c>
      <c r="H852">
        <v>20000</v>
      </c>
      <c r="I852" t="s">
        <v>3316</v>
      </c>
      <c r="J852">
        <v>20000</v>
      </c>
      <c r="K852">
        <v>80000</v>
      </c>
      <c r="L852" t="s">
        <v>118</v>
      </c>
      <c r="M852" t="s">
        <v>28</v>
      </c>
      <c r="N852" t="s">
        <v>132</v>
      </c>
      <c r="O852" t="s">
        <v>3449</v>
      </c>
      <c r="P852" s="5" t="s">
        <v>3318</v>
      </c>
      <c r="Q852">
        <v>4</v>
      </c>
    </row>
    <row r="853" spans="1:17" x14ac:dyDescent="0.3">
      <c r="A853" s="4">
        <v>44635</v>
      </c>
      <c r="B853" t="s">
        <v>4436</v>
      </c>
      <c r="C853" t="s">
        <v>4252</v>
      </c>
      <c r="D853" s="77">
        <v>0.54513888888888895</v>
      </c>
      <c r="E853" t="s">
        <v>3332</v>
      </c>
      <c r="F853">
        <v>54</v>
      </c>
      <c r="G853" t="s">
        <v>3315</v>
      </c>
      <c r="H853">
        <v>30000</v>
      </c>
      <c r="I853" t="s">
        <v>3316</v>
      </c>
      <c r="J853">
        <v>30000</v>
      </c>
      <c r="K853">
        <v>150000</v>
      </c>
      <c r="L853" t="s">
        <v>114</v>
      </c>
      <c r="M853" t="s">
        <v>23</v>
      </c>
      <c r="N853" t="s">
        <v>99</v>
      </c>
      <c r="O853" t="s">
        <v>3358</v>
      </c>
      <c r="P853" s="5" t="s">
        <v>3318</v>
      </c>
      <c r="Q853">
        <v>5</v>
      </c>
    </row>
    <row r="854" spans="1:17" x14ac:dyDescent="0.3">
      <c r="A854" s="4">
        <v>44635</v>
      </c>
      <c r="B854" t="s">
        <v>4437</v>
      </c>
      <c r="C854" t="s">
        <v>4438</v>
      </c>
      <c r="D854" s="77">
        <v>0.56944444444444442</v>
      </c>
      <c r="E854" t="s">
        <v>3314</v>
      </c>
      <c r="F854">
        <v>54</v>
      </c>
      <c r="G854" t="s">
        <v>3315</v>
      </c>
      <c r="H854">
        <v>20000</v>
      </c>
      <c r="I854" t="s">
        <v>3316</v>
      </c>
      <c r="J854">
        <v>20000</v>
      </c>
      <c r="K854">
        <v>80000</v>
      </c>
      <c r="L854" t="s">
        <v>118</v>
      </c>
      <c r="M854" t="s">
        <v>87</v>
      </c>
      <c r="N854" t="s">
        <v>134</v>
      </c>
      <c r="O854" t="s">
        <v>3528</v>
      </c>
      <c r="P854" s="5" t="s">
        <v>3318</v>
      </c>
      <c r="Q854">
        <v>4</v>
      </c>
    </row>
    <row r="855" spans="1:17" x14ac:dyDescent="0.3">
      <c r="A855" s="4">
        <v>44635</v>
      </c>
      <c r="B855" t="s">
        <v>4439</v>
      </c>
      <c r="C855" t="s">
        <v>4409</v>
      </c>
      <c r="D855" s="77">
        <v>0.57916666666666672</v>
      </c>
      <c r="E855" t="s">
        <v>3314</v>
      </c>
      <c r="F855">
        <v>50</v>
      </c>
      <c r="G855" t="s">
        <v>3315</v>
      </c>
      <c r="H855">
        <v>20000</v>
      </c>
      <c r="I855" t="s">
        <v>3316</v>
      </c>
      <c r="J855">
        <v>20000</v>
      </c>
      <c r="K855">
        <v>90000</v>
      </c>
      <c r="L855" t="s">
        <v>114</v>
      </c>
      <c r="M855" t="s">
        <v>79</v>
      </c>
      <c r="N855" t="s">
        <v>131</v>
      </c>
      <c r="O855" t="s">
        <v>3465</v>
      </c>
      <c r="P855" s="5" t="s">
        <v>3318</v>
      </c>
      <c r="Q855">
        <v>4.5</v>
      </c>
    </row>
    <row r="856" spans="1:17" x14ac:dyDescent="0.3">
      <c r="A856" s="4">
        <v>44635</v>
      </c>
      <c r="B856" t="s">
        <v>4440</v>
      </c>
      <c r="C856" t="s">
        <v>4438</v>
      </c>
      <c r="D856" s="77">
        <v>0.58472222222222225</v>
      </c>
      <c r="E856" t="s">
        <v>3314</v>
      </c>
      <c r="F856">
        <v>60</v>
      </c>
      <c r="G856" t="s">
        <v>3889</v>
      </c>
      <c r="H856">
        <v>30000</v>
      </c>
      <c r="I856" t="s">
        <v>3889</v>
      </c>
      <c r="J856">
        <v>30000</v>
      </c>
      <c r="K856">
        <v>120000</v>
      </c>
      <c r="L856" t="s">
        <v>118</v>
      </c>
      <c r="M856" t="s">
        <v>87</v>
      </c>
      <c r="N856" t="s">
        <v>134</v>
      </c>
      <c r="O856" t="s">
        <v>3528</v>
      </c>
      <c r="P856" s="5" t="s">
        <v>3318</v>
      </c>
      <c r="Q856">
        <v>4</v>
      </c>
    </row>
    <row r="857" spans="1:17" x14ac:dyDescent="0.3">
      <c r="A857" s="4">
        <v>44635</v>
      </c>
      <c r="B857" t="s">
        <v>4441</v>
      </c>
      <c r="C857" t="s">
        <v>4438</v>
      </c>
      <c r="D857" s="77">
        <v>0.59027777777777779</v>
      </c>
      <c r="E857" t="s">
        <v>3314</v>
      </c>
      <c r="F857">
        <v>44</v>
      </c>
      <c r="G857" t="s">
        <v>3315</v>
      </c>
      <c r="H857">
        <v>20000</v>
      </c>
      <c r="I857" t="s">
        <v>3834</v>
      </c>
      <c r="J857">
        <v>20000</v>
      </c>
      <c r="K857">
        <v>80000</v>
      </c>
      <c r="L857" t="s">
        <v>118</v>
      </c>
      <c r="M857" t="s">
        <v>3033</v>
      </c>
      <c r="N857" t="s">
        <v>3035</v>
      </c>
      <c r="O857" t="s">
        <v>3542</v>
      </c>
      <c r="P857" s="5" t="s">
        <v>3318</v>
      </c>
      <c r="Q857">
        <v>4</v>
      </c>
    </row>
    <row r="858" spans="1:17" x14ac:dyDescent="0.3">
      <c r="A858" s="4">
        <v>44635</v>
      </c>
      <c r="B858" t="s">
        <v>4442</v>
      </c>
      <c r="C858" t="s">
        <v>4443</v>
      </c>
      <c r="D858" s="77">
        <v>0.59513888888888888</v>
      </c>
      <c r="E858" t="s">
        <v>3314</v>
      </c>
      <c r="F858">
        <v>61</v>
      </c>
      <c r="G858" t="s">
        <v>3315</v>
      </c>
      <c r="H858">
        <v>20000</v>
      </c>
      <c r="I858" t="s">
        <v>3316</v>
      </c>
      <c r="J858">
        <v>20000</v>
      </c>
      <c r="K858">
        <v>80000</v>
      </c>
      <c r="L858" t="s">
        <v>118</v>
      </c>
      <c r="M858" t="s">
        <v>92</v>
      </c>
      <c r="N858" t="s">
        <v>137</v>
      </c>
      <c r="O858" t="s">
        <v>3476</v>
      </c>
      <c r="P858" s="5" t="s">
        <v>3318</v>
      </c>
      <c r="Q858">
        <v>4</v>
      </c>
    </row>
    <row r="859" spans="1:17" x14ac:dyDescent="0.3">
      <c r="A859" s="4">
        <v>44635</v>
      </c>
      <c r="B859" t="s">
        <v>4444</v>
      </c>
      <c r="C859" t="s">
        <v>3480</v>
      </c>
      <c r="D859" s="77">
        <v>0.60416666666666663</v>
      </c>
      <c r="E859" t="s">
        <v>3314</v>
      </c>
      <c r="F859">
        <v>39</v>
      </c>
      <c r="G859" t="s">
        <v>3315</v>
      </c>
      <c r="H859">
        <v>20000</v>
      </c>
      <c r="I859" t="s">
        <v>3316</v>
      </c>
      <c r="J859">
        <v>20000</v>
      </c>
      <c r="K859">
        <v>90000</v>
      </c>
      <c r="L859" t="s">
        <v>114</v>
      </c>
      <c r="M859" t="s">
        <v>31</v>
      </c>
      <c r="N859" t="s">
        <v>105</v>
      </c>
      <c r="O859" t="s">
        <v>3339</v>
      </c>
      <c r="P859" s="5" t="s">
        <v>3318</v>
      </c>
      <c r="Q859">
        <v>4.5</v>
      </c>
    </row>
    <row r="860" spans="1:17" x14ac:dyDescent="0.3">
      <c r="A860" s="4">
        <v>44635</v>
      </c>
      <c r="B860" t="s">
        <v>4445</v>
      </c>
      <c r="C860" t="s">
        <v>4446</v>
      </c>
      <c r="D860" s="77">
        <v>0.60972222222222217</v>
      </c>
      <c r="E860" t="s">
        <v>3332</v>
      </c>
      <c r="F860">
        <v>26</v>
      </c>
      <c r="G860" t="s">
        <v>3315</v>
      </c>
      <c r="H860">
        <v>20000</v>
      </c>
      <c r="I860" t="s">
        <v>3348</v>
      </c>
      <c r="J860">
        <v>20000</v>
      </c>
      <c r="K860">
        <v>80000</v>
      </c>
      <c r="L860" t="s">
        <v>118</v>
      </c>
      <c r="M860" t="s">
        <v>145</v>
      </c>
      <c r="N860" t="s">
        <v>146</v>
      </c>
      <c r="O860" t="s">
        <v>3333</v>
      </c>
      <c r="P860" s="5" t="s">
        <v>3318</v>
      </c>
      <c r="Q860">
        <v>4</v>
      </c>
    </row>
    <row r="861" spans="1:17" x14ac:dyDescent="0.3">
      <c r="A861" s="4">
        <v>44635</v>
      </c>
      <c r="B861" t="s">
        <v>4447</v>
      </c>
      <c r="C861" t="s">
        <v>4438</v>
      </c>
      <c r="D861" s="77">
        <v>0.62847222222222221</v>
      </c>
      <c r="E861" t="s">
        <v>3314</v>
      </c>
      <c r="F861">
        <v>64</v>
      </c>
      <c r="G861" t="s">
        <v>3315</v>
      </c>
      <c r="H861">
        <v>20000</v>
      </c>
      <c r="I861" t="s">
        <v>3316</v>
      </c>
      <c r="J861">
        <v>20000</v>
      </c>
      <c r="K861">
        <v>80000</v>
      </c>
      <c r="L861" t="s">
        <v>118</v>
      </c>
      <c r="M861" t="s">
        <v>3033</v>
      </c>
      <c r="N861" t="s">
        <v>3035</v>
      </c>
      <c r="O861" t="s">
        <v>3542</v>
      </c>
      <c r="P861" s="5" t="s">
        <v>3318</v>
      </c>
      <c r="Q861">
        <v>4</v>
      </c>
    </row>
    <row r="862" spans="1:17" x14ac:dyDescent="0.3">
      <c r="A862" s="4">
        <v>44635</v>
      </c>
      <c r="B862" t="s">
        <v>4448</v>
      </c>
      <c r="C862" t="s">
        <v>3338</v>
      </c>
      <c r="D862" s="77">
        <v>0.62986111111111109</v>
      </c>
      <c r="E862" t="s">
        <v>3314</v>
      </c>
      <c r="F862">
        <v>77</v>
      </c>
      <c r="G862" t="s">
        <v>3344</v>
      </c>
      <c r="H862">
        <v>20000</v>
      </c>
      <c r="I862" t="s">
        <v>3344</v>
      </c>
      <c r="J862">
        <v>20000</v>
      </c>
      <c r="K862">
        <v>80000</v>
      </c>
      <c r="L862" t="s">
        <v>118</v>
      </c>
      <c r="M862" t="s">
        <v>92</v>
      </c>
      <c r="N862" t="s">
        <v>137</v>
      </c>
      <c r="O862" t="s">
        <v>3476</v>
      </c>
      <c r="P862" s="5" t="s">
        <v>3318</v>
      </c>
      <c r="Q862">
        <v>4</v>
      </c>
    </row>
    <row r="863" spans="1:17" x14ac:dyDescent="0.3">
      <c r="A863" s="4">
        <v>44635</v>
      </c>
      <c r="B863" t="s">
        <v>4449</v>
      </c>
      <c r="C863" t="s">
        <v>3480</v>
      </c>
      <c r="D863" s="77">
        <v>0.63402777777777775</v>
      </c>
      <c r="E863" t="s">
        <v>3314</v>
      </c>
      <c r="F863">
        <v>60</v>
      </c>
      <c r="G863" t="s">
        <v>3315</v>
      </c>
      <c r="H863">
        <v>20000</v>
      </c>
      <c r="I863" t="s">
        <v>3316</v>
      </c>
      <c r="J863">
        <v>20000</v>
      </c>
      <c r="K863">
        <v>60000</v>
      </c>
      <c r="L863" t="s">
        <v>149</v>
      </c>
      <c r="M863" t="s">
        <v>2845</v>
      </c>
      <c r="N863" t="s">
        <v>2847</v>
      </c>
      <c r="O863" t="s">
        <v>3361</v>
      </c>
      <c r="P863" s="5" t="s">
        <v>3318</v>
      </c>
      <c r="Q863">
        <v>3</v>
      </c>
    </row>
    <row r="864" spans="1:17" x14ac:dyDescent="0.3">
      <c r="A864" s="4">
        <v>44635</v>
      </c>
      <c r="B864" t="s">
        <v>4450</v>
      </c>
      <c r="C864" t="s">
        <v>4451</v>
      </c>
      <c r="D864" s="77">
        <v>0.63750000000000007</v>
      </c>
      <c r="E864" t="s">
        <v>3314</v>
      </c>
      <c r="F864">
        <v>52</v>
      </c>
      <c r="G864" t="s">
        <v>3315</v>
      </c>
      <c r="H864">
        <v>20000</v>
      </c>
      <c r="I864" t="s">
        <v>3834</v>
      </c>
      <c r="J864">
        <v>20000</v>
      </c>
      <c r="K864">
        <v>80000</v>
      </c>
      <c r="L864" t="s">
        <v>118</v>
      </c>
      <c r="M864" t="s">
        <v>86</v>
      </c>
      <c r="N864" t="s">
        <v>120</v>
      </c>
      <c r="O864" t="s">
        <v>3446</v>
      </c>
      <c r="P864" s="5" t="s">
        <v>3318</v>
      </c>
      <c r="Q864">
        <v>4</v>
      </c>
    </row>
    <row r="865" spans="1:17" x14ac:dyDescent="0.3">
      <c r="A865" s="4">
        <v>44635</v>
      </c>
      <c r="B865" t="s">
        <v>4452</v>
      </c>
      <c r="C865" t="s">
        <v>4409</v>
      </c>
      <c r="D865" s="77">
        <v>0.65208333333333335</v>
      </c>
      <c r="E865" t="s">
        <v>3314</v>
      </c>
      <c r="F865">
        <v>38</v>
      </c>
      <c r="G865" t="s">
        <v>3315</v>
      </c>
      <c r="H865">
        <v>20000</v>
      </c>
      <c r="I865" t="s">
        <v>3316</v>
      </c>
      <c r="J865">
        <v>20000</v>
      </c>
      <c r="K865">
        <v>90000</v>
      </c>
      <c r="L865" t="s">
        <v>114</v>
      </c>
      <c r="M865" t="s">
        <v>79</v>
      </c>
      <c r="N865" t="s">
        <v>131</v>
      </c>
      <c r="O865" t="s">
        <v>3465</v>
      </c>
      <c r="P865" s="5" t="s">
        <v>3318</v>
      </c>
      <c r="Q865">
        <v>4.5</v>
      </c>
    </row>
    <row r="866" spans="1:17" x14ac:dyDescent="0.3">
      <c r="A866" s="4">
        <v>44635</v>
      </c>
      <c r="B866" t="s">
        <v>4453</v>
      </c>
      <c r="C866" t="s">
        <v>4428</v>
      </c>
      <c r="D866" s="77">
        <v>0.66666666666666663</v>
      </c>
      <c r="E866" t="s">
        <v>3314</v>
      </c>
      <c r="F866">
        <v>44</v>
      </c>
      <c r="G866" t="s">
        <v>3315</v>
      </c>
      <c r="H866">
        <v>20000</v>
      </c>
      <c r="I866" t="s">
        <v>3316</v>
      </c>
      <c r="J866">
        <v>20000</v>
      </c>
      <c r="K866">
        <v>80000</v>
      </c>
      <c r="L866" t="s">
        <v>118</v>
      </c>
      <c r="M866" t="s">
        <v>28</v>
      </c>
      <c r="N866" t="s">
        <v>132</v>
      </c>
      <c r="O866" t="s">
        <v>3449</v>
      </c>
      <c r="P866" s="5" t="s">
        <v>3318</v>
      </c>
      <c r="Q866">
        <v>4</v>
      </c>
    </row>
    <row r="867" spans="1:17" x14ac:dyDescent="0.3">
      <c r="A867" s="4">
        <v>44635</v>
      </c>
      <c r="B867" t="s">
        <v>4454</v>
      </c>
      <c r="C867" t="s">
        <v>4451</v>
      </c>
      <c r="D867" s="77">
        <v>0.6743055555555556</v>
      </c>
      <c r="E867" t="s">
        <v>3314</v>
      </c>
      <c r="F867">
        <v>44</v>
      </c>
      <c r="G867" t="s">
        <v>3315</v>
      </c>
      <c r="H867">
        <v>20000</v>
      </c>
      <c r="I867" t="s">
        <v>3316</v>
      </c>
      <c r="J867">
        <v>20000</v>
      </c>
      <c r="K867">
        <v>80000</v>
      </c>
      <c r="L867" t="s">
        <v>118</v>
      </c>
      <c r="M867" t="s">
        <v>93</v>
      </c>
      <c r="N867" t="s">
        <v>121</v>
      </c>
      <c r="O867" t="s">
        <v>3781</v>
      </c>
      <c r="P867" s="5" t="s">
        <v>3318</v>
      </c>
      <c r="Q867">
        <v>4</v>
      </c>
    </row>
    <row r="868" spans="1:17" x14ac:dyDescent="0.3">
      <c r="A868" s="4">
        <v>44635</v>
      </c>
      <c r="B868" t="s">
        <v>4455</v>
      </c>
      <c r="C868" t="s">
        <v>4438</v>
      </c>
      <c r="D868" s="77">
        <v>0.6875</v>
      </c>
      <c r="E868" t="s">
        <v>3314</v>
      </c>
      <c r="F868">
        <v>59</v>
      </c>
      <c r="G868" t="s">
        <v>3315</v>
      </c>
      <c r="H868">
        <v>20000</v>
      </c>
      <c r="I868" t="s">
        <v>3316</v>
      </c>
      <c r="J868">
        <v>20000</v>
      </c>
      <c r="K868">
        <v>80000</v>
      </c>
      <c r="L868" t="s">
        <v>118</v>
      </c>
      <c r="M868" t="s">
        <v>3033</v>
      </c>
      <c r="N868" t="s">
        <v>3035</v>
      </c>
      <c r="O868" t="s">
        <v>3542</v>
      </c>
      <c r="P868" s="5" t="s">
        <v>3318</v>
      </c>
      <c r="Q868">
        <v>4</v>
      </c>
    </row>
    <row r="869" spans="1:17" x14ac:dyDescent="0.3">
      <c r="A869" s="4">
        <v>44635</v>
      </c>
      <c r="B869" t="s">
        <v>4456</v>
      </c>
      <c r="C869" t="s">
        <v>4409</v>
      </c>
      <c r="D869" s="77">
        <v>0.69027777777777777</v>
      </c>
      <c r="E869" t="s">
        <v>3314</v>
      </c>
      <c r="F869">
        <v>34</v>
      </c>
      <c r="G869" t="s">
        <v>3315</v>
      </c>
      <c r="H869">
        <v>20000</v>
      </c>
      <c r="I869" t="s">
        <v>3316</v>
      </c>
      <c r="J869">
        <v>20000</v>
      </c>
      <c r="K869">
        <v>90000</v>
      </c>
      <c r="L869" t="s">
        <v>114</v>
      </c>
      <c r="M869" t="s">
        <v>79</v>
      </c>
      <c r="N869" t="s">
        <v>131</v>
      </c>
      <c r="O869" t="s">
        <v>3465</v>
      </c>
      <c r="P869" s="5" t="s">
        <v>3318</v>
      </c>
      <c r="Q869">
        <v>4.5</v>
      </c>
    </row>
    <row r="870" spans="1:17" x14ac:dyDescent="0.3">
      <c r="A870" s="4">
        <v>44635</v>
      </c>
      <c r="B870" t="s">
        <v>4457</v>
      </c>
      <c r="C870" t="s">
        <v>4334</v>
      </c>
      <c r="D870" s="77">
        <v>0.70277777777777783</v>
      </c>
      <c r="E870" t="s">
        <v>3314</v>
      </c>
      <c r="F870">
        <v>30</v>
      </c>
      <c r="G870" t="s">
        <v>3889</v>
      </c>
      <c r="H870">
        <v>20000</v>
      </c>
      <c r="I870" t="s">
        <v>3889</v>
      </c>
      <c r="J870">
        <v>20000</v>
      </c>
      <c r="K870">
        <v>90000</v>
      </c>
      <c r="L870" t="s">
        <v>116</v>
      </c>
      <c r="M870" t="s">
        <v>77</v>
      </c>
      <c r="N870" t="s">
        <v>133</v>
      </c>
      <c r="O870" t="s">
        <v>3376</v>
      </c>
      <c r="P870" s="5" t="s">
        <v>3318</v>
      </c>
      <c r="Q870">
        <v>4.5</v>
      </c>
    </row>
    <row r="871" spans="1:17" x14ac:dyDescent="0.3">
      <c r="A871" s="4">
        <v>44635</v>
      </c>
      <c r="B871" t="s">
        <v>4458</v>
      </c>
      <c r="C871" t="s">
        <v>4459</v>
      </c>
      <c r="D871" s="77">
        <v>0.70833333333333337</v>
      </c>
      <c r="E871" t="s">
        <v>3314</v>
      </c>
      <c r="F871">
        <v>33</v>
      </c>
      <c r="G871" t="s">
        <v>3344</v>
      </c>
      <c r="H871">
        <v>30000</v>
      </c>
      <c r="I871" t="s">
        <v>3344</v>
      </c>
      <c r="J871">
        <v>30000</v>
      </c>
      <c r="K871">
        <v>135000</v>
      </c>
      <c r="L871" t="s">
        <v>113</v>
      </c>
      <c r="M871" t="s">
        <v>22</v>
      </c>
      <c r="N871" t="s">
        <v>98</v>
      </c>
      <c r="O871" t="s">
        <v>3437</v>
      </c>
      <c r="P871" s="5" t="s">
        <v>3318</v>
      </c>
      <c r="Q871">
        <v>4.5</v>
      </c>
    </row>
    <row r="872" spans="1:17" x14ac:dyDescent="0.3">
      <c r="A872" s="4">
        <v>44635</v>
      </c>
      <c r="B872" t="s">
        <v>4460</v>
      </c>
      <c r="C872" t="s">
        <v>4438</v>
      </c>
      <c r="D872" s="77">
        <v>0.71527777777777779</v>
      </c>
      <c r="E872" t="s">
        <v>3314</v>
      </c>
      <c r="F872">
        <v>27</v>
      </c>
      <c r="G872" t="s">
        <v>3348</v>
      </c>
      <c r="H872">
        <v>30000</v>
      </c>
      <c r="I872" t="s">
        <v>3348</v>
      </c>
      <c r="J872">
        <v>30000</v>
      </c>
      <c r="K872">
        <v>120000</v>
      </c>
      <c r="L872" t="s">
        <v>118</v>
      </c>
      <c r="M872" t="s">
        <v>87</v>
      </c>
      <c r="N872" t="s">
        <v>134</v>
      </c>
      <c r="O872" t="s">
        <v>3528</v>
      </c>
      <c r="P872" s="5" t="s">
        <v>3318</v>
      </c>
      <c r="Q872">
        <v>4</v>
      </c>
    </row>
    <row r="873" spans="1:17" x14ac:dyDescent="0.3">
      <c r="A873" s="4">
        <v>44635</v>
      </c>
      <c r="B873" t="s">
        <v>4461</v>
      </c>
      <c r="C873" t="s">
        <v>4462</v>
      </c>
      <c r="D873" s="77">
        <v>0.71527777777777779</v>
      </c>
      <c r="E873" t="s">
        <v>3314</v>
      </c>
      <c r="F873">
        <v>50</v>
      </c>
      <c r="G873" t="s">
        <v>3315</v>
      </c>
      <c r="H873">
        <v>20000</v>
      </c>
      <c r="I873" t="s">
        <v>3316</v>
      </c>
      <c r="J873">
        <v>20000</v>
      </c>
      <c r="K873">
        <v>90000</v>
      </c>
      <c r="L873" t="s">
        <v>116</v>
      </c>
      <c r="M873" t="s">
        <v>76</v>
      </c>
      <c r="N873" t="s">
        <v>107</v>
      </c>
      <c r="O873" t="s">
        <v>3321</v>
      </c>
      <c r="P873" s="5" t="s">
        <v>3318</v>
      </c>
      <c r="Q873">
        <v>4.5</v>
      </c>
    </row>
    <row r="874" spans="1:17" x14ac:dyDescent="0.3">
      <c r="A874" s="4">
        <v>44635</v>
      </c>
      <c r="B874" t="s">
        <v>4463</v>
      </c>
      <c r="C874" t="s">
        <v>4334</v>
      </c>
      <c r="D874" s="77">
        <v>0.72430555555555554</v>
      </c>
      <c r="E874" t="s">
        <v>3314</v>
      </c>
      <c r="F874">
        <v>50</v>
      </c>
      <c r="G874" t="s">
        <v>3315</v>
      </c>
      <c r="H874">
        <v>30000</v>
      </c>
      <c r="I874" t="s">
        <v>3316</v>
      </c>
      <c r="J874">
        <v>30000</v>
      </c>
      <c r="K874">
        <v>135000</v>
      </c>
      <c r="L874" t="s">
        <v>116</v>
      </c>
      <c r="M874" t="s">
        <v>77</v>
      </c>
      <c r="N874" t="s">
        <v>133</v>
      </c>
      <c r="O874" t="s">
        <v>3376</v>
      </c>
      <c r="P874" s="5" t="s">
        <v>3318</v>
      </c>
      <c r="Q874">
        <v>4.5</v>
      </c>
    </row>
    <row r="875" spans="1:17" x14ac:dyDescent="0.3">
      <c r="A875" s="4">
        <v>44635</v>
      </c>
      <c r="B875" t="s">
        <v>4464</v>
      </c>
      <c r="C875" t="s">
        <v>4462</v>
      </c>
      <c r="D875" s="77">
        <v>0.72569444444444453</v>
      </c>
      <c r="E875" t="s">
        <v>3314</v>
      </c>
      <c r="F875">
        <v>38</v>
      </c>
      <c r="G875" t="s">
        <v>3315</v>
      </c>
      <c r="H875">
        <v>30000</v>
      </c>
      <c r="I875" t="s">
        <v>3316</v>
      </c>
      <c r="J875">
        <v>30000</v>
      </c>
      <c r="K875">
        <v>120000</v>
      </c>
      <c r="L875" t="s">
        <v>118</v>
      </c>
      <c r="M875" t="s">
        <v>96</v>
      </c>
      <c r="N875" t="s">
        <v>140</v>
      </c>
      <c r="O875" t="s">
        <v>4105</v>
      </c>
      <c r="P875" s="5" t="s">
        <v>3318</v>
      </c>
      <c r="Q875">
        <v>4</v>
      </c>
    </row>
    <row r="876" spans="1:17" x14ac:dyDescent="0.3">
      <c r="A876" s="4">
        <v>44635</v>
      </c>
      <c r="B876" t="s">
        <v>4465</v>
      </c>
      <c r="C876" t="s">
        <v>4416</v>
      </c>
      <c r="D876" s="77">
        <v>0.72916666666666663</v>
      </c>
      <c r="E876" t="s">
        <v>3314</v>
      </c>
      <c r="F876">
        <v>27</v>
      </c>
      <c r="G876" t="s">
        <v>3315</v>
      </c>
      <c r="H876">
        <v>20000</v>
      </c>
      <c r="I876" t="s">
        <v>3316</v>
      </c>
      <c r="J876">
        <v>20000</v>
      </c>
      <c r="K876">
        <v>80000</v>
      </c>
      <c r="L876" t="s">
        <v>118</v>
      </c>
      <c r="M876" t="s">
        <v>85</v>
      </c>
      <c r="N876" t="s">
        <v>109</v>
      </c>
      <c r="O876" t="s">
        <v>3342</v>
      </c>
      <c r="P876" s="5" t="s">
        <v>3318</v>
      </c>
      <c r="Q876">
        <v>4</v>
      </c>
    </row>
    <row r="877" spans="1:17" x14ac:dyDescent="0.3">
      <c r="A877" s="4">
        <v>44635</v>
      </c>
      <c r="B877" t="s">
        <v>4466</v>
      </c>
      <c r="C877" t="s">
        <v>3480</v>
      </c>
      <c r="D877" s="77">
        <v>0.72916666666666663</v>
      </c>
      <c r="E877" t="s">
        <v>3314</v>
      </c>
      <c r="F877">
        <v>28</v>
      </c>
      <c r="G877" t="s">
        <v>3315</v>
      </c>
      <c r="H877">
        <v>20000</v>
      </c>
      <c r="I877" t="s">
        <v>3316</v>
      </c>
      <c r="J877">
        <v>20000</v>
      </c>
      <c r="K877">
        <v>90000</v>
      </c>
      <c r="L877" t="s">
        <v>114</v>
      </c>
      <c r="M877" t="s">
        <v>31</v>
      </c>
      <c r="N877" t="s">
        <v>105</v>
      </c>
      <c r="O877" t="s">
        <v>3339</v>
      </c>
      <c r="P877" s="5" t="s">
        <v>3318</v>
      </c>
      <c r="Q877">
        <v>4.5</v>
      </c>
    </row>
    <row r="878" spans="1:17" x14ac:dyDescent="0.3">
      <c r="A878" s="4">
        <v>44635</v>
      </c>
      <c r="B878" t="s">
        <v>4467</v>
      </c>
      <c r="C878" t="s">
        <v>4438</v>
      </c>
      <c r="D878" s="77">
        <v>0.73472222222222217</v>
      </c>
      <c r="E878" t="s">
        <v>3314</v>
      </c>
      <c r="F878">
        <v>65</v>
      </c>
      <c r="G878" t="s">
        <v>3889</v>
      </c>
      <c r="H878">
        <v>20000</v>
      </c>
      <c r="I878" t="s">
        <v>3889</v>
      </c>
      <c r="J878">
        <v>20000</v>
      </c>
      <c r="K878">
        <v>80000</v>
      </c>
      <c r="L878" t="s">
        <v>118</v>
      </c>
      <c r="M878" t="s">
        <v>3033</v>
      </c>
      <c r="N878" t="s">
        <v>3035</v>
      </c>
      <c r="O878" t="s">
        <v>3542</v>
      </c>
      <c r="P878" s="5" t="s">
        <v>3318</v>
      </c>
      <c r="Q878">
        <v>4</v>
      </c>
    </row>
    <row r="879" spans="1:17" x14ac:dyDescent="0.3">
      <c r="A879" s="4">
        <v>44635</v>
      </c>
      <c r="B879" t="s">
        <v>4468</v>
      </c>
      <c r="C879" t="s">
        <v>4443</v>
      </c>
      <c r="D879" s="77">
        <v>0.73958333333333337</v>
      </c>
      <c r="E879" t="s">
        <v>3314</v>
      </c>
      <c r="F879">
        <v>56</v>
      </c>
      <c r="G879" t="s">
        <v>3315</v>
      </c>
      <c r="H879">
        <v>20000</v>
      </c>
      <c r="I879" t="s">
        <v>3316</v>
      </c>
      <c r="J879">
        <v>20000</v>
      </c>
      <c r="K879">
        <v>80000</v>
      </c>
      <c r="L879" t="s">
        <v>118</v>
      </c>
      <c r="M879" t="s">
        <v>92</v>
      </c>
      <c r="N879" t="s">
        <v>137</v>
      </c>
      <c r="O879" t="s">
        <v>3476</v>
      </c>
      <c r="P879" s="5" t="s">
        <v>3318</v>
      </c>
      <c r="Q879">
        <v>4</v>
      </c>
    </row>
    <row r="880" spans="1:17" x14ac:dyDescent="0.3">
      <c r="A880" s="4">
        <v>44635</v>
      </c>
      <c r="B880" t="s">
        <v>4469</v>
      </c>
      <c r="C880" t="s">
        <v>4443</v>
      </c>
      <c r="D880" s="77">
        <v>0.75486111111111109</v>
      </c>
      <c r="E880" t="s">
        <v>3314</v>
      </c>
      <c r="F880">
        <v>66</v>
      </c>
      <c r="G880" t="s">
        <v>3315</v>
      </c>
      <c r="H880">
        <v>20000</v>
      </c>
      <c r="I880" t="s">
        <v>3316</v>
      </c>
      <c r="J880">
        <v>20000</v>
      </c>
      <c r="K880">
        <v>80000</v>
      </c>
      <c r="L880" t="s">
        <v>118</v>
      </c>
      <c r="M880" t="s">
        <v>92</v>
      </c>
      <c r="N880" t="s">
        <v>137</v>
      </c>
      <c r="O880" t="s">
        <v>3476</v>
      </c>
      <c r="P880" s="5" t="s">
        <v>3318</v>
      </c>
      <c r="Q880">
        <v>4</v>
      </c>
    </row>
    <row r="881" spans="1:17" x14ac:dyDescent="0.3">
      <c r="A881" s="4">
        <v>44635</v>
      </c>
      <c r="B881" t="s">
        <v>4470</v>
      </c>
      <c r="C881" t="s">
        <v>4411</v>
      </c>
      <c r="D881" s="77">
        <v>0.76458333333333339</v>
      </c>
      <c r="E881" t="s">
        <v>3314</v>
      </c>
      <c r="F881">
        <v>51</v>
      </c>
      <c r="G881" t="s">
        <v>3315</v>
      </c>
      <c r="H881">
        <v>20000</v>
      </c>
      <c r="I881" t="s">
        <v>3316</v>
      </c>
      <c r="J881">
        <v>20000</v>
      </c>
      <c r="K881">
        <v>80000</v>
      </c>
      <c r="L881" t="s">
        <v>118</v>
      </c>
      <c r="M881" t="s">
        <v>91</v>
      </c>
      <c r="N881" t="s">
        <v>136</v>
      </c>
      <c r="O881" t="s">
        <v>3422</v>
      </c>
      <c r="P881" s="5" t="s">
        <v>3318</v>
      </c>
      <c r="Q881">
        <v>4</v>
      </c>
    </row>
    <row r="882" spans="1:17" x14ac:dyDescent="0.3">
      <c r="A882" s="4">
        <v>44635</v>
      </c>
      <c r="B882" t="s">
        <v>4471</v>
      </c>
      <c r="C882" t="s">
        <v>4433</v>
      </c>
      <c r="D882" s="77">
        <v>0.7680555555555556</v>
      </c>
      <c r="E882" t="s">
        <v>3314</v>
      </c>
      <c r="F882">
        <v>63</v>
      </c>
      <c r="G882" t="s">
        <v>3315</v>
      </c>
      <c r="H882">
        <v>20000</v>
      </c>
      <c r="I882" t="s">
        <v>3316</v>
      </c>
      <c r="J882">
        <v>20000</v>
      </c>
      <c r="K882">
        <v>90000</v>
      </c>
      <c r="L882" t="s">
        <v>116</v>
      </c>
      <c r="M882" t="s">
        <v>78</v>
      </c>
      <c r="N882" t="s">
        <v>100</v>
      </c>
      <c r="O882" t="s">
        <v>4472</v>
      </c>
      <c r="P882" s="5" t="s">
        <v>3318</v>
      </c>
      <c r="Q882">
        <v>4.5</v>
      </c>
    </row>
    <row r="883" spans="1:17" x14ac:dyDescent="0.3">
      <c r="A883" s="4">
        <v>44635</v>
      </c>
      <c r="B883" t="s">
        <v>4473</v>
      </c>
      <c r="C883" t="s">
        <v>4416</v>
      </c>
      <c r="D883" s="77">
        <v>0.77569444444444446</v>
      </c>
      <c r="E883" t="s">
        <v>3314</v>
      </c>
      <c r="F883">
        <v>62</v>
      </c>
      <c r="G883" t="s">
        <v>3315</v>
      </c>
      <c r="H883">
        <v>20000</v>
      </c>
      <c r="I883" t="s">
        <v>3316</v>
      </c>
      <c r="J883">
        <v>20000</v>
      </c>
      <c r="K883">
        <v>80000</v>
      </c>
      <c r="L883" t="s">
        <v>118</v>
      </c>
      <c r="M883" t="s">
        <v>94</v>
      </c>
      <c r="N883" t="s">
        <v>138</v>
      </c>
      <c r="O883" t="s">
        <v>3775</v>
      </c>
      <c r="P883" s="5" t="s">
        <v>3318</v>
      </c>
      <c r="Q883">
        <v>4</v>
      </c>
    </row>
    <row r="884" spans="1:17" x14ac:dyDescent="0.3">
      <c r="A884" s="4">
        <v>44635</v>
      </c>
      <c r="B884" t="s">
        <v>4474</v>
      </c>
      <c r="C884" t="s">
        <v>4433</v>
      </c>
      <c r="D884" s="77">
        <v>0.78819444444444453</v>
      </c>
      <c r="E884" t="s">
        <v>3314</v>
      </c>
      <c r="F884">
        <v>43</v>
      </c>
      <c r="G884" t="s">
        <v>3315</v>
      </c>
      <c r="H884">
        <v>30000</v>
      </c>
      <c r="I884" t="s">
        <v>3316</v>
      </c>
      <c r="J884">
        <v>30000</v>
      </c>
      <c r="K884">
        <v>120000</v>
      </c>
      <c r="L884" t="s">
        <v>118</v>
      </c>
      <c r="M884" t="s">
        <v>88</v>
      </c>
      <c r="N884" t="s">
        <v>117</v>
      </c>
      <c r="O884" t="s">
        <v>4475</v>
      </c>
      <c r="P884" s="5" t="s">
        <v>3318</v>
      </c>
      <c r="Q884">
        <v>4</v>
      </c>
    </row>
    <row r="885" spans="1:17" x14ac:dyDescent="0.3">
      <c r="A885" s="4">
        <v>44635</v>
      </c>
      <c r="B885" t="s">
        <v>4476</v>
      </c>
      <c r="C885" t="s">
        <v>4411</v>
      </c>
      <c r="D885" s="77">
        <v>0.78819444444444453</v>
      </c>
      <c r="E885" t="s">
        <v>3314</v>
      </c>
      <c r="F885">
        <v>53</v>
      </c>
      <c r="G885" t="s">
        <v>3315</v>
      </c>
      <c r="H885">
        <v>20000</v>
      </c>
      <c r="I885" t="s">
        <v>3316</v>
      </c>
      <c r="J885">
        <v>20000</v>
      </c>
      <c r="K885">
        <v>90000</v>
      </c>
      <c r="L885" t="s">
        <v>116</v>
      </c>
      <c r="M885" t="s">
        <v>84</v>
      </c>
      <c r="N885" t="s">
        <v>108</v>
      </c>
      <c r="O885" t="s">
        <v>3366</v>
      </c>
      <c r="P885" s="5" t="s">
        <v>3318</v>
      </c>
      <c r="Q885">
        <v>4.5</v>
      </c>
    </row>
    <row r="886" spans="1:17" x14ac:dyDescent="0.3">
      <c r="A886" s="4">
        <v>44635</v>
      </c>
      <c r="B886" t="s">
        <v>4477</v>
      </c>
      <c r="C886" t="s">
        <v>4411</v>
      </c>
      <c r="D886" s="77">
        <v>0.85416666666666663</v>
      </c>
      <c r="E886" t="s">
        <v>3314</v>
      </c>
      <c r="F886">
        <v>57</v>
      </c>
      <c r="G886" t="s">
        <v>3315</v>
      </c>
      <c r="H886">
        <v>20000</v>
      </c>
      <c r="I886" t="s">
        <v>3316</v>
      </c>
      <c r="J886">
        <v>20000</v>
      </c>
      <c r="K886">
        <v>80000</v>
      </c>
      <c r="L886" t="s">
        <v>118</v>
      </c>
      <c r="M886" t="s">
        <v>91</v>
      </c>
      <c r="N886" t="s">
        <v>136</v>
      </c>
      <c r="O886" t="s">
        <v>3422</v>
      </c>
      <c r="P886" s="5" t="s">
        <v>3318</v>
      </c>
      <c r="Q886">
        <v>4</v>
      </c>
    </row>
    <row r="887" spans="1:17" x14ac:dyDescent="0.3">
      <c r="A887" s="4">
        <v>44636</v>
      </c>
      <c r="B887" t="s">
        <v>4478</v>
      </c>
      <c r="C887" t="s">
        <v>4409</v>
      </c>
      <c r="D887" s="77">
        <v>0.43124999999999997</v>
      </c>
      <c r="E887" t="s">
        <v>3314</v>
      </c>
      <c r="F887">
        <v>43</v>
      </c>
      <c r="G887" t="s">
        <v>3315</v>
      </c>
      <c r="H887">
        <v>20000</v>
      </c>
      <c r="I887" t="s">
        <v>3316</v>
      </c>
      <c r="J887">
        <v>20000</v>
      </c>
      <c r="K887">
        <v>90000</v>
      </c>
      <c r="L887" t="s">
        <v>114</v>
      </c>
      <c r="M887" t="s">
        <v>79</v>
      </c>
      <c r="N887" t="s">
        <v>131</v>
      </c>
      <c r="O887" t="s">
        <v>3465</v>
      </c>
      <c r="P887" s="5" t="s">
        <v>3318</v>
      </c>
      <c r="Q887">
        <v>4.5</v>
      </c>
    </row>
    <row r="888" spans="1:17" x14ac:dyDescent="0.3">
      <c r="A888" s="4">
        <v>44636</v>
      </c>
      <c r="B888" t="s">
        <v>4479</v>
      </c>
      <c r="C888" t="s">
        <v>4418</v>
      </c>
      <c r="D888" s="77">
        <v>0.43402777777777773</v>
      </c>
      <c r="E888" t="s">
        <v>3314</v>
      </c>
      <c r="F888">
        <v>36</v>
      </c>
      <c r="G888" t="s">
        <v>3315</v>
      </c>
      <c r="H888">
        <v>20000</v>
      </c>
      <c r="I888" t="s">
        <v>3834</v>
      </c>
      <c r="J888">
        <v>20000</v>
      </c>
      <c r="K888">
        <v>80000</v>
      </c>
      <c r="L888" t="s">
        <v>118</v>
      </c>
      <c r="M888" t="s">
        <v>24</v>
      </c>
      <c r="N888" t="s">
        <v>103</v>
      </c>
      <c r="O888" t="s">
        <v>3585</v>
      </c>
      <c r="P888" s="5" t="s">
        <v>3318</v>
      </c>
      <c r="Q888">
        <v>4</v>
      </c>
    </row>
    <row r="889" spans="1:17" x14ac:dyDescent="0.3">
      <c r="A889" s="4">
        <v>44636</v>
      </c>
      <c r="B889" t="s">
        <v>4480</v>
      </c>
      <c r="C889" t="s">
        <v>4409</v>
      </c>
      <c r="D889" s="77">
        <v>0.47291666666666665</v>
      </c>
      <c r="E889" t="s">
        <v>3314</v>
      </c>
      <c r="F889">
        <v>45</v>
      </c>
      <c r="G889" t="s">
        <v>3315</v>
      </c>
      <c r="H889">
        <v>20000</v>
      </c>
      <c r="I889" t="s">
        <v>3316</v>
      </c>
      <c r="J889">
        <v>20000</v>
      </c>
      <c r="K889">
        <v>90000</v>
      </c>
      <c r="L889" t="s">
        <v>114</v>
      </c>
      <c r="M889" t="s">
        <v>79</v>
      </c>
      <c r="N889" t="s">
        <v>131</v>
      </c>
      <c r="O889" t="s">
        <v>3465</v>
      </c>
      <c r="P889" s="5" t="s">
        <v>3318</v>
      </c>
      <c r="Q889">
        <v>4.5</v>
      </c>
    </row>
    <row r="890" spans="1:17" x14ac:dyDescent="0.3">
      <c r="A890" s="4">
        <v>44636</v>
      </c>
      <c r="B890" t="s">
        <v>4481</v>
      </c>
      <c r="C890" t="s">
        <v>4409</v>
      </c>
      <c r="D890" s="77">
        <v>0.4826388888888889</v>
      </c>
      <c r="E890" t="s">
        <v>3314</v>
      </c>
      <c r="F890">
        <v>53</v>
      </c>
      <c r="G890" t="s">
        <v>3315</v>
      </c>
      <c r="H890">
        <v>20000</v>
      </c>
      <c r="I890" t="s">
        <v>3316</v>
      </c>
      <c r="J890">
        <v>20000</v>
      </c>
      <c r="K890">
        <v>90000</v>
      </c>
      <c r="L890" t="s">
        <v>114</v>
      </c>
      <c r="M890" t="s">
        <v>79</v>
      </c>
      <c r="N890" t="s">
        <v>131</v>
      </c>
      <c r="O890" t="s">
        <v>3465</v>
      </c>
      <c r="P890" s="5" t="s">
        <v>3318</v>
      </c>
      <c r="Q890">
        <v>4.5</v>
      </c>
    </row>
    <row r="891" spans="1:17" x14ac:dyDescent="0.3">
      <c r="A891" s="4">
        <v>44636</v>
      </c>
      <c r="B891" t="s">
        <v>4482</v>
      </c>
      <c r="C891" t="s">
        <v>4483</v>
      </c>
      <c r="D891" s="77">
        <v>0.4861111111111111</v>
      </c>
      <c r="E891" t="s">
        <v>3314</v>
      </c>
      <c r="F891">
        <v>41</v>
      </c>
      <c r="G891" t="s">
        <v>3315</v>
      </c>
      <c r="H891">
        <v>30000</v>
      </c>
      <c r="I891" t="s">
        <v>3834</v>
      </c>
      <c r="J891">
        <v>30000</v>
      </c>
      <c r="K891">
        <v>120000</v>
      </c>
      <c r="L891" t="s">
        <v>118</v>
      </c>
      <c r="M891" t="s">
        <v>91</v>
      </c>
      <c r="N891" t="s">
        <v>136</v>
      </c>
      <c r="O891" t="s">
        <v>3422</v>
      </c>
      <c r="P891" s="5" t="s">
        <v>3318</v>
      </c>
      <c r="Q891">
        <v>4</v>
      </c>
    </row>
    <row r="892" spans="1:17" x14ac:dyDescent="0.3">
      <c r="A892" s="4">
        <v>44636</v>
      </c>
      <c r="B892" t="s">
        <v>4484</v>
      </c>
      <c r="C892" t="s">
        <v>4252</v>
      </c>
      <c r="D892" s="77">
        <v>0.53472222222222221</v>
      </c>
      <c r="E892" t="s">
        <v>3332</v>
      </c>
      <c r="F892">
        <v>70</v>
      </c>
      <c r="G892" t="s">
        <v>3315</v>
      </c>
      <c r="H892">
        <v>20000</v>
      </c>
      <c r="I892" t="s">
        <v>3316</v>
      </c>
      <c r="J892">
        <v>20000</v>
      </c>
      <c r="K892">
        <v>100000</v>
      </c>
      <c r="L892" t="s">
        <v>114</v>
      </c>
      <c r="M892" t="s">
        <v>23</v>
      </c>
      <c r="N892" t="s">
        <v>99</v>
      </c>
      <c r="O892" t="s">
        <v>3358</v>
      </c>
      <c r="P892" s="5" t="s">
        <v>3318</v>
      </c>
      <c r="Q892">
        <v>5</v>
      </c>
    </row>
    <row r="893" spans="1:17" x14ac:dyDescent="0.3">
      <c r="A893" s="4">
        <v>44636</v>
      </c>
      <c r="B893" t="s">
        <v>4485</v>
      </c>
      <c r="C893" t="s">
        <v>4252</v>
      </c>
      <c r="D893" s="77">
        <v>0.54583333333333328</v>
      </c>
      <c r="E893" t="s">
        <v>3332</v>
      </c>
      <c r="F893">
        <v>56</v>
      </c>
      <c r="G893" t="s">
        <v>3315</v>
      </c>
      <c r="H893">
        <v>20000</v>
      </c>
      <c r="I893" t="s">
        <v>3316</v>
      </c>
      <c r="J893">
        <v>20000</v>
      </c>
      <c r="K893">
        <v>100000</v>
      </c>
      <c r="L893" t="s">
        <v>113</v>
      </c>
      <c r="M893" t="s">
        <v>22</v>
      </c>
      <c r="N893" t="s">
        <v>98</v>
      </c>
      <c r="O893" t="s">
        <v>3437</v>
      </c>
      <c r="P893" s="5" t="s">
        <v>3318</v>
      </c>
      <c r="Q893">
        <v>5</v>
      </c>
    </row>
    <row r="894" spans="1:17" x14ac:dyDescent="0.3">
      <c r="A894" s="4">
        <v>44636</v>
      </c>
      <c r="B894" t="s">
        <v>4486</v>
      </c>
      <c r="C894" t="s">
        <v>4487</v>
      </c>
      <c r="D894" s="77">
        <v>0.54583333333333328</v>
      </c>
      <c r="E894" t="s">
        <v>3332</v>
      </c>
      <c r="F894">
        <v>59</v>
      </c>
      <c r="G894" t="s">
        <v>3315</v>
      </c>
      <c r="H894">
        <v>30000</v>
      </c>
      <c r="I894" t="s">
        <v>3316</v>
      </c>
      <c r="J894">
        <v>30000</v>
      </c>
      <c r="K894">
        <v>150000</v>
      </c>
      <c r="L894" t="s">
        <v>116</v>
      </c>
      <c r="M894" t="s">
        <v>111</v>
      </c>
      <c r="N894" t="s">
        <v>112</v>
      </c>
      <c r="O894" t="s">
        <v>3345</v>
      </c>
      <c r="P894" s="5" t="s">
        <v>3318</v>
      </c>
      <c r="Q894">
        <v>5</v>
      </c>
    </row>
    <row r="895" spans="1:17" x14ac:dyDescent="0.3">
      <c r="A895" s="4">
        <v>44636</v>
      </c>
      <c r="B895" t="s">
        <v>4488</v>
      </c>
      <c r="C895" t="s">
        <v>4323</v>
      </c>
      <c r="D895" s="77">
        <v>0.55069444444444449</v>
      </c>
      <c r="E895" t="s">
        <v>3314</v>
      </c>
      <c r="F895">
        <v>50</v>
      </c>
      <c r="G895" t="s">
        <v>3315</v>
      </c>
      <c r="H895">
        <v>20000</v>
      </c>
      <c r="I895" t="s">
        <v>3316</v>
      </c>
      <c r="J895">
        <v>20000</v>
      </c>
      <c r="K895">
        <v>90000</v>
      </c>
      <c r="L895" t="s">
        <v>116</v>
      </c>
      <c r="M895" t="s">
        <v>65</v>
      </c>
      <c r="N895" t="s">
        <v>102</v>
      </c>
      <c r="O895" t="s">
        <v>3506</v>
      </c>
      <c r="P895" s="5" t="s">
        <v>3318</v>
      </c>
      <c r="Q895">
        <v>4.5</v>
      </c>
    </row>
    <row r="896" spans="1:17" x14ac:dyDescent="0.3">
      <c r="A896" s="4">
        <v>44636</v>
      </c>
      <c r="B896" t="s">
        <v>4489</v>
      </c>
      <c r="C896" t="s">
        <v>4438</v>
      </c>
      <c r="D896" s="77">
        <v>0.55555555555555558</v>
      </c>
      <c r="E896" t="s">
        <v>3314</v>
      </c>
      <c r="F896">
        <v>57</v>
      </c>
      <c r="G896" t="s">
        <v>3315</v>
      </c>
      <c r="H896">
        <v>20000</v>
      </c>
      <c r="I896" t="s">
        <v>3316</v>
      </c>
      <c r="J896">
        <v>20000</v>
      </c>
      <c r="K896">
        <v>90000</v>
      </c>
      <c r="L896" t="s">
        <v>114</v>
      </c>
      <c r="M896" t="s">
        <v>31</v>
      </c>
      <c r="N896" t="s">
        <v>105</v>
      </c>
      <c r="O896" t="s">
        <v>3339</v>
      </c>
      <c r="P896" s="5" t="s">
        <v>3318</v>
      </c>
      <c r="Q896">
        <v>4.5</v>
      </c>
    </row>
    <row r="897" spans="1:17" x14ac:dyDescent="0.3">
      <c r="A897" s="4">
        <v>44636</v>
      </c>
      <c r="B897" t="s">
        <v>4490</v>
      </c>
      <c r="C897" t="s">
        <v>4491</v>
      </c>
      <c r="D897" s="77">
        <v>0.56458333333333333</v>
      </c>
      <c r="E897" t="s">
        <v>3314</v>
      </c>
      <c r="F897">
        <v>56</v>
      </c>
      <c r="G897" t="s">
        <v>3315</v>
      </c>
      <c r="H897">
        <v>30000</v>
      </c>
      <c r="I897" t="s">
        <v>3316</v>
      </c>
      <c r="J897">
        <v>30000</v>
      </c>
      <c r="K897">
        <v>120000</v>
      </c>
      <c r="L897" t="s">
        <v>118</v>
      </c>
      <c r="M897" t="s">
        <v>92</v>
      </c>
      <c r="N897" t="s">
        <v>137</v>
      </c>
      <c r="O897" t="s">
        <v>3476</v>
      </c>
      <c r="P897" s="5" t="s">
        <v>3318</v>
      </c>
      <c r="Q897">
        <v>4</v>
      </c>
    </row>
    <row r="898" spans="1:17" x14ac:dyDescent="0.3">
      <c r="A898" s="4">
        <v>44636</v>
      </c>
      <c r="B898" t="s">
        <v>4492</v>
      </c>
      <c r="C898" t="s">
        <v>4493</v>
      </c>
      <c r="D898" s="77">
        <v>0.58333333333333337</v>
      </c>
      <c r="E898" t="s">
        <v>3314</v>
      </c>
      <c r="F898">
        <v>54</v>
      </c>
      <c r="G898" t="s">
        <v>3315</v>
      </c>
      <c r="H898">
        <v>30000</v>
      </c>
      <c r="I898" t="s">
        <v>3316</v>
      </c>
      <c r="J898">
        <v>30000</v>
      </c>
      <c r="K898">
        <v>120000</v>
      </c>
      <c r="L898" t="s">
        <v>118</v>
      </c>
      <c r="M898" t="s">
        <v>28</v>
      </c>
      <c r="N898" t="s">
        <v>132</v>
      </c>
      <c r="O898" t="s">
        <v>3449</v>
      </c>
      <c r="P898" s="5" t="s">
        <v>3318</v>
      </c>
      <c r="Q898">
        <v>4</v>
      </c>
    </row>
    <row r="899" spans="1:17" x14ac:dyDescent="0.3">
      <c r="A899" s="4">
        <v>44636</v>
      </c>
      <c r="B899" t="s">
        <v>4494</v>
      </c>
      <c r="C899" t="s">
        <v>4493</v>
      </c>
      <c r="D899" s="77">
        <v>0.58333333333333337</v>
      </c>
      <c r="E899" t="s">
        <v>3314</v>
      </c>
      <c r="F899">
        <v>27</v>
      </c>
      <c r="G899" t="s">
        <v>3315</v>
      </c>
      <c r="H899">
        <v>20000</v>
      </c>
      <c r="I899" t="s">
        <v>3834</v>
      </c>
      <c r="J899">
        <v>20000</v>
      </c>
      <c r="K899">
        <v>80000</v>
      </c>
      <c r="L899" t="s">
        <v>118</v>
      </c>
      <c r="M899" t="s">
        <v>28</v>
      </c>
      <c r="N899" t="s">
        <v>132</v>
      </c>
      <c r="O899" t="s">
        <v>3449</v>
      </c>
      <c r="P899" s="5" t="s">
        <v>3318</v>
      </c>
      <c r="Q899">
        <v>4</v>
      </c>
    </row>
    <row r="900" spans="1:17" x14ac:dyDescent="0.3">
      <c r="A900" s="4">
        <v>44636</v>
      </c>
      <c r="B900" t="s">
        <v>4495</v>
      </c>
      <c r="C900" t="s">
        <v>4491</v>
      </c>
      <c r="D900" s="77">
        <v>0.58472222222222225</v>
      </c>
      <c r="E900" t="s">
        <v>3314</v>
      </c>
      <c r="F900">
        <v>56</v>
      </c>
      <c r="G900" t="s">
        <v>3315</v>
      </c>
      <c r="H900">
        <v>30000</v>
      </c>
      <c r="I900" t="s">
        <v>3316</v>
      </c>
      <c r="J900">
        <v>30000</v>
      </c>
      <c r="K900">
        <v>120000</v>
      </c>
      <c r="L900" t="s">
        <v>118</v>
      </c>
      <c r="M900" t="s">
        <v>92</v>
      </c>
      <c r="N900" t="s">
        <v>137</v>
      </c>
      <c r="O900" t="s">
        <v>3476</v>
      </c>
      <c r="P900" s="5" t="s">
        <v>3318</v>
      </c>
      <c r="Q900">
        <v>4</v>
      </c>
    </row>
    <row r="901" spans="1:17" x14ac:dyDescent="0.3">
      <c r="A901" s="4">
        <v>44636</v>
      </c>
      <c r="B901" t="s">
        <v>4496</v>
      </c>
      <c r="C901" t="s">
        <v>3480</v>
      </c>
      <c r="D901" s="77">
        <v>0.59027777777777779</v>
      </c>
      <c r="E901" t="s">
        <v>3314</v>
      </c>
      <c r="F901">
        <v>25</v>
      </c>
      <c r="G901" t="s">
        <v>3315</v>
      </c>
      <c r="H901">
        <v>20000</v>
      </c>
      <c r="I901" t="s">
        <v>3316</v>
      </c>
      <c r="J901">
        <v>20000</v>
      </c>
      <c r="K901">
        <v>90000</v>
      </c>
      <c r="L901" t="s">
        <v>119</v>
      </c>
      <c r="M901" t="s">
        <v>29</v>
      </c>
      <c r="N901" t="s">
        <v>104</v>
      </c>
      <c r="O901" t="s">
        <v>3457</v>
      </c>
      <c r="P901" s="5" t="s">
        <v>3318</v>
      </c>
      <c r="Q901">
        <v>4.5</v>
      </c>
    </row>
    <row r="902" spans="1:17" x14ac:dyDescent="0.3">
      <c r="A902" s="4">
        <v>44636</v>
      </c>
      <c r="B902" t="s">
        <v>4497</v>
      </c>
      <c r="C902" t="s">
        <v>4323</v>
      </c>
      <c r="D902" s="77">
        <v>0.59027777777777779</v>
      </c>
      <c r="E902" t="s">
        <v>3314</v>
      </c>
      <c r="F902">
        <v>58</v>
      </c>
      <c r="G902" t="s">
        <v>3315</v>
      </c>
      <c r="H902">
        <v>20000</v>
      </c>
      <c r="I902" t="s">
        <v>3316</v>
      </c>
      <c r="J902">
        <v>20000</v>
      </c>
      <c r="K902">
        <v>90000</v>
      </c>
      <c r="L902" t="s">
        <v>116</v>
      </c>
      <c r="M902" t="s">
        <v>65</v>
      </c>
      <c r="N902" t="s">
        <v>102</v>
      </c>
      <c r="O902" t="s">
        <v>3506</v>
      </c>
      <c r="P902" s="5" t="s">
        <v>3318</v>
      </c>
      <c r="Q902">
        <v>4.5</v>
      </c>
    </row>
    <row r="903" spans="1:17" x14ac:dyDescent="0.3">
      <c r="A903" s="4">
        <v>44636</v>
      </c>
      <c r="B903" t="s">
        <v>4498</v>
      </c>
      <c r="C903" t="s">
        <v>4252</v>
      </c>
      <c r="D903" s="77">
        <v>0.59027777777777779</v>
      </c>
      <c r="E903" t="s">
        <v>3332</v>
      </c>
      <c r="F903">
        <v>64</v>
      </c>
      <c r="G903" t="s">
        <v>3315</v>
      </c>
      <c r="H903">
        <v>20000</v>
      </c>
      <c r="I903" t="s">
        <v>3316</v>
      </c>
      <c r="J903">
        <v>20000</v>
      </c>
      <c r="K903">
        <v>100000</v>
      </c>
      <c r="L903" t="s">
        <v>114</v>
      </c>
      <c r="M903" t="s">
        <v>23</v>
      </c>
      <c r="N903" t="s">
        <v>99</v>
      </c>
      <c r="O903" t="s">
        <v>3358</v>
      </c>
      <c r="P903" s="5" t="s">
        <v>3318</v>
      </c>
      <c r="Q903">
        <v>5</v>
      </c>
    </row>
    <row r="904" spans="1:17" x14ac:dyDescent="0.3">
      <c r="A904" s="4">
        <v>44636</v>
      </c>
      <c r="B904" t="s">
        <v>4499</v>
      </c>
      <c r="C904" t="s">
        <v>4323</v>
      </c>
      <c r="D904" s="77">
        <v>0.59236111111111112</v>
      </c>
      <c r="E904" t="s">
        <v>3314</v>
      </c>
      <c r="F904">
        <v>44</v>
      </c>
      <c r="G904" t="s">
        <v>3315</v>
      </c>
      <c r="H904">
        <v>30000</v>
      </c>
      <c r="I904" t="s">
        <v>3316</v>
      </c>
      <c r="J904">
        <v>30000</v>
      </c>
      <c r="K904">
        <v>135000</v>
      </c>
      <c r="L904" t="s">
        <v>119</v>
      </c>
      <c r="M904" t="s">
        <v>27</v>
      </c>
      <c r="N904" t="s">
        <v>101</v>
      </c>
      <c r="O904" t="s">
        <v>3803</v>
      </c>
      <c r="P904" s="5" t="s">
        <v>3318</v>
      </c>
      <c r="Q904">
        <v>4.5</v>
      </c>
    </row>
    <row r="905" spans="1:17" x14ac:dyDescent="0.3">
      <c r="A905" s="4">
        <v>44636</v>
      </c>
      <c r="B905" t="s">
        <v>4500</v>
      </c>
      <c r="C905" t="s">
        <v>3480</v>
      </c>
      <c r="D905" s="77">
        <v>0.60347222222222219</v>
      </c>
      <c r="E905" t="s">
        <v>3314</v>
      </c>
      <c r="F905">
        <v>62</v>
      </c>
      <c r="G905" t="s">
        <v>3315</v>
      </c>
      <c r="H905">
        <v>20000</v>
      </c>
      <c r="I905" t="s">
        <v>3316</v>
      </c>
      <c r="J905">
        <v>20000</v>
      </c>
      <c r="K905">
        <v>80000</v>
      </c>
      <c r="L905" t="s">
        <v>118</v>
      </c>
      <c r="M905" t="s">
        <v>3033</v>
      </c>
      <c r="N905" t="s">
        <v>3035</v>
      </c>
      <c r="O905" t="s">
        <v>3542</v>
      </c>
      <c r="P905" s="5" t="s">
        <v>3318</v>
      </c>
      <c r="Q905">
        <v>4</v>
      </c>
    </row>
    <row r="906" spans="1:17" x14ac:dyDescent="0.3">
      <c r="A906" s="4">
        <v>44636</v>
      </c>
      <c r="B906" t="s">
        <v>4501</v>
      </c>
      <c r="C906" t="s">
        <v>3636</v>
      </c>
      <c r="D906" s="77">
        <v>0.60555555555555551</v>
      </c>
      <c r="E906" t="s">
        <v>3314</v>
      </c>
      <c r="F906">
        <v>53</v>
      </c>
      <c r="G906" t="s">
        <v>3315</v>
      </c>
      <c r="H906">
        <v>20000</v>
      </c>
      <c r="I906" t="s">
        <v>3316</v>
      </c>
      <c r="J906">
        <v>20000</v>
      </c>
      <c r="K906">
        <v>80000</v>
      </c>
      <c r="L906" t="s">
        <v>118</v>
      </c>
      <c r="M906" t="s">
        <v>93</v>
      </c>
      <c r="N906" t="s">
        <v>121</v>
      </c>
      <c r="O906" t="s">
        <v>3781</v>
      </c>
      <c r="P906" s="5" t="s">
        <v>3318</v>
      </c>
      <c r="Q906">
        <v>4</v>
      </c>
    </row>
    <row r="907" spans="1:17" x14ac:dyDescent="0.3">
      <c r="A907" s="4">
        <v>44636</v>
      </c>
      <c r="B907" t="s">
        <v>4502</v>
      </c>
      <c r="C907" t="s">
        <v>4503</v>
      </c>
      <c r="D907" s="77">
        <v>0.61111111111111105</v>
      </c>
      <c r="E907" t="s">
        <v>3314</v>
      </c>
      <c r="F907">
        <v>41</v>
      </c>
      <c r="G907" t="s">
        <v>3315</v>
      </c>
      <c r="H907">
        <v>20000</v>
      </c>
      <c r="I907" t="s">
        <v>3348</v>
      </c>
      <c r="J907">
        <v>20000</v>
      </c>
      <c r="K907">
        <v>80000</v>
      </c>
      <c r="L907" t="s">
        <v>118</v>
      </c>
      <c r="M907" t="s">
        <v>90</v>
      </c>
      <c r="N907" t="s">
        <v>110</v>
      </c>
      <c r="O907" t="s">
        <v>3455</v>
      </c>
      <c r="P907" s="5" t="s">
        <v>3318</v>
      </c>
      <c r="Q907">
        <v>4</v>
      </c>
    </row>
    <row r="908" spans="1:17" x14ac:dyDescent="0.3">
      <c r="A908" s="4">
        <v>44636</v>
      </c>
      <c r="B908" t="s">
        <v>4504</v>
      </c>
      <c r="C908" t="s">
        <v>3480</v>
      </c>
      <c r="D908" s="77">
        <v>0.61249999999999993</v>
      </c>
      <c r="E908" t="s">
        <v>3314</v>
      </c>
      <c r="F908">
        <v>42</v>
      </c>
      <c r="G908" t="s">
        <v>3315</v>
      </c>
      <c r="H908">
        <v>20000</v>
      </c>
      <c r="I908" t="s">
        <v>3834</v>
      </c>
      <c r="J908">
        <v>20000</v>
      </c>
      <c r="K908">
        <v>80000</v>
      </c>
      <c r="L908" t="s">
        <v>118</v>
      </c>
      <c r="M908" t="s">
        <v>3033</v>
      </c>
      <c r="N908" t="s">
        <v>3035</v>
      </c>
      <c r="O908" t="s">
        <v>3542</v>
      </c>
      <c r="P908" s="5" t="s">
        <v>3318</v>
      </c>
      <c r="Q908">
        <v>4</v>
      </c>
    </row>
    <row r="909" spans="1:17" x14ac:dyDescent="0.3">
      <c r="A909" s="4">
        <v>44636</v>
      </c>
      <c r="B909" t="s">
        <v>4505</v>
      </c>
      <c r="C909" t="s">
        <v>4252</v>
      </c>
      <c r="D909" s="77">
        <v>0.62222222222222223</v>
      </c>
      <c r="E909" t="s">
        <v>3332</v>
      </c>
      <c r="F909">
        <v>53</v>
      </c>
      <c r="G909" t="s">
        <v>3336</v>
      </c>
      <c r="H909">
        <v>20000</v>
      </c>
      <c r="I909" t="s">
        <v>3336</v>
      </c>
      <c r="J909">
        <v>20000</v>
      </c>
      <c r="K909">
        <v>100000</v>
      </c>
      <c r="L909" t="s">
        <v>113</v>
      </c>
      <c r="M909" t="s">
        <v>22</v>
      </c>
      <c r="N909" t="s">
        <v>98</v>
      </c>
      <c r="O909" t="s">
        <v>3437</v>
      </c>
      <c r="P909" s="5" t="s">
        <v>3318</v>
      </c>
      <c r="Q909">
        <v>5</v>
      </c>
    </row>
    <row r="910" spans="1:17" x14ac:dyDescent="0.3">
      <c r="A910" s="4">
        <v>44636</v>
      </c>
      <c r="B910" t="s">
        <v>4506</v>
      </c>
      <c r="C910" t="s">
        <v>4487</v>
      </c>
      <c r="D910" s="77">
        <v>0.62361111111111112</v>
      </c>
      <c r="E910" t="s">
        <v>3332</v>
      </c>
      <c r="F910">
        <v>54</v>
      </c>
      <c r="G910" t="s">
        <v>3315</v>
      </c>
      <c r="H910">
        <v>20000</v>
      </c>
      <c r="I910" t="s">
        <v>3834</v>
      </c>
      <c r="J910">
        <v>20000</v>
      </c>
      <c r="K910">
        <v>100000</v>
      </c>
      <c r="L910" t="s">
        <v>116</v>
      </c>
      <c r="M910" t="s">
        <v>111</v>
      </c>
      <c r="N910" t="s">
        <v>112</v>
      </c>
      <c r="O910" t="s">
        <v>3345</v>
      </c>
      <c r="P910" s="5" t="s">
        <v>3318</v>
      </c>
      <c r="Q910">
        <v>5</v>
      </c>
    </row>
    <row r="911" spans="1:17" x14ac:dyDescent="0.3">
      <c r="A911" s="4">
        <v>44636</v>
      </c>
      <c r="B911" t="s">
        <v>4507</v>
      </c>
      <c r="C911" t="s">
        <v>4503</v>
      </c>
      <c r="D911" s="77">
        <v>0.63541666666666663</v>
      </c>
      <c r="E911" t="s">
        <v>3314</v>
      </c>
      <c r="F911">
        <v>42</v>
      </c>
      <c r="G911" t="s">
        <v>3315</v>
      </c>
      <c r="H911">
        <v>20000</v>
      </c>
      <c r="I911" t="s">
        <v>3834</v>
      </c>
      <c r="J911">
        <v>20000</v>
      </c>
      <c r="K911">
        <v>80000</v>
      </c>
      <c r="L911" t="s">
        <v>118</v>
      </c>
      <c r="M911" t="s">
        <v>90</v>
      </c>
      <c r="N911" t="s">
        <v>110</v>
      </c>
      <c r="O911" t="s">
        <v>3455</v>
      </c>
      <c r="P911" s="5" t="s">
        <v>3318</v>
      </c>
      <c r="Q911">
        <v>4</v>
      </c>
    </row>
    <row r="912" spans="1:17" x14ac:dyDescent="0.3">
      <c r="A912" s="4">
        <v>44636</v>
      </c>
      <c r="B912" t="s">
        <v>4508</v>
      </c>
      <c r="C912" t="s">
        <v>3627</v>
      </c>
      <c r="D912" s="77">
        <v>0.63888888888888895</v>
      </c>
      <c r="E912" t="s">
        <v>3314</v>
      </c>
      <c r="F912">
        <v>42</v>
      </c>
      <c r="G912" t="s">
        <v>3315</v>
      </c>
      <c r="H912">
        <v>20000</v>
      </c>
      <c r="I912" t="s">
        <v>3316</v>
      </c>
      <c r="J912">
        <v>20000</v>
      </c>
      <c r="K912">
        <v>80000</v>
      </c>
      <c r="L912" t="s">
        <v>118</v>
      </c>
      <c r="M912" t="s">
        <v>85</v>
      </c>
      <c r="N912" t="s">
        <v>109</v>
      </c>
      <c r="O912" t="s">
        <v>3342</v>
      </c>
      <c r="P912" s="5" t="s">
        <v>3318</v>
      </c>
      <c r="Q912">
        <v>4</v>
      </c>
    </row>
    <row r="913" spans="1:17" x14ac:dyDescent="0.3">
      <c r="A913" s="4">
        <v>44636</v>
      </c>
      <c r="B913" t="s">
        <v>4509</v>
      </c>
      <c r="C913" t="s">
        <v>4503</v>
      </c>
      <c r="D913" s="77">
        <v>0.64583333333333337</v>
      </c>
      <c r="E913" t="s">
        <v>3314</v>
      </c>
      <c r="F913">
        <v>45</v>
      </c>
      <c r="G913" t="s">
        <v>3315</v>
      </c>
      <c r="H913">
        <v>30000</v>
      </c>
      <c r="I913" t="s">
        <v>3316</v>
      </c>
      <c r="J913">
        <v>30000</v>
      </c>
      <c r="K913">
        <v>120000</v>
      </c>
      <c r="L913" t="s">
        <v>118</v>
      </c>
      <c r="M913" t="s">
        <v>90</v>
      </c>
      <c r="N913" t="s">
        <v>110</v>
      </c>
      <c r="O913" t="s">
        <v>3455</v>
      </c>
      <c r="P913" s="5" t="s">
        <v>3318</v>
      </c>
      <c r="Q913">
        <v>4</v>
      </c>
    </row>
    <row r="914" spans="1:17" x14ac:dyDescent="0.3">
      <c r="A914" s="4">
        <v>44636</v>
      </c>
      <c r="B914" t="s">
        <v>4510</v>
      </c>
      <c r="C914" t="s">
        <v>4409</v>
      </c>
      <c r="D914" s="77">
        <v>0.65486111111111112</v>
      </c>
      <c r="E914" t="s">
        <v>3314</v>
      </c>
      <c r="F914">
        <v>41</v>
      </c>
      <c r="G914" t="s">
        <v>3315</v>
      </c>
      <c r="H914">
        <v>20000</v>
      </c>
      <c r="I914" t="s">
        <v>3316</v>
      </c>
      <c r="J914">
        <v>20000</v>
      </c>
      <c r="K914">
        <v>90000</v>
      </c>
      <c r="L914" t="s">
        <v>114</v>
      </c>
      <c r="M914" t="s">
        <v>79</v>
      </c>
      <c r="N914" t="s">
        <v>131</v>
      </c>
      <c r="O914" t="s">
        <v>3465</v>
      </c>
      <c r="P914" s="5" t="s">
        <v>3318</v>
      </c>
      <c r="Q914">
        <v>4.5</v>
      </c>
    </row>
    <row r="915" spans="1:17" x14ac:dyDescent="0.3">
      <c r="A915" s="4">
        <v>44636</v>
      </c>
      <c r="B915" t="s">
        <v>4511</v>
      </c>
      <c r="C915" t="s">
        <v>3636</v>
      </c>
      <c r="D915" s="77">
        <v>0.65694444444444444</v>
      </c>
      <c r="E915" t="s">
        <v>3314</v>
      </c>
      <c r="F915">
        <v>55</v>
      </c>
      <c r="G915" t="s">
        <v>3315</v>
      </c>
      <c r="H915">
        <v>20000</v>
      </c>
      <c r="I915" t="s">
        <v>3316</v>
      </c>
      <c r="J915">
        <v>20000</v>
      </c>
      <c r="K915">
        <v>80000</v>
      </c>
      <c r="L915" t="s">
        <v>118</v>
      </c>
      <c r="M915" t="s">
        <v>86</v>
      </c>
      <c r="N915" t="s">
        <v>120</v>
      </c>
      <c r="O915" t="s">
        <v>3446</v>
      </c>
      <c r="P915" s="5" t="s">
        <v>3318</v>
      </c>
      <c r="Q915">
        <v>4</v>
      </c>
    </row>
    <row r="916" spans="1:17" x14ac:dyDescent="0.3">
      <c r="A916" s="4">
        <v>44636</v>
      </c>
      <c r="B916" t="s">
        <v>4512</v>
      </c>
      <c r="C916" t="s">
        <v>4513</v>
      </c>
      <c r="D916" s="77">
        <v>0.66041666666666665</v>
      </c>
      <c r="E916" t="s">
        <v>3314</v>
      </c>
      <c r="F916">
        <v>50</v>
      </c>
      <c r="G916" t="s">
        <v>3315</v>
      </c>
      <c r="H916">
        <v>30000</v>
      </c>
      <c r="I916" t="s">
        <v>3316</v>
      </c>
      <c r="J916">
        <v>30000</v>
      </c>
      <c r="K916">
        <v>120000</v>
      </c>
      <c r="L916" t="s">
        <v>118</v>
      </c>
      <c r="M916" t="s">
        <v>88</v>
      </c>
      <c r="N916" t="s">
        <v>117</v>
      </c>
      <c r="O916" t="s">
        <v>4475</v>
      </c>
      <c r="P916" s="5" t="s">
        <v>3318</v>
      </c>
      <c r="Q916">
        <v>4</v>
      </c>
    </row>
    <row r="917" spans="1:17" x14ac:dyDescent="0.3">
      <c r="A917" s="4">
        <v>44636</v>
      </c>
      <c r="B917" t="s">
        <v>4514</v>
      </c>
      <c r="C917" t="s">
        <v>4438</v>
      </c>
      <c r="D917" s="77">
        <v>0.66666666666666663</v>
      </c>
      <c r="E917" t="s">
        <v>3314</v>
      </c>
      <c r="F917">
        <v>52</v>
      </c>
      <c r="G917" t="s">
        <v>3315</v>
      </c>
      <c r="H917">
        <v>20000</v>
      </c>
      <c r="I917" t="s">
        <v>3316</v>
      </c>
      <c r="J917">
        <v>20000</v>
      </c>
      <c r="K917">
        <v>80000</v>
      </c>
      <c r="L917" t="s">
        <v>118</v>
      </c>
      <c r="M917" t="s">
        <v>87</v>
      </c>
      <c r="N917" t="s">
        <v>134</v>
      </c>
      <c r="O917" t="s">
        <v>3528</v>
      </c>
      <c r="P917" s="5" t="s">
        <v>3318</v>
      </c>
      <c r="Q917">
        <v>4</v>
      </c>
    </row>
    <row r="918" spans="1:17" x14ac:dyDescent="0.3">
      <c r="A918" s="4">
        <v>44636</v>
      </c>
      <c r="B918" t="s">
        <v>4515</v>
      </c>
      <c r="C918" t="s">
        <v>4516</v>
      </c>
      <c r="D918" s="77">
        <v>0.67013888888888884</v>
      </c>
      <c r="E918" t="s">
        <v>3314</v>
      </c>
      <c r="F918">
        <v>65</v>
      </c>
      <c r="G918" t="s">
        <v>3315</v>
      </c>
      <c r="H918">
        <v>20000</v>
      </c>
      <c r="I918" t="s">
        <v>3316</v>
      </c>
      <c r="J918">
        <v>20000</v>
      </c>
      <c r="K918">
        <v>90000</v>
      </c>
      <c r="L918" t="s">
        <v>116</v>
      </c>
      <c r="M918" t="s">
        <v>76</v>
      </c>
      <c r="N918" t="s">
        <v>107</v>
      </c>
      <c r="O918" t="s">
        <v>3321</v>
      </c>
      <c r="P918" s="5" t="s">
        <v>3318</v>
      </c>
      <c r="Q918">
        <v>4.5</v>
      </c>
    </row>
    <row r="919" spans="1:17" x14ac:dyDescent="0.3">
      <c r="A919" s="4">
        <v>44636</v>
      </c>
      <c r="B919" t="s">
        <v>4517</v>
      </c>
      <c r="C919" t="s">
        <v>3627</v>
      </c>
      <c r="D919" s="77">
        <v>0.68055555555555547</v>
      </c>
      <c r="E919" t="s">
        <v>3314</v>
      </c>
      <c r="F919">
        <v>23</v>
      </c>
      <c r="G919" t="s">
        <v>3575</v>
      </c>
      <c r="H919">
        <v>20000</v>
      </c>
      <c r="I919" t="s">
        <v>3575</v>
      </c>
      <c r="J919">
        <v>20000</v>
      </c>
      <c r="K919">
        <v>20000</v>
      </c>
      <c r="L919" t="s">
        <v>124</v>
      </c>
      <c r="M919" t="s">
        <v>141</v>
      </c>
      <c r="N919" t="s">
        <v>142</v>
      </c>
      <c r="O919" t="s">
        <v>4518</v>
      </c>
      <c r="P919" s="5" t="s">
        <v>3318</v>
      </c>
      <c r="Q919">
        <v>1</v>
      </c>
    </row>
    <row r="920" spans="1:17" x14ac:dyDescent="0.3">
      <c r="A920" s="4">
        <v>44636</v>
      </c>
      <c r="B920" t="s">
        <v>4519</v>
      </c>
      <c r="C920" t="s">
        <v>3391</v>
      </c>
      <c r="D920" s="77">
        <v>0.68263888888888891</v>
      </c>
      <c r="E920" t="s">
        <v>3332</v>
      </c>
      <c r="F920">
        <v>48</v>
      </c>
      <c r="G920" t="s">
        <v>3315</v>
      </c>
      <c r="H920">
        <v>100000</v>
      </c>
      <c r="I920" t="s">
        <v>3834</v>
      </c>
      <c r="J920">
        <v>100000</v>
      </c>
      <c r="K920">
        <v>400000</v>
      </c>
      <c r="L920" t="s">
        <v>118</v>
      </c>
      <c r="M920" t="s">
        <v>147</v>
      </c>
      <c r="N920" t="s">
        <v>148</v>
      </c>
      <c r="O920" t="s">
        <v>3354</v>
      </c>
      <c r="P920" s="5" t="s">
        <v>3318</v>
      </c>
      <c r="Q920">
        <v>4</v>
      </c>
    </row>
    <row r="921" spans="1:17" x14ac:dyDescent="0.3">
      <c r="A921" s="4">
        <v>44636</v>
      </c>
      <c r="B921" t="s">
        <v>4520</v>
      </c>
      <c r="C921" t="s">
        <v>3480</v>
      </c>
      <c r="D921" s="77">
        <v>0.68472222222222223</v>
      </c>
      <c r="E921" t="s">
        <v>3314</v>
      </c>
      <c r="F921">
        <v>67</v>
      </c>
      <c r="G921" t="s">
        <v>3889</v>
      </c>
      <c r="H921">
        <v>20000</v>
      </c>
      <c r="I921" t="s">
        <v>3889</v>
      </c>
      <c r="J921">
        <v>20000</v>
      </c>
      <c r="K921">
        <v>80000</v>
      </c>
      <c r="L921" t="s">
        <v>118</v>
      </c>
      <c r="M921" t="s">
        <v>3033</v>
      </c>
      <c r="N921" t="s">
        <v>3035</v>
      </c>
      <c r="O921" t="s">
        <v>3542</v>
      </c>
      <c r="P921" s="5" t="s">
        <v>3318</v>
      </c>
      <c r="Q921">
        <v>4</v>
      </c>
    </row>
    <row r="922" spans="1:17" x14ac:dyDescent="0.3">
      <c r="A922" s="4">
        <v>44636</v>
      </c>
      <c r="B922" t="s">
        <v>4521</v>
      </c>
      <c r="C922" t="s">
        <v>4252</v>
      </c>
      <c r="D922" s="77">
        <v>0.6875</v>
      </c>
      <c r="E922" t="s">
        <v>3332</v>
      </c>
      <c r="F922">
        <v>55</v>
      </c>
      <c r="G922" t="s">
        <v>3889</v>
      </c>
      <c r="H922">
        <v>20000</v>
      </c>
      <c r="I922" t="s">
        <v>3889</v>
      </c>
      <c r="J922">
        <v>20000</v>
      </c>
      <c r="K922">
        <v>100000</v>
      </c>
      <c r="L922" t="s">
        <v>113</v>
      </c>
      <c r="M922" t="s">
        <v>22</v>
      </c>
      <c r="N922" t="s">
        <v>98</v>
      </c>
      <c r="O922" t="s">
        <v>3437</v>
      </c>
      <c r="P922" s="5" t="s">
        <v>3318</v>
      </c>
      <c r="Q922">
        <v>5</v>
      </c>
    </row>
    <row r="923" spans="1:17" x14ac:dyDescent="0.3">
      <c r="A923" s="4">
        <v>44636</v>
      </c>
      <c r="B923" t="s">
        <v>4522</v>
      </c>
      <c r="C923" t="s">
        <v>4323</v>
      </c>
      <c r="D923" s="77">
        <v>0.69791666666666663</v>
      </c>
      <c r="E923" t="s">
        <v>3314</v>
      </c>
      <c r="F923">
        <v>64</v>
      </c>
      <c r="G923" t="s">
        <v>3315</v>
      </c>
      <c r="H923">
        <v>20000</v>
      </c>
      <c r="I923" t="s">
        <v>3316</v>
      </c>
      <c r="J923">
        <v>20000</v>
      </c>
      <c r="K923">
        <v>90000</v>
      </c>
      <c r="L923" t="s">
        <v>119</v>
      </c>
      <c r="M923" t="s">
        <v>27</v>
      </c>
      <c r="N923" t="s">
        <v>101</v>
      </c>
      <c r="O923" t="s">
        <v>3803</v>
      </c>
      <c r="P923" s="5" t="s">
        <v>3318</v>
      </c>
      <c r="Q923">
        <v>4.5</v>
      </c>
    </row>
    <row r="924" spans="1:17" x14ac:dyDescent="0.3">
      <c r="A924" s="4">
        <v>44636</v>
      </c>
      <c r="B924" t="s">
        <v>4523</v>
      </c>
      <c r="C924" t="s">
        <v>4487</v>
      </c>
      <c r="D924" s="77">
        <v>0.70000000000000007</v>
      </c>
      <c r="E924" t="s">
        <v>3332</v>
      </c>
      <c r="F924">
        <v>63</v>
      </c>
      <c r="G924" t="s">
        <v>3315</v>
      </c>
      <c r="H924">
        <v>30000</v>
      </c>
      <c r="I924" t="s">
        <v>3834</v>
      </c>
      <c r="J924">
        <v>30000</v>
      </c>
      <c r="K924">
        <v>150000</v>
      </c>
      <c r="L924" t="s">
        <v>116</v>
      </c>
      <c r="M924" t="s">
        <v>111</v>
      </c>
      <c r="N924" t="s">
        <v>112</v>
      </c>
      <c r="O924" t="s">
        <v>3345</v>
      </c>
      <c r="P924" s="5" t="s">
        <v>3318</v>
      </c>
      <c r="Q924">
        <v>5</v>
      </c>
    </row>
    <row r="925" spans="1:17" x14ac:dyDescent="0.3">
      <c r="A925" s="4">
        <v>44636</v>
      </c>
      <c r="B925" t="s">
        <v>4524</v>
      </c>
      <c r="C925" t="s">
        <v>4491</v>
      </c>
      <c r="D925" s="77">
        <v>0.70694444444444438</v>
      </c>
      <c r="E925" t="s">
        <v>3314</v>
      </c>
      <c r="F925">
        <v>61</v>
      </c>
      <c r="G925" t="s">
        <v>3315</v>
      </c>
      <c r="H925">
        <v>30000</v>
      </c>
      <c r="I925" t="s">
        <v>3316</v>
      </c>
      <c r="J925">
        <v>30000</v>
      </c>
      <c r="K925">
        <v>120000</v>
      </c>
      <c r="L925" t="s">
        <v>118</v>
      </c>
      <c r="M925" t="s">
        <v>92</v>
      </c>
      <c r="N925" t="s">
        <v>137</v>
      </c>
      <c r="O925" t="s">
        <v>3476</v>
      </c>
      <c r="P925" s="5" t="s">
        <v>3318</v>
      </c>
      <c r="Q925">
        <v>4</v>
      </c>
    </row>
    <row r="926" spans="1:17" x14ac:dyDescent="0.3">
      <c r="A926" s="4">
        <v>44636</v>
      </c>
      <c r="B926" t="s">
        <v>4525</v>
      </c>
      <c r="C926" t="s">
        <v>4493</v>
      </c>
      <c r="D926" s="77">
        <v>0.70833333333333337</v>
      </c>
      <c r="E926" t="s">
        <v>3314</v>
      </c>
      <c r="F926">
        <v>62</v>
      </c>
      <c r="G926" t="s">
        <v>3315</v>
      </c>
      <c r="H926">
        <v>30000</v>
      </c>
      <c r="I926" t="s">
        <v>3316</v>
      </c>
      <c r="J926">
        <v>30000</v>
      </c>
      <c r="K926">
        <v>120000</v>
      </c>
      <c r="L926" t="s">
        <v>118</v>
      </c>
      <c r="M926" t="s">
        <v>28</v>
      </c>
      <c r="N926" t="s">
        <v>132</v>
      </c>
      <c r="O926" t="s">
        <v>3449</v>
      </c>
      <c r="P926" s="5" t="s">
        <v>3318</v>
      </c>
      <c r="Q926">
        <v>4</v>
      </c>
    </row>
    <row r="927" spans="1:17" x14ac:dyDescent="0.3">
      <c r="A927" s="4">
        <v>44636</v>
      </c>
      <c r="B927" t="s">
        <v>4526</v>
      </c>
      <c r="C927" t="s">
        <v>4491</v>
      </c>
      <c r="D927" s="77">
        <v>0.71527777777777779</v>
      </c>
      <c r="E927" t="s">
        <v>3314</v>
      </c>
      <c r="F927">
        <v>59</v>
      </c>
      <c r="G927" t="s">
        <v>3315</v>
      </c>
      <c r="H927">
        <v>20000</v>
      </c>
      <c r="I927" t="s">
        <v>3316</v>
      </c>
      <c r="J927">
        <v>20000</v>
      </c>
      <c r="K927">
        <v>80000</v>
      </c>
      <c r="L927" t="s">
        <v>118</v>
      </c>
      <c r="M927" t="s">
        <v>92</v>
      </c>
      <c r="N927" t="s">
        <v>137</v>
      </c>
      <c r="O927" t="s">
        <v>3476</v>
      </c>
      <c r="P927" s="5" t="s">
        <v>3318</v>
      </c>
      <c r="Q927">
        <v>4</v>
      </c>
    </row>
    <row r="928" spans="1:17" x14ac:dyDescent="0.3">
      <c r="A928" s="4">
        <v>44636</v>
      </c>
      <c r="B928" t="s">
        <v>4527</v>
      </c>
      <c r="C928" t="s">
        <v>4483</v>
      </c>
      <c r="D928" s="77">
        <v>0.71944444444444444</v>
      </c>
      <c r="E928" t="s">
        <v>3314</v>
      </c>
      <c r="F928">
        <v>45</v>
      </c>
      <c r="G928" t="s">
        <v>3315</v>
      </c>
      <c r="H928">
        <v>70000</v>
      </c>
      <c r="I928" t="s">
        <v>3834</v>
      </c>
      <c r="J928">
        <v>70000</v>
      </c>
      <c r="K928">
        <v>315000</v>
      </c>
      <c r="L928" t="s">
        <v>116</v>
      </c>
      <c r="M928" t="s">
        <v>84</v>
      </c>
      <c r="N928" t="s">
        <v>108</v>
      </c>
      <c r="O928" t="s">
        <v>3366</v>
      </c>
      <c r="P928" s="5" t="s">
        <v>3318</v>
      </c>
      <c r="Q928">
        <v>4.5</v>
      </c>
    </row>
    <row r="929" spans="1:17" x14ac:dyDescent="0.3">
      <c r="A929" s="4">
        <v>44636</v>
      </c>
      <c r="B929" t="s">
        <v>4528</v>
      </c>
      <c r="C929" t="s">
        <v>4334</v>
      </c>
      <c r="D929" s="77">
        <v>0.72222222222222221</v>
      </c>
      <c r="E929" t="s">
        <v>3314</v>
      </c>
      <c r="F929">
        <v>61</v>
      </c>
      <c r="G929" t="s">
        <v>3315</v>
      </c>
      <c r="H929">
        <v>20000</v>
      </c>
      <c r="I929" t="s">
        <v>3316</v>
      </c>
      <c r="J929">
        <v>20000</v>
      </c>
      <c r="K929">
        <v>90000</v>
      </c>
      <c r="L929" t="s">
        <v>114</v>
      </c>
      <c r="M929" t="s">
        <v>30</v>
      </c>
      <c r="N929" t="s">
        <v>106</v>
      </c>
      <c r="O929" t="s">
        <v>3379</v>
      </c>
      <c r="P929" s="5" t="s">
        <v>3318</v>
      </c>
      <c r="Q929">
        <v>4.5</v>
      </c>
    </row>
    <row r="930" spans="1:17" x14ac:dyDescent="0.3">
      <c r="A930" s="4">
        <v>44636</v>
      </c>
      <c r="B930" t="s">
        <v>4529</v>
      </c>
      <c r="C930" t="s">
        <v>4503</v>
      </c>
      <c r="D930" s="77">
        <v>0.72916666666666663</v>
      </c>
      <c r="E930" t="s">
        <v>3314</v>
      </c>
      <c r="F930">
        <v>66</v>
      </c>
      <c r="G930" t="s">
        <v>3315</v>
      </c>
      <c r="H930">
        <v>20000</v>
      </c>
      <c r="I930" t="s">
        <v>3316</v>
      </c>
      <c r="J930">
        <v>20000</v>
      </c>
      <c r="K930">
        <v>80000</v>
      </c>
      <c r="L930" t="s">
        <v>118</v>
      </c>
      <c r="M930" t="s">
        <v>90</v>
      </c>
      <c r="N930" t="s">
        <v>110</v>
      </c>
      <c r="O930" t="s">
        <v>3455</v>
      </c>
      <c r="P930" s="5" t="s">
        <v>3318</v>
      </c>
      <c r="Q930">
        <v>4</v>
      </c>
    </row>
    <row r="931" spans="1:17" x14ac:dyDescent="0.3">
      <c r="A931" s="4">
        <v>44636</v>
      </c>
      <c r="B931" t="s">
        <v>4530</v>
      </c>
      <c r="C931" t="s">
        <v>4531</v>
      </c>
      <c r="D931" s="77">
        <v>0.72916666666666663</v>
      </c>
      <c r="E931" t="s">
        <v>3314</v>
      </c>
      <c r="F931">
        <v>37</v>
      </c>
      <c r="G931" t="s">
        <v>3315</v>
      </c>
      <c r="H931">
        <v>20000</v>
      </c>
      <c r="I931" t="s">
        <v>3316</v>
      </c>
      <c r="J931">
        <v>20000</v>
      </c>
      <c r="K931">
        <v>90000</v>
      </c>
      <c r="L931" t="s">
        <v>116</v>
      </c>
      <c r="M931" t="s">
        <v>77</v>
      </c>
      <c r="N931" t="s">
        <v>133</v>
      </c>
      <c r="O931" t="s">
        <v>3376</v>
      </c>
      <c r="P931" s="5" t="s">
        <v>3318</v>
      </c>
      <c r="Q931">
        <v>4.5</v>
      </c>
    </row>
    <row r="932" spans="1:17" x14ac:dyDescent="0.3">
      <c r="A932" s="4">
        <v>44636</v>
      </c>
      <c r="B932" t="s">
        <v>4532</v>
      </c>
      <c r="C932" t="s">
        <v>4516</v>
      </c>
      <c r="D932" s="77">
        <v>0.72916666666666663</v>
      </c>
      <c r="E932" t="s">
        <v>3314</v>
      </c>
      <c r="F932">
        <v>29</v>
      </c>
      <c r="G932" t="s">
        <v>3315</v>
      </c>
      <c r="H932">
        <v>30000</v>
      </c>
      <c r="I932" t="s">
        <v>3316</v>
      </c>
      <c r="J932">
        <v>30000</v>
      </c>
      <c r="K932">
        <v>135000</v>
      </c>
      <c r="L932" t="s">
        <v>116</v>
      </c>
      <c r="M932" t="s">
        <v>76</v>
      </c>
      <c r="N932" t="s">
        <v>107</v>
      </c>
      <c r="O932" t="s">
        <v>3321</v>
      </c>
      <c r="P932" s="5" t="s">
        <v>3318</v>
      </c>
      <c r="Q932">
        <v>4.5</v>
      </c>
    </row>
    <row r="933" spans="1:17" x14ac:dyDescent="0.3">
      <c r="A933" s="4">
        <v>44636</v>
      </c>
      <c r="B933" t="s">
        <v>4533</v>
      </c>
      <c r="C933" t="s">
        <v>3636</v>
      </c>
      <c r="D933" s="77">
        <v>0.73263888888888884</v>
      </c>
      <c r="E933" t="s">
        <v>3314</v>
      </c>
      <c r="F933">
        <v>65</v>
      </c>
      <c r="G933" t="s">
        <v>3315</v>
      </c>
      <c r="H933">
        <v>20000</v>
      </c>
      <c r="I933" t="s">
        <v>3316</v>
      </c>
      <c r="J933">
        <v>20000</v>
      </c>
      <c r="K933">
        <v>80000</v>
      </c>
      <c r="L933" t="s">
        <v>118</v>
      </c>
      <c r="M933" t="s">
        <v>93</v>
      </c>
      <c r="N933" t="s">
        <v>121</v>
      </c>
      <c r="O933" t="s">
        <v>3781</v>
      </c>
      <c r="P933" s="5" t="s">
        <v>3318</v>
      </c>
      <c r="Q933">
        <v>4</v>
      </c>
    </row>
    <row r="934" spans="1:17" x14ac:dyDescent="0.3">
      <c r="A934" s="4">
        <v>44636</v>
      </c>
      <c r="B934" t="s">
        <v>4534</v>
      </c>
      <c r="C934" t="s">
        <v>3636</v>
      </c>
      <c r="D934" s="77">
        <v>0.74236111111111114</v>
      </c>
      <c r="E934" t="s">
        <v>3314</v>
      </c>
      <c r="F934">
        <v>63</v>
      </c>
      <c r="G934" t="s">
        <v>3315</v>
      </c>
      <c r="H934">
        <v>30000</v>
      </c>
      <c r="I934" t="s">
        <v>3316</v>
      </c>
      <c r="J934">
        <v>30000</v>
      </c>
      <c r="K934">
        <v>120000</v>
      </c>
      <c r="L934" t="s">
        <v>118</v>
      </c>
      <c r="M934" t="s">
        <v>86</v>
      </c>
      <c r="N934" t="s">
        <v>120</v>
      </c>
      <c r="O934" t="s">
        <v>3446</v>
      </c>
      <c r="P934" s="5" t="s">
        <v>3318</v>
      </c>
      <c r="Q934">
        <v>4</v>
      </c>
    </row>
    <row r="935" spans="1:17" x14ac:dyDescent="0.3">
      <c r="A935" s="4">
        <v>44636</v>
      </c>
      <c r="B935" t="s">
        <v>4535</v>
      </c>
      <c r="C935" t="s">
        <v>4516</v>
      </c>
      <c r="D935" s="77">
        <v>0.76041666666666663</v>
      </c>
      <c r="E935" t="s">
        <v>3314</v>
      </c>
      <c r="F935">
        <v>41</v>
      </c>
      <c r="G935" t="s">
        <v>3315</v>
      </c>
      <c r="H935">
        <v>20000</v>
      </c>
      <c r="I935" t="s">
        <v>3316</v>
      </c>
      <c r="J935">
        <v>20000</v>
      </c>
      <c r="K935">
        <v>80000</v>
      </c>
      <c r="L935" t="s">
        <v>118</v>
      </c>
      <c r="M935" t="s">
        <v>96</v>
      </c>
      <c r="N935" t="s">
        <v>140</v>
      </c>
      <c r="O935" t="s">
        <v>4105</v>
      </c>
      <c r="P935" s="5" t="s">
        <v>3318</v>
      </c>
      <c r="Q935">
        <v>4</v>
      </c>
    </row>
    <row r="936" spans="1:17" x14ac:dyDescent="0.3">
      <c r="A936" s="4">
        <v>44636</v>
      </c>
      <c r="B936" t="s">
        <v>4536</v>
      </c>
      <c r="C936" t="s">
        <v>4483</v>
      </c>
      <c r="D936" s="77">
        <v>0.76180555555555562</v>
      </c>
      <c r="E936" t="s">
        <v>3314</v>
      </c>
      <c r="F936">
        <v>59</v>
      </c>
      <c r="G936" t="s">
        <v>3315</v>
      </c>
      <c r="H936">
        <v>30000</v>
      </c>
      <c r="I936" t="s">
        <v>3316</v>
      </c>
      <c r="J936">
        <v>30000</v>
      </c>
      <c r="K936">
        <v>120000</v>
      </c>
      <c r="L936" t="s">
        <v>118</v>
      </c>
      <c r="M936" t="s">
        <v>91</v>
      </c>
      <c r="N936" t="s">
        <v>136</v>
      </c>
      <c r="O936" t="s">
        <v>3422</v>
      </c>
      <c r="P936" s="5" t="s">
        <v>3318</v>
      </c>
      <c r="Q936">
        <v>4</v>
      </c>
    </row>
    <row r="937" spans="1:17" x14ac:dyDescent="0.3">
      <c r="A937" s="4">
        <v>44636</v>
      </c>
      <c r="B937" t="s">
        <v>4537</v>
      </c>
      <c r="C937" t="s">
        <v>4503</v>
      </c>
      <c r="D937" s="77">
        <v>0.77083333333333337</v>
      </c>
      <c r="E937" t="s">
        <v>3314</v>
      </c>
      <c r="F937">
        <v>38</v>
      </c>
      <c r="G937" t="s">
        <v>3315</v>
      </c>
      <c r="H937">
        <v>30000</v>
      </c>
      <c r="I937" t="s">
        <v>3316</v>
      </c>
      <c r="J937">
        <v>30000</v>
      </c>
      <c r="K937">
        <v>120000</v>
      </c>
      <c r="L937" t="s">
        <v>118</v>
      </c>
      <c r="M937" t="s">
        <v>90</v>
      </c>
      <c r="N937" t="s">
        <v>110</v>
      </c>
      <c r="O937" t="s">
        <v>3455</v>
      </c>
      <c r="P937" s="5" t="s">
        <v>3318</v>
      </c>
      <c r="Q937">
        <v>4</v>
      </c>
    </row>
    <row r="938" spans="1:17" x14ac:dyDescent="0.3">
      <c r="A938" s="4">
        <v>44636</v>
      </c>
      <c r="B938" t="s">
        <v>4538</v>
      </c>
      <c r="C938" t="s">
        <v>3627</v>
      </c>
      <c r="D938" s="77">
        <v>0.78125</v>
      </c>
      <c r="E938" t="s">
        <v>3314</v>
      </c>
      <c r="F938">
        <v>43</v>
      </c>
      <c r="G938" t="s">
        <v>3315</v>
      </c>
      <c r="H938">
        <v>20000</v>
      </c>
      <c r="I938" t="s">
        <v>3834</v>
      </c>
      <c r="J938">
        <v>20000</v>
      </c>
      <c r="K938">
        <v>80000</v>
      </c>
      <c r="L938" t="s">
        <v>118</v>
      </c>
      <c r="M938" t="s">
        <v>85</v>
      </c>
      <c r="N938" t="s">
        <v>109</v>
      </c>
      <c r="O938" t="s">
        <v>3342</v>
      </c>
      <c r="P938" s="5" t="s">
        <v>3318</v>
      </c>
      <c r="Q938">
        <v>4</v>
      </c>
    </row>
    <row r="939" spans="1:17" x14ac:dyDescent="0.3">
      <c r="A939" s="4">
        <v>44636</v>
      </c>
      <c r="B939" t="s">
        <v>4539</v>
      </c>
      <c r="C939" t="s">
        <v>4503</v>
      </c>
      <c r="D939" s="77">
        <v>0.78472222222222221</v>
      </c>
      <c r="E939" t="s">
        <v>3314</v>
      </c>
      <c r="F939">
        <v>45</v>
      </c>
      <c r="G939" t="s">
        <v>3315</v>
      </c>
      <c r="H939">
        <v>20000</v>
      </c>
      <c r="I939" t="s">
        <v>3316</v>
      </c>
      <c r="J939">
        <v>20000</v>
      </c>
      <c r="K939">
        <v>80000</v>
      </c>
      <c r="L939" t="s">
        <v>118</v>
      </c>
      <c r="M939" t="s">
        <v>90</v>
      </c>
      <c r="N939" t="s">
        <v>110</v>
      </c>
      <c r="O939" t="s">
        <v>3455</v>
      </c>
      <c r="P939" s="5" t="s">
        <v>3318</v>
      </c>
      <c r="Q939">
        <v>4</v>
      </c>
    </row>
    <row r="940" spans="1:17" x14ac:dyDescent="0.3">
      <c r="A940" s="4">
        <v>44636</v>
      </c>
      <c r="B940" t="s">
        <v>4540</v>
      </c>
      <c r="C940" t="s">
        <v>4493</v>
      </c>
      <c r="D940" s="77">
        <v>0.79166666666666663</v>
      </c>
      <c r="E940" t="s">
        <v>3314</v>
      </c>
      <c r="F940">
        <v>50</v>
      </c>
      <c r="G940" t="s">
        <v>3315</v>
      </c>
      <c r="H940">
        <v>20000</v>
      </c>
      <c r="I940" t="s">
        <v>3316</v>
      </c>
      <c r="J940">
        <v>20000</v>
      </c>
      <c r="K940">
        <v>80000</v>
      </c>
      <c r="L940" t="s">
        <v>118</v>
      </c>
      <c r="M940" t="s">
        <v>28</v>
      </c>
      <c r="N940" t="s">
        <v>132</v>
      </c>
      <c r="O940" t="s">
        <v>3449</v>
      </c>
      <c r="P940" s="5" t="s">
        <v>3318</v>
      </c>
      <c r="Q940">
        <v>4</v>
      </c>
    </row>
    <row r="941" spans="1:17" x14ac:dyDescent="0.3">
      <c r="A941" s="4">
        <v>44636</v>
      </c>
      <c r="B941" t="s">
        <v>4541</v>
      </c>
      <c r="C941" t="s">
        <v>4516</v>
      </c>
      <c r="D941" s="77">
        <v>0.79861111111111116</v>
      </c>
      <c r="E941" t="s">
        <v>3314</v>
      </c>
      <c r="F941">
        <v>28</v>
      </c>
      <c r="G941" t="s">
        <v>3315</v>
      </c>
      <c r="H941">
        <v>20000</v>
      </c>
      <c r="I941" t="s">
        <v>3316</v>
      </c>
      <c r="J941">
        <v>20000</v>
      </c>
      <c r="K941">
        <v>80000</v>
      </c>
      <c r="L941" t="s">
        <v>118</v>
      </c>
      <c r="M941" t="s">
        <v>96</v>
      </c>
      <c r="N941" t="s">
        <v>140</v>
      </c>
      <c r="O941" t="s">
        <v>4105</v>
      </c>
      <c r="P941" s="5" t="s">
        <v>3318</v>
      </c>
      <c r="Q941">
        <v>4</v>
      </c>
    </row>
    <row r="942" spans="1:17" x14ac:dyDescent="0.3">
      <c r="A942" s="4">
        <v>44636</v>
      </c>
      <c r="B942" t="s">
        <v>4542</v>
      </c>
      <c r="C942" t="s">
        <v>4516</v>
      </c>
      <c r="D942" s="77">
        <v>0.7993055555555556</v>
      </c>
      <c r="E942" t="s">
        <v>3314</v>
      </c>
      <c r="F942">
        <v>49</v>
      </c>
      <c r="G942" t="s">
        <v>3315</v>
      </c>
      <c r="H942">
        <v>20000</v>
      </c>
      <c r="I942" t="s">
        <v>3316</v>
      </c>
      <c r="J942">
        <v>20000</v>
      </c>
      <c r="K942">
        <v>90000</v>
      </c>
      <c r="L942" t="s">
        <v>116</v>
      </c>
      <c r="M942" t="s">
        <v>76</v>
      </c>
      <c r="N942" t="s">
        <v>107</v>
      </c>
      <c r="O942" t="s">
        <v>3321</v>
      </c>
      <c r="P942" s="5" t="s">
        <v>3318</v>
      </c>
      <c r="Q942">
        <v>4.5</v>
      </c>
    </row>
    <row r="943" spans="1:17" x14ac:dyDescent="0.3">
      <c r="A943" s="4">
        <v>44636</v>
      </c>
      <c r="B943" t="s">
        <v>4543</v>
      </c>
      <c r="C943" t="s">
        <v>3480</v>
      </c>
      <c r="D943" s="77">
        <v>0.80208333333333337</v>
      </c>
      <c r="E943" t="s">
        <v>3314</v>
      </c>
      <c r="F943">
        <v>63</v>
      </c>
      <c r="G943" t="s">
        <v>3488</v>
      </c>
      <c r="H943">
        <v>10000</v>
      </c>
      <c r="I943" t="s">
        <v>3488</v>
      </c>
      <c r="J943">
        <v>10000</v>
      </c>
      <c r="K943">
        <v>40000</v>
      </c>
      <c r="L943" t="s">
        <v>118</v>
      </c>
      <c r="M943" t="s">
        <v>3033</v>
      </c>
      <c r="N943" t="s">
        <v>3035</v>
      </c>
      <c r="O943" t="s">
        <v>3542</v>
      </c>
      <c r="P943" s="5" t="s">
        <v>3318</v>
      </c>
      <c r="Q943">
        <v>4</v>
      </c>
    </row>
    <row r="944" spans="1:17" x14ac:dyDescent="0.3">
      <c r="A944" s="4">
        <v>44636</v>
      </c>
      <c r="B944" t="s">
        <v>4544</v>
      </c>
      <c r="C944" t="s">
        <v>4493</v>
      </c>
      <c r="D944" s="77">
        <v>0.8125</v>
      </c>
      <c r="E944" t="s">
        <v>3314</v>
      </c>
      <c r="F944">
        <v>53</v>
      </c>
      <c r="G944" t="s">
        <v>3315</v>
      </c>
      <c r="H944">
        <v>20000</v>
      </c>
      <c r="I944" t="s">
        <v>3834</v>
      </c>
      <c r="J944">
        <v>20000</v>
      </c>
      <c r="K944">
        <v>80000</v>
      </c>
      <c r="L944" t="s">
        <v>118</v>
      </c>
      <c r="M944" t="s">
        <v>28</v>
      </c>
      <c r="N944" t="s">
        <v>132</v>
      </c>
      <c r="O944" t="s">
        <v>3449</v>
      </c>
      <c r="P944" s="5" t="s">
        <v>3318</v>
      </c>
      <c r="Q944">
        <v>4</v>
      </c>
    </row>
    <row r="945" spans="1:17" x14ac:dyDescent="0.3">
      <c r="A945" s="4">
        <v>44636</v>
      </c>
      <c r="B945" t="s">
        <v>4545</v>
      </c>
      <c r="C945" t="s">
        <v>4513</v>
      </c>
      <c r="D945" s="77">
        <v>0.82708333333333339</v>
      </c>
      <c r="E945" t="s">
        <v>3314</v>
      </c>
      <c r="F945">
        <v>58</v>
      </c>
      <c r="G945" t="s">
        <v>3315</v>
      </c>
      <c r="H945">
        <v>20000</v>
      </c>
      <c r="I945" t="s">
        <v>3316</v>
      </c>
      <c r="J945">
        <v>20000</v>
      </c>
      <c r="K945">
        <v>90000</v>
      </c>
      <c r="L945" t="s">
        <v>116</v>
      </c>
      <c r="M945" t="s">
        <v>78</v>
      </c>
      <c r="N945" t="s">
        <v>100</v>
      </c>
      <c r="O945" t="s">
        <v>4472</v>
      </c>
      <c r="P945" s="5" t="s">
        <v>3318</v>
      </c>
      <c r="Q945">
        <v>4.5</v>
      </c>
    </row>
    <row r="946" spans="1:17" x14ac:dyDescent="0.3">
      <c r="A946" s="4">
        <v>44636</v>
      </c>
      <c r="B946" t="s">
        <v>4546</v>
      </c>
      <c r="C946" t="s">
        <v>4531</v>
      </c>
      <c r="D946" s="77">
        <v>0.85555555555555562</v>
      </c>
      <c r="E946" t="s">
        <v>3314</v>
      </c>
      <c r="F946">
        <v>38</v>
      </c>
      <c r="G946" t="s">
        <v>3315</v>
      </c>
      <c r="H946">
        <v>30000</v>
      </c>
      <c r="I946" t="s">
        <v>3316</v>
      </c>
      <c r="J946">
        <v>30000</v>
      </c>
      <c r="K946">
        <v>120000</v>
      </c>
      <c r="L946" t="s">
        <v>118</v>
      </c>
      <c r="M946" t="s">
        <v>94</v>
      </c>
      <c r="N946" t="s">
        <v>138</v>
      </c>
      <c r="O946" t="s">
        <v>3775</v>
      </c>
      <c r="P946" s="5" t="s">
        <v>3318</v>
      </c>
      <c r="Q946">
        <v>4</v>
      </c>
    </row>
    <row r="947" spans="1:17" x14ac:dyDescent="0.3">
      <c r="A947" s="4">
        <v>44636</v>
      </c>
      <c r="B947" t="s">
        <v>4547</v>
      </c>
      <c r="C947" t="s">
        <v>4531</v>
      </c>
      <c r="D947" s="77">
        <v>0.86319444444444438</v>
      </c>
      <c r="E947" t="s">
        <v>3314</v>
      </c>
      <c r="F947">
        <v>54</v>
      </c>
      <c r="G947" t="s">
        <v>3315</v>
      </c>
      <c r="H947">
        <v>30000</v>
      </c>
      <c r="I947" t="s">
        <v>3316</v>
      </c>
      <c r="J947">
        <v>30000</v>
      </c>
      <c r="K947">
        <v>135000</v>
      </c>
      <c r="L947" t="s">
        <v>116</v>
      </c>
      <c r="M947" t="s">
        <v>77</v>
      </c>
      <c r="N947" t="s">
        <v>133</v>
      </c>
      <c r="O947" t="s">
        <v>3376</v>
      </c>
      <c r="P947" s="5" t="s">
        <v>3318</v>
      </c>
      <c r="Q947">
        <v>4.5</v>
      </c>
    </row>
    <row r="948" spans="1:17" x14ac:dyDescent="0.3">
      <c r="A948" s="4">
        <v>44636</v>
      </c>
      <c r="B948" t="s">
        <v>4548</v>
      </c>
      <c r="C948" t="s">
        <v>4531</v>
      </c>
      <c r="D948" s="77">
        <v>0.86458333333333337</v>
      </c>
      <c r="E948" t="s">
        <v>3314</v>
      </c>
      <c r="F948">
        <v>45</v>
      </c>
      <c r="G948" t="s">
        <v>3315</v>
      </c>
      <c r="H948">
        <v>20000</v>
      </c>
      <c r="I948" t="s">
        <v>3316</v>
      </c>
      <c r="J948">
        <v>20000</v>
      </c>
      <c r="K948">
        <v>80000</v>
      </c>
      <c r="L948" t="s">
        <v>118</v>
      </c>
      <c r="M948" t="s">
        <v>94</v>
      </c>
      <c r="N948" t="s">
        <v>138</v>
      </c>
      <c r="O948" t="s">
        <v>3775</v>
      </c>
      <c r="P948" s="5" t="s">
        <v>3318</v>
      </c>
      <c r="Q948">
        <v>4</v>
      </c>
    </row>
    <row r="949" spans="1:17" x14ac:dyDescent="0.3">
      <c r="A949" s="4">
        <v>44637</v>
      </c>
      <c r="B949" t="s">
        <v>4549</v>
      </c>
      <c r="C949" t="s">
        <v>4409</v>
      </c>
      <c r="D949" s="77">
        <v>0.41250000000000003</v>
      </c>
      <c r="E949" t="s">
        <v>3314</v>
      </c>
      <c r="F949">
        <v>55</v>
      </c>
      <c r="G949" t="s">
        <v>3315</v>
      </c>
      <c r="H949">
        <v>20000</v>
      </c>
      <c r="I949" t="s">
        <v>3316</v>
      </c>
      <c r="J949">
        <v>20000</v>
      </c>
      <c r="K949">
        <v>90000</v>
      </c>
      <c r="L949" t="s">
        <v>114</v>
      </c>
      <c r="M949" t="s">
        <v>79</v>
      </c>
      <c r="N949" t="s">
        <v>131</v>
      </c>
      <c r="O949" t="s">
        <v>3465</v>
      </c>
      <c r="P949" s="5" t="s">
        <v>3318</v>
      </c>
      <c r="Q949">
        <v>4.5</v>
      </c>
    </row>
    <row r="950" spans="1:17" x14ac:dyDescent="0.3">
      <c r="A950" s="4">
        <v>44637</v>
      </c>
      <c r="B950" t="s">
        <v>4550</v>
      </c>
      <c r="C950" t="s">
        <v>4409</v>
      </c>
      <c r="D950" s="77">
        <v>0.42499999999999999</v>
      </c>
      <c r="E950" t="s">
        <v>3314</v>
      </c>
      <c r="F950">
        <v>55</v>
      </c>
      <c r="G950" t="s">
        <v>3315</v>
      </c>
      <c r="H950">
        <v>20000</v>
      </c>
      <c r="I950" t="s">
        <v>3316</v>
      </c>
      <c r="J950">
        <v>20000</v>
      </c>
      <c r="K950">
        <v>90000</v>
      </c>
      <c r="L950" t="s">
        <v>114</v>
      </c>
      <c r="M950" t="s">
        <v>79</v>
      </c>
      <c r="N950" t="s">
        <v>131</v>
      </c>
      <c r="O950" t="s">
        <v>3465</v>
      </c>
      <c r="P950" s="5" t="s">
        <v>3318</v>
      </c>
      <c r="Q950">
        <v>4.5</v>
      </c>
    </row>
    <row r="951" spans="1:17" x14ac:dyDescent="0.3">
      <c r="A951" s="4">
        <v>44637</v>
      </c>
      <c r="B951" t="s">
        <v>4551</v>
      </c>
      <c r="C951" t="s">
        <v>4409</v>
      </c>
      <c r="D951" s="77">
        <v>0.43402777777777773</v>
      </c>
      <c r="E951" t="s">
        <v>3314</v>
      </c>
      <c r="F951">
        <v>61</v>
      </c>
      <c r="G951" t="s">
        <v>3315</v>
      </c>
      <c r="H951">
        <v>20000</v>
      </c>
      <c r="I951" t="s">
        <v>3316</v>
      </c>
      <c r="J951">
        <v>20000</v>
      </c>
      <c r="K951">
        <v>90000</v>
      </c>
      <c r="L951" t="s">
        <v>114</v>
      </c>
      <c r="M951" t="s">
        <v>79</v>
      </c>
      <c r="N951" t="s">
        <v>131</v>
      </c>
      <c r="O951" t="s">
        <v>3465</v>
      </c>
      <c r="P951" s="5" t="s">
        <v>3318</v>
      </c>
      <c r="Q951">
        <v>4.5</v>
      </c>
    </row>
    <row r="952" spans="1:17" x14ac:dyDescent="0.3">
      <c r="A952" s="4">
        <v>44637</v>
      </c>
      <c r="B952" t="s">
        <v>4552</v>
      </c>
      <c r="C952" t="s">
        <v>4553</v>
      </c>
      <c r="D952" s="77">
        <v>0.4458333333333333</v>
      </c>
      <c r="E952" t="s">
        <v>3314</v>
      </c>
      <c r="F952">
        <v>37</v>
      </c>
      <c r="G952" t="s">
        <v>3315</v>
      </c>
      <c r="H952">
        <v>20000</v>
      </c>
      <c r="I952" t="s">
        <v>3316</v>
      </c>
      <c r="J952">
        <v>20000</v>
      </c>
      <c r="K952">
        <v>80000</v>
      </c>
      <c r="L952" t="s">
        <v>118</v>
      </c>
      <c r="M952" t="s">
        <v>88</v>
      </c>
      <c r="N952" t="s">
        <v>117</v>
      </c>
      <c r="O952" t="s">
        <v>4475</v>
      </c>
      <c r="P952" s="5" t="s">
        <v>3318</v>
      </c>
      <c r="Q952">
        <v>4</v>
      </c>
    </row>
    <row r="953" spans="1:17" x14ac:dyDescent="0.3">
      <c r="A953" s="4">
        <v>44637</v>
      </c>
      <c r="B953" t="s">
        <v>4554</v>
      </c>
      <c r="C953" t="s">
        <v>4409</v>
      </c>
      <c r="D953" s="77">
        <v>0.4465277777777778</v>
      </c>
      <c r="E953" t="s">
        <v>3314</v>
      </c>
      <c r="F953">
        <v>41</v>
      </c>
      <c r="G953" t="s">
        <v>3315</v>
      </c>
      <c r="H953">
        <v>20000</v>
      </c>
      <c r="I953" t="s">
        <v>3834</v>
      </c>
      <c r="J953">
        <v>20000</v>
      </c>
      <c r="K953">
        <v>90000</v>
      </c>
      <c r="L953" t="s">
        <v>114</v>
      </c>
      <c r="M953" t="s">
        <v>79</v>
      </c>
      <c r="N953" t="s">
        <v>131</v>
      </c>
      <c r="O953" t="s">
        <v>3465</v>
      </c>
      <c r="P953" s="5" t="s">
        <v>3318</v>
      </c>
      <c r="Q953">
        <v>4.5</v>
      </c>
    </row>
    <row r="954" spans="1:17" x14ac:dyDescent="0.3">
      <c r="A954" s="4">
        <v>44637</v>
      </c>
      <c r="B954" t="s">
        <v>4555</v>
      </c>
      <c r="C954" t="s">
        <v>4553</v>
      </c>
      <c r="D954" s="77">
        <v>0.4604166666666667</v>
      </c>
      <c r="E954" t="s">
        <v>3314</v>
      </c>
      <c r="F954">
        <v>50</v>
      </c>
      <c r="G954" t="s">
        <v>3315</v>
      </c>
      <c r="H954">
        <v>20000</v>
      </c>
      <c r="I954" t="s">
        <v>3316</v>
      </c>
      <c r="J954">
        <v>20000</v>
      </c>
      <c r="K954">
        <v>90000</v>
      </c>
      <c r="L954" t="s">
        <v>116</v>
      </c>
      <c r="M954" t="s">
        <v>78</v>
      </c>
      <c r="N954" t="s">
        <v>100</v>
      </c>
      <c r="O954" t="s">
        <v>4472</v>
      </c>
      <c r="P954" s="5" t="s">
        <v>3318</v>
      </c>
      <c r="Q954">
        <v>4.5</v>
      </c>
    </row>
    <row r="955" spans="1:17" x14ac:dyDescent="0.3">
      <c r="A955" s="4">
        <v>44637</v>
      </c>
      <c r="B955" t="s">
        <v>4556</v>
      </c>
      <c r="C955" t="s">
        <v>4553</v>
      </c>
      <c r="D955" s="77">
        <v>0.49374999999999997</v>
      </c>
      <c r="E955" t="s">
        <v>3314</v>
      </c>
      <c r="F955">
        <v>43</v>
      </c>
      <c r="G955" t="s">
        <v>3315</v>
      </c>
      <c r="H955">
        <v>20000</v>
      </c>
      <c r="I955" t="s">
        <v>3834</v>
      </c>
      <c r="J955">
        <v>20000</v>
      </c>
      <c r="K955">
        <v>90000</v>
      </c>
      <c r="L955" t="s">
        <v>116</v>
      </c>
      <c r="M955" t="s">
        <v>78</v>
      </c>
      <c r="N955" t="s">
        <v>100</v>
      </c>
      <c r="O955" t="s">
        <v>4472</v>
      </c>
      <c r="P955" s="5" t="s">
        <v>3318</v>
      </c>
      <c r="Q955">
        <v>4.5</v>
      </c>
    </row>
    <row r="956" spans="1:17" x14ac:dyDescent="0.3">
      <c r="A956" s="4">
        <v>44637</v>
      </c>
      <c r="B956" t="s">
        <v>4557</v>
      </c>
      <c r="C956" t="s">
        <v>4553</v>
      </c>
      <c r="D956" s="77">
        <v>0.50694444444444442</v>
      </c>
      <c r="E956" t="s">
        <v>3314</v>
      </c>
      <c r="F956">
        <v>39</v>
      </c>
      <c r="G956" t="s">
        <v>3315</v>
      </c>
      <c r="H956">
        <v>30000</v>
      </c>
      <c r="I956" t="s">
        <v>3834</v>
      </c>
      <c r="J956">
        <v>30000</v>
      </c>
      <c r="K956">
        <v>120000</v>
      </c>
      <c r="L956" t="s">
        <v>118</v>
      </c>
      <c r="M956" t="s">
        <v>88</v>
      </c>
      <c r="N956" t="s">
        <v>117</v>
      </c>
      <c r="O956" t="s">
        <v>4475</v>
      </c>
      <c r="P956" s="5" t="s">
        <v>3318</v>
      </c>
      <c r="Q956">
        <v>4</v>
      </c>
    </row>
    <row r="957" spans="1:17" x14ac:dyDescent="0.3">
      <c r="A957" s="4">
        <v>44637</v>
      </c>
      <c r="B957" t="s">
        <v>4558</v>
      </c>
      <c r="C957" t="s">
        <v>4559</v>
      </c>
      <c r="D957" s="77">
        <v>0.51250000000000007</v>
      </c>
      <c r="E957" t="s">
        <v>3314</v>
      </c>
      <c r="F957">
        <v>78</v>
      </c>
      <c r="G957" t="s">
        <v>3315</v>
      </c>
      <c r="H957">
        <v>20000</v>
      </c>
      <c r="I957" t="s">
        <v>3316</v>
      </c>
      <c r="J957">
        <v>20000</v>
      </c>
      <c r="K957">
        <v>80000</v>
      </c>
      <c r="L957" t="s">
        <v>118</v>
      </c>
      <c r="M957" t="s">
        <v>91</v>
      </c>
      <c r="N957" t="s">
        <v>136</v>
      </c>
      <c r="O957" t="s">
        <v>3422</v>
      </c>
      <c r="P957" s="5" t="s">
        <v>3318</v>
      </c>
      <c r="Q957">
        <v>4</v>
      </c>
    </row>
    <row r="958" spans="1:17" x14ac:dyDescent="0.3">
      <c r="A958" s="4">
        <v>44637</v>
      </c>
      <c r="B958" t="s">
        <v>4560</v>
      </c>
      <c r="C958" t="s">
        <v>4561</v>
      </c>
      <c r="D958" s="77">
        <v>0.53611111111111109</v>
      </c>
      <c r="E958" t="s">
        <v>3314</v>
      </c>
      <c r="F958">
        <v>41</v>
      </c>
      <c r="G958" t="s">
        <v>3315</v>
      </c>
      <c r="H958">
        <v>30000</v>
      </c>
      <c r="I958" t="s">
        <v>3834</v>
      </c>
      <c r="J958">
        <v>30000</v>
      </c>
      <c r="K958">
        <v>120000</v>
      </c>
      <c r="L958" t="s">
        <v>118</v>
      </c>
      <c r="M958" t="s">
        <v>92</v>
      </c>
      <c r="N958" t="s">
        <v>137</v>
      </c>
      <c r="O958" t="s">
        <v>3476</v>
      </c>
      <c r="P958" s="5" t="s">
        <v>3318</v>
      </c>
      <c r="Q958">
        <v>4</v>
      </c>
    </row>
    <row r="959" spans="1:17" x14ac:dyDescent="0.3">
      <c r="A959" s="4">
        <v>44637</v>
      </c>
      <c r="B959" t="s">
        <v>4562</v>
      </c>
      <c r="C959" t="s">
        <v>3636</v>
      </c>
      <c r="D959" s="77">
        <v>0.55138888888888882</v>
      </c>
      <c r="E959" t="s">
        <v>3314</v>
      </c>
      <c r="F959">
        <v>26</v>
      </c>
      <c r="G959" t="s">
        <v>3315</v>
      </c>
      <c r="H959">
        <v>30000</v>
      </c>
      <c r="I959" t="s">
        <v>3316</v>
      </c>
      <c r="J959">
        <v>30000</v>
      </c>
      <c r="K959">
        <v>135000</v>
      </c>
      <c r="L959" t="s">
        <v>116</v>
      </c>
      <c r="M959" t="s">
        <v>65</v>
      </c>
      <c r="N959" t="s">
        <v>102</v>
      </c>
      <c r="O959" t="s">
        <v>3506</v>
      </c>
      <c r="P959" s="5" t="s">
        <v>3318</v>
      </c>
      <c r="Q959">
        <v>4.5</v>
      </c>
    </row>
    <row r="960" spans="1:17" x14ac:dyDescent="0.3">
      <c r="A960" s="4">
        <v>44637</v>
      </c>
      <c r="B960" t="s">
        <v>4563</v>
      </c>
      <c r="C960" t="s">
        <v>4553</v>
      </c>
      <c r="D960" s="77">
        <v>0.5541666666666667</v>
      </c>
      <c r="E960" t="s">
        <v>3314</v>
      </c>
      <c r="F960">
        <v>57</v>
      </c>
      <c r="G960" t="s">
        <v>3315</v>
      </c>
      <c r="H960">
        <v>20000</v>
      </c>
      <c r="I960" t="s">
        <v>3316</v>
      </c>
      <c r="J960">
        <v>20000</v>
      </c>
      <c r="K960">
        <v>90000</v>
      </c>
      <c r="L960" t="s">
        <v>116</v>
      </c>
      <c r="M960" t="s">
        <v>78</v>
      </c>
      <c r="N960" t="s">
        <v>100</v>
      </c>
      <c r="O960" t="s">
        <v>4472</v>
      </c>
      <c r="P960" s="5" t="s">
        <v>3318</v>
      </c>
      <c r="Q960">
        <v>4.5</v>
      </c>
    </row>
    <row r="961" spans="1:17" x14ac:dyDescent="0.3">
      <c r="A961" s="4">
        <v>44637</v>
      </c>
      <c r="B961" t="s">
        <v>4564</v>
      </c>
      <c r="C961" t="s">
        <v>4565</v>
      </c>
      <c r="D961" s="77">
        <v>0.56944444444444442</v>
      </c>
      <c r="E961" t="s">
        <v>3332</v>
      </c>
      <c r="F961">
        <v>29</v>
      </c>
      <c r="G961" t="s">
        <v>3315</v>
      </c>
      <c r="H961">
        <v>20000</v>
      </c>
      <c r="I961" t="s">
        <v>3316</v>
      </c>
      <c r="J961">
        <v>20000</v>
      </c>
      <c r="K961">
        <v>100000</v>
      </c>
      <c r="L961" t="s">
        <v>116</v>
      </c>
      <c r="M961" t="s">
        <v>111</v>
      </c>
      <c r="N961" t="s">
        <v>112</v>
      </c>
      <c r="O961" t="s">
        <v>3345</v>
      </c>
      <c r="P961" s="5" t="s">
        <v>3318</v>
      </c>
      <c r="Q961">
        <v>5</v>
      </c>
    </row>
    <row r="962" spans="1:17" x14ac:dyDescent="0.3">
      <c r="A962" s="4">
        <v>44637</v>
      </c>
      <c r="B962" t="s">
        <v>4566</v>
      </c>
      <c r="C962" t="s">
        <v>4561</v>
      </c>
      <c r="D962" s="77">
        <v>0.57638888888888895</v>
      </c>
      <c r="E962" t="s">
        <v>3314</v>
      </c>
      <c r="F962">
        <v>28</v>
      </c>
      <c r="G962" t="s">
        <v>3315</v>
      </c>
      <c r="H962">
        <v>20000</v>
      </c>
      <c r="I962" t="s">
        <v>3316</v>
      </c>
      <c r="J962">
        <v>20000</v>
      </c>
      <c r="K962">
        <v>80000</v>
      </c>
      <c r="L962" t="s">
        <v>118</v>
      </c>
      <c r="M962" t="s">
        <v>92</v>
      </c>
      <c r="N962" t="s">
        <v>137</v>
      </c>
      <c r="O962" t="s">
        <v>3476</v>
      </c>
      <c r="P962" s="5" t="s">
        <v>3318</v>
      </c>
      <c r="Q962">
        <v>4</v>
      </c>
    </row>
    <row r="963" spans="1:17" x14ac:dyDescent="0.3">
      <c r="A963" s="4">
        <v>44637</v>
      </c>
      <c r="B963" t="s">
        <v>4567</v>
      </c>
      <c r="C963" t="s">
        <v>4018</v>
      </c>
      <c r="D963" s="77">
        <v>0.57916666666666672</v>
      </c>
      <c r="E963" t="s">
        <v>3314</v>
      </c>
      <c r="F963">
        <v>52</v>
      </c>
      <c r="G963" t="s">
        <v>3315</v>
      </c>
      <c r="H963">
        <v>30000</v>
      </c>
      <c r="I963" t="s">
        <v>3316</v>
      </c>
      <c r="J963">
        <v>30000</v>
      </c>
      <c r="K963">
        <v>120000</v>
      </c>
      <c r="L963" t="s">
        <v>118</v>
      </c>
      <c r="M963" t="s">
        <v>94</v>
      </c>
      <c r="N963" t="s">
        <v>138</v>
      </c>
      <c r="O963" t="s">
        <v>3775</v>
      </c>
      <c r="P963" s="5" t="s">
        <v>3318</v>
      </c>
      <c r="Q963">
        <v>4</v>
      </c>
    </row>
    <row r="964" spans="1:17" x14ac:dyDescent="0.3">
      <c r="A964" s="4">
        <v>44637</v>
      </c>
      <c r="B964" t="s">
        <v>4568</v>
      </c>
      <c r="C964" t="s">
        <v>4565</v>
      </c>
      <c r="D964" s="77">
        <v>0.57986111111111105</v>
      </c>
      <c r="E964" t="s">
        <v>3332</v>
      </c>
      <c r="F964">
        <v>27</v>
      </c>
      <c r="G964" t="s">
        <v>3315</v>
      </c>
      <c r="H964">
        <v>20000</v>
      </c>
      <c r="I964" t="s">
        <v>3316</v>
      </c>
      <c r="J964">
        <v>20000</v>
      </c>
      <c r="K964">
        <v>80000</v>
      </c>
      <c r="L964" t="s">
        <v>118</v>
      </c>
      <c r="M964" t="s">
        <v>147</v>
      </c>
      <c r="N964" t="s">
        <v>148</v>
      </c>
      <c r="O964" t="s">
        <v>3354</v>
      </c>
      <c r="P964" s="5" t="s">
        <v>3318</v>
      </c>
      <c r="Q964">
        <v>4</v>
      </c>
    </row>
    <row r="965" spans="1:17" x14ac:dyDescent="0.3">
      <c r="A965" s="4">
        <v>44637</v>
      </c>
      <c r="B965" t="s">
        <v>4569</v>
      </c>
      <c r="C965" t="s">
        <v>4570</v>
      </c>
      <c r="D965" s="77">
        <v>0.58333333333333337</v>
      </c>
      <c r="E965" t="s">
        <v>3314</v>
      </c>
      <c r="F965">
        <v>46</v>
      </c>
      <c r="G965" t="s">
        <v>3315</v>
      </c>
      <c r="H965">
        <v>20000</v>
      </c>
      <c r="I965" t="s">
        <v>3316</v>
      </c>
      <c r="J965">
        <v>20000</v>
      </c>
      <c r="K965">
        <v>80000</v>
      </c>
      <c r="L965" t="s">
        <v>118</v>
      </c>
      <c r="M965" t="s">
        <v>28</v>
      </c>
      <c r="N965" t="s">
        <v>132</v>
      </c>
      <c r="O965" t="s">
        <v>3449</v>
      </c>
      <c r="P965" s="5" t="s">
        <v>3318</v>
      </c>
      <c r="Q965">
        <v>4</v>
      </c>
    </row>
    <row r="966" spans="1:17" x14ac:dyDescent="0.3">
      <c r="A966" s="4">
        <v>44637</v>
      </c>
      <c r="B966" t="s">
        <v>4571</v>
      </c>
      <c r="C966" t="s">
        <v>4553</v>
      </c>
      <c r="D966" s="77">
        <v>0.58333333333333337</v>
      </c>
      <c r="E966" t="s">
        <v>3314</v>
      </c>
      <c r="F966">
        <v>63</v>
      </c>
      <c r="G966" t="s">
        <v>3315</v>
      </c>
      <c r="H966">
        <v>20000</v>
      </c>
      <c r="I966" t="s">
        <v>3834</v>
      </c>
      <c r="J966">
        <v>20000</v>
      </c>
      <c r="K966">
        <v>80000</v>
      </c>
      <c r="L966" t="s">
        <v>118</v>
      </c>
      <c r="M966" t="s">
        <v>88</v>
      </c>
      <c r="N966" t="s">
        <v>117</v>
      </c>
      <c r="O966" t="s">
        <v>4475</v>
      </c>
      <c r="P966" s="5" t="s">
        <v>3318</v>
      </c>
      <c r="Q966">
        <v>4</v>
      </c>
    </row>
    <row r="967" spans="1:17" x14ac:dyDescent="0.3">
      <c r="A967" s="4">
        <v>44637</v>
      </c>
      <c r="B967" t="s">
        <v>4572</v>
      </c>
      <c r="C967" t="s">
        <v>4409</v>
      </c>
      <c r="D967" s="77">
        <v>0.59375</v>
      </c>
      <c r="E967" t="s">
        <v>3314</v>
      </c>
      <c r="F967">
        <v>46</v>
      </c>
      <c r="G967" t="s">
        <v>3315</v>
      </c>
      <c r="H967">
        <v>20000</v>
      </c>
      <c r="I967" t="s">
        <v>3316</v>
      </c>
      <c r="J967">
        <v>20000</v>
      </c>
      <c r="K967">
        <v>90000</v>
      </c>
      <c r="L967" t="s">
        <v>114</v>
      </c>
      <c r="M967" t="s">
        <v>79</v>
      </c>
      <c r="N967" t="s">
        <v>131</v>
      </c>
      <c r="O967" t="s">
        <v>3465</v>
      </c>
      <c r="P967" s="5" t="s">
        <v>3318</v>
      </c>
      <c r="Q967">
        <v>4.5</v>
      </c>
    </row>
    <row r="968" spans="1:17" x14ac:dyDescent="0.3">
      <c r="A968" s="4">
        <v>44637</v>
      </c>
      <c r="B968" t="s">
        <v>4573</v>
      </c>
      <c r="C968" t="s">
        <v>4574</v>
      </c>
      <c r="D968" s="77">
        <v>0.59930555555555554</v>
      </c>
      <c r="E968" t="s">
        <v>3314</v>
      </c>
      <c r="F968">
        <v>48</v>
      </c>
      <c r="G968" t="s">
        <v>3315</v>
      </c>
      <c r="H968">
        <v>20000</v>
      </c>
      <c r="I968" t="s">
        <v>3316</v>
      </c>
      <c r="J968">
        <v>20000</v>
      </c>
      <c r="K968">
        <v>90000</v>
      </c>
      <c r="L968" t="s">
        <v>114</v>
      </c>
      <c r="M968" t="s">
        <v>30</v>
      </c>
      <c r="N968" t="s">
        <v>106</v>
      </c>
      <c r="O968" t="s">
        <v>3379</v>
      </c>
      <c r="P968" s="5" t="s">
        <v>3318</v>
      </c>
      <c r="Q968">
        <v>4.5</v>
      </c>
    </row>
    <row r="969" spans="1:17" x14ac:dyDescent="0.3">
      <c r="A969" s="4">
        <v>44637</v>
      </c>
      <c r="B969" t="s">
        <v>4575</v>
      </c>
      <c r="C969" t="s">
        <v>4576</v>
      </c>
      <c r="D969" s="77">
        <v>0.60625000000000007</v>
      </c>
      <c r="E969" t="s">
        <v>3314</v>
      </c>
      <c r="F969">
        <v>67</v>
      </c>
      <c r="G969" t="s">
        <v>3315</v>
      </c>
      <c r="H969">
        <v>20000</v>
      </c>
      <c r="I969" t="s">
        <v>3316</v>
      </c>
      <c r="J969">
        <v>20000</v>
      </c>
      <c r="K969">
        <v>90000</v>
      </c>
      <c r="L969" t="s">
        <v>119</v>
      </c>
      <c r="M969" t="s">
        <v>27</v>
      </c>
      <c r="N969" t="s">
        <v>101</v>
      </c>
      <c r="O969" t="s">
        <v>3803</v>
      </c>
      <c r="P969" s="5" t="s">
        <v>3318</v>
      </c>
      <c r="Q969">
        <v>4.5</v>
      </c>
    </row>
    <row r="970" spans="1:17" x14ac:dyDescent="0.3">
      <c r="A970" s="4">
        <v>44637</v>
      </c>
      <c r="B970" t="s">
        <v>4577</v>
      </c>
      <c r="C970" t="s">
        <v>3636</v>
      </c>
      <c r="D970" s="77">
        <v>0.60625000000000007</v>
      </c>
      <c r="E970" t="s">
        <v>3314</v>
      </c>
      <c r="F970">
        <v>48</v>
      </c>
      <c r="G970" t="s">
        <v>3315</v>
      </c>
      <c r="H970">
        <v>20000</v>
      </c>
      <c r="I970" t="s">
        <v>3316</v>
      </c>
      <c r="J970">
        <v>20000</v>
      </c>
      <c r="K970">
        <v>80000</v>
      </c>
      <c r="L970" t="s">
        <v>118</v>
      </c>
      <c r="M970" t="s">
        <v>86</v>
      </c>
      <c r="N970" t="s">
        <v>120</v>
      </c>
      <c r="O970" t="s">
        <v>3446</v>
      </c>
      <c r="P970" s="5" t="s">
        <v>3318</v>
      </c>
      <c r="Q970">
        <v>4</v>
      </c>
    </row>
    <row r="971" spans="1:17" x14ac:dyDescent="0.3">
      <c r="A971" s="4">
        <v>44637</v>
      </c>
      <c r="B971" t="s">
        <v>4578</v>
      </c>
      <c r="C971" t="s">
        <v>4409</v>
      </c>
      <c r="D971" s="77">
        <v>0.61041666666666672</v>
      </c>
      <c r="E971" t="s">
        <v>3314</v>
      </c>
      <c r="F971">
        <v>53</v>
      </c>
      <c r="G971" t="s">
        <v>3315</v>
      </c>
      <c r="H971">
        <v>20000</v>
      </c>
      <c r="I971" t="s">
        <v>3316</v>
      </c>
      <c r="J971">
        <v>20000</v>
      </c>
      <c r="K971">
        <v>90000</v>
      </c>
      <c r="L971" t="s">
        <v>114</v>
      </c>
      <c r="M971" t="s">
        <v>79</v>
      </c>
      <c r="N971" t="s">
        <v>131</v>
      </c>
      <c r="O971" t="s">
        <v>3465</v>
      </c>
      <c r="P971" s="5" t="s">
        <v>3318</v>
      </c>
      <c r="Q971">
        <v>4.5</v>
      </c>
    </row>
    <row r="972" spans="1:17" x14ac:dyDescent="0.3">
      <c r="A972" s="4">
        <v>44637</v>
      </c>
      <c r="B972" t="s">
        <v>4579</v>
      </c>
      <c r="C972" t="s">
        <v>4553</v>
      </c>
      <c r="D972" s="77">
        <v>0.61249999999999993</v>
      </c>
      <c r="E972" t="s">
        <v>3314</v>
      </c>
      <c r="F972">
        <v>52</v>
      </c>
      <c r="G972" t="s">
        <v>3315</v>
      </c>
      <c r="H972">
        <v>20000</v>
      </c>
      <c r="I972" t="s">
        <v>3834</v>
      </c>
      <c r="J972">
        <v>20000</v>
      </c>
      <c r="K972">
        <v>80000</v>
      </c>
      <c r="L972" t="s">
        <v>118</v>
      </c>
      <c r="M972" t="s">
        <v>88</v>
      </c>
      <c r="N972" t="s">
        <v>117</v>
      </c>
      <c r="O972" t="s">
        <v>4475</v>
      </c>
      <c r="P972" s="5" t="s">
        <v>3318</v>
      </c>
      <c r="Q972">
        <v>4</v>
      </c>
    </row>
    <row r="973" spans="1:17" x14ac:dyDescent="0.3">
      <c r="A973" s="4">
        <v>44637</v>
      </c>
      <c r="B973" t="s">
        <v>4580</v>
      </c>
      <c r="C973" t="s">
        <v>4576</v>
      </c>
      <c r="D973" s="77">
        <v>0.61319444444444449</v>
      </c>
      <c r="E973" t="s">
        <v>3314</v>
      </c>
      <c r="F973">
        <v>79</v>
      </c>
      <c r="G973" t="s">
        <v>3315</v>
      </c>
      <c r="H973">
        <v>20000</v>
      </c>
      <c r="I973" t="s">
        <v>3834</v>
      </c>
      <c r="J973">
        <v>20000</v>
      </c>
      <c r="K973">
        <v>90000</v>
      </c>
      <c r="L973" t="s">
        <v>119</v>
      </c>
      <c r="M973" t="s">
        <v>27</v>
      </c>
      <c r="N973" t="s">
        <v>101</v>
      </c>
      <c r="O973" t="s">
        <v>3803</v>
      </c>
      <c r="P973" s="5" t="s">
        <v>3318</v>
      </c>
      <c r="Q973">
        <v>4.5</v>
      </c>
    </row>
    <row r="974" spans="1:17" x14ac:dyDescent="0.3">
      <c r="A974" s="4">
        <v>44637</v>
      </c>
      <c r="B974" t="s">
        <v>4581</v>
      </c>
      <c r="C974" t="s">
        <v>4409</v>
      </c>
      <c r="D974" s="77">
        <v>0.63402777777777775</v>
      </c>
      <c r="E974" t="s">
        <v>3314</v>
      </c>
      <c r="F974">
        <v>39</v>
      </c>
      <c r="G974" t="s">
        <v>3315</v>
      </c>
      <c r="H974">
        <v>20000</v>
      </c>
      <c r="I974" t="s">
        <v>3316</v>
      </c>
      <c r="J974">
        <v>20000</v>
      </c>
      <c r="K974">
        <v>90000</v>
      </c>
      <c r="L974" t="s">
        <v>114</v>
      </c>
      <c r="M974" t="s">
        <v>79</v>
      </c>
      <c r="N974" t="s">
        <v>131</v>
      </c>
      <c r="O974" t="s">
        <v>3465</v>
      </c>
      <c r="P974" s="5" t="s">
        <v>3318</v>
      </c>
      <c r="Q974">
        <v>4.5</v>
      </c>
    </row>
    <row r="975" spans="1:17" x14ac:dyDescent="0.3">
      <c r="A975" s="4">
        <v>44637</v>
      </c>
      <c r="B975" t="s">
        <v>4582</v>
      </c>
      <c r="C975" t="s">
        <v>3636</v>
      </c>
      <c r="D975" s="77">
        <v>0.64027777777777783</v>
      </c>
      <c r="E975" t="s">
        <v>3314</v>
      </c>
      <c r="F975">
        <v>38</v>
      </c>
      <c r="G975" t="s">
        <v>3315</v>
      </c>
      <c r="H975">
        <v>20000</v>
      </c>
      <c r="I975" t="s">
        <v>3316</v>
      </c>
      <c r="J975">
        <v>20000</v>
      </c>
      <c r="K975">
        <v>90000</v>
      </c>
      <c r="L975" t="s">
        <v>116</v>
      </c>
      <c r="M975" t="s">
        <v>65</v>
      </c>
      <c r="N975" t="s">
        <v>102</v>
      </c>
      <c r="O975" t="s">
        <v>3506</v>
      </c>
      <c r="P975" s="5" t="s">
        <v>3318</v>
      </c>
      <c r="Q975">
        <v>4.5</v>
      </c>
    </row>
    <row r="976" spans="1:17" x14ac:dyDescent="0.3">
      <c r="A976" s="4">
        <v>44637</v>
      </c>
      <c r="B976" t="s">
        <v>4583</v>
      </c>
      <c r="C976" t="s">
        <v>4409</v>
      </c>
      <c r="D976" s="77">
        <v>0.64236111111111105</v>
      </c>
      <c r="E976" t="s">
        <v>3314</v>
      </c>
      <c r="F976">
        <v>49</v>
      </c>
      <c r="G976" t="s">
        <v>3315</v>
      </c>
      <c r="H976">
        <v>20000</v>
      </c>
      <c r="I976" t="s">
        <v>3316</v>
      </c>
      <c r="J976">
        <v>20000</v>
      </c>
      <c r="K976">
        <v>90000</v>
      </c>
      <c r="L976" t="s">
        <v>114</v>
      </c>
      <c r="M976" t="s">
        <v>79</v>
      </c>
      <c r="N976" t="s">
        <v>131</v>
      </c>
      <c r="O976" t="s">
        <v>3465</v>
      </c>
      <c r="P976" s="5" t="s">
        <v>3318</v>
      </c>
      <c r="Q976">
        <v>4.5</v>
      </c>
    </row>
    <row r="977" spans="1:17" x14ac:dyDescent="0.3">
      <c r="A977" s="4">
        <v>44637</v>
      </c>
      <c r="B977" t="s">
        <v>4584</v>
      </c>
      <c r="C977" t="s">
        <v>4585</v>
      </c>
      <c r="D977" s="77">
        <v>0.64583333333333337</v>
      </c>
      <c r="E977" t="s">
        <v>3314</v>
      </c>
      <c r="F977">
        <v>67</v>
      </c>
      <c r="G977" t="s">
        <v>3315</v>
      </c>
      <c r="H977">
        <v>30000</v>
      </c>
      <c r="I977" t="s">
        <v>3316</v>
      </c>
      <c r="J977">
        <v>30000</v>
      </c>
      <c r="K977">
        <v>120000</v>
      </c>
      <c r="L977" t="s">
        <v>118</v>
      </c>
      <c r="M977" t="s">
        <v>90</v>
      </c>
      <c r="N977" t="s">
        <v>110</v>
      </c>
      <c r="O977" t="s">
        <v>3455</v>
      </c>
      <c r="P977" s="5" t="s">
        <v>3318</v>
      </c>
      <c r="Q977">
        <v>4</v>
      </c>
    </row>
    <row r="978" spans="1:17" x14ac:dyDescent="0.3">
      <c r="A978" s="4">
        <v>44637</v>
      </c>
      <c r="B978" t="s">
        <v>4586</v>
      </c>
      <c r="C978" t="s">
        <v>4576</v>
      </c>
      <c r="D978" s="77">
        <v>0.64583333333333337</v>
      </c>
      <c r="E978" t="s">
        <v>3314</v>
      </c>
      <c r="F978">
        <v>64</v>
      </c>
      <c r="G978" t="s">
        <v>3315</v>
      </c>
      <c r="H978">
        <v>20000</v>
      </c>
      <c r="I978" t="s">
        <v>3834</v>
      </c>
      <c r="J978">
        <v>20000</v>
      </c>
      <c r="K978">
        <v>90000</v>
      </c>
      <c r="L978" t="s">
        <v>113</v>
      </c>
      <c r="M978" t="s">
        <v>22</v>
      </c>
      <c r="N978" t="s">
        <v>98</v>
      </c>
      <c r="O978" t="s">
        <v>3437</v>
      </c>
      <c r="P978" s="5" t="s">
        <v>3318</v>
      </c>
      <c r="Q978">
        <v>4.5</v>
      </c>
    </row>
    <row r="979" spans="1:17" x14ac:dyDescent="0.3">
      <c r="A979" s="4">
        <v>44637</v>
      </c>
      <c r="B979" t="s">
        <v>4587</v>
      </c>
      <c r="C979" t="s">
        <v>3480</v>
      </c>
      <c r="D979" s="77">
        <v>0.64583333333333337</v>
      </c>
      <c r="E979" t="s">
        <v>3314</v>
      </c>
      <c r="F979">
        <v>64</v>
      </c>
      <c r="G979" t="s">
        <v>3336</v>
      </c>
      <c r="H979">
        <v>20000</v>
      </c>
      <c r="I979" t="s">
        <v>3336</v>
      </c>
      <c r="J979">
        <v>20000</v>
      </c>
      <c r="K979">
        <v>90000</v>
      </c>
      <c r="L979" t="s">
        <v>119</v>
      </c>
      <c r="M979" t="s">
        <v>29</v>
      </c>
      <c r="N979" t="s">
        <v>104</v>
      </c>
      <c r="O979" t="s">
        <v>3457</v>
      </c>
      <c r="P979" s="5" t="s">
        <v>3318</v>
      </c>
      <c r="Q979">
        <v>4.5</v>
      </c>
    </row>
    <row r="980" spans="1:17" x14ac:dyDescent="0.3">
      <c r="A980" s="4">
        <v>44637</v>
      </c>
      <c r="B980" t="s">
        <v>4588</v>
      </c>
      <c r="C980" t="s">
        <v>4589</v>
      </c>
      <c r="D980" s="77">
        <v>0.64930555555555558</v>
      </c>
      <c r="E980" t="s">
        <v>3314</v>
      </c>
      <c r="F980">
        <v>46</v>
      </c>
      <c r="G980" t="s">
        <v>3315</v>
      </c>
      <c r="H980">
        <v>20000</v>
      </c>
      <c r="I980" t="s">
        <v>3316</v>
      </c>
      <c r="J980">
        <v>20000</v>
      </c>
      <c r="K980">
        <v>80000</v>
      </c>
      <c r="L980" t="s">
        <v>118</v>
      </c>
      <c r="M980" t="s">
        <v>96</v>
      </c>
      <c r="N980" t="s">
        <v>140</v>
      </c>
      <c r="O980" t="s">
        <v>4105</v>
      </c>
      <c r="P980" s="5" t="s">
        <v>3318</v>
      </c>
      <c r="Q980">
        <v>4</v>
      </c>
    </row>
    <row r="981" spans="1:17" x14ac:dyDescent="0.3">
      <c r="A981" s="4">
        <v>44637</v>
      </c>
      <c r="B981" t="s">
        <v>4590</v>
      </c>
      <c r="C981" t="s">
        <v>4018</v>
      </c>
      <c r="D981" s="77">
        <v>0.65138888888888891</v>
      </c>
      <c r="E981" t="s">
        <v>3314</v>
      </c>
      <c r="F981">
        <v>51</v>
      </c>
      <c r="G981" t="s">
        <v>3315</v>
      </c>
      <c r="H981">
        <v>30000</v>
      </c>
      <c r="I981" t="s">
        <v>3834</v>
      </c>
      <c r="J981">
        <v>30000</v>
      </c>
      <c r="K981">
        <v>120000</v>
      </c>
      <c r="L981" t="s">
        <v>118</v>
      </c>
      <c r="M981" t="s">
        <v>94</v>
      </c>
      <c r="N981" t="s">
        <v>138</v>
      </c>
      <c r="O981" t="s">
        <v>3775</v>
      </c>
      <c r="P981" s="5" t="s">
        <v>3318</v>
      </c>
      <c r="Q981">
        <v>4</v>
      </c>
    </row>
    <row r="982" spans="1:17" x14ac:dyDescent="0.3">
      <c r="A982" s="4">
        <v>44637</v>
      </c>
      <c r="B982" t="s">
        <v>4591</v>
      </c>
      <c r="C982" t="s">
        <v>4561</v>
      </c>
      <c r="D982" s="77">
        <v>0.65138888888888891</v>
      </c>
      <c r="E982" t="s">
        <v>3314</v>
      </c>
      <c r="F982">
        <v>64</v>
      </c>
      <c r="G982" t="s">
        <v>3315</v>
      </c>
      <c r="H982">
        <v>20000</v>
      </c>
      <c r="I982" t="s">
        <v>3316</v>
      </c>
      <c r="J982">
        <v>20000</v>
      </c>
      <c r="K982">
        <v>80000</v>
      </c>
      <c r="L982" t="s">
        <v>118</v>
      </c>
      <c r="M982" t="s">
        <v>92</v>
      </c>
      <c r="N982" t="s">
        <v>137</v>
      </c>
      <c r="O982" t="s">
        <v>3476</v>
      </c>
      <c r="P982" s="5" t="s">
        <v>3318</v>
      </c>
      <c r="Q982">
        <v>4</v>
      </c>
    </row>
    <row r="983" spans="1:17" x14ac:dyDescent="0.3">
      <c r="A983" s="4">
        <v>44637</v>
      </c>
      <c r="B983" t="s">
        <v>4592</v>
      </c>
      <c r="C983" t="s">
        <v>4561</v>
      </c>
      <c r="D983" s="77">
        <v>0.67291666666666661</v>
      </c>
      <c r="E983" t="s">
        <v>3314</v>
      </c>
      <c r="F983">
        <v>49</v>
      </c>
      <c r="G983" t="s">
        <v>3315</v>
      </c>
      <c r="H983">
        <v>20000</v>
      </c>
      <c r="I983" t="s">
        <v>3316</v>
      </c>
      <c r="J983">
        <v>20000</v>
      </c>
      <c r="K983">
        <v>80000</v>
      </c>
      <c r="L983" t="s">
        <v>118</v>
      </c>
      <c r="M983" t="s">
        <v>92</v>
      </c>
      <c r="N983" t="s">
        <v>137</v>
      </c>
      <c r="O983" t="s">
        <v>3476</v>
      </c>
      <c r="P983" s="5" t="s">
        <v>3318</v>
      </c>
      <c r="Q983">
        <v>4</v>
      </c>
    </row>
    <row r="984" spans="1:17" x14ac:dyDescent="0.3">
      <c r="A984" s="4">
        <v>44637</v>
      </c>
      <c r="B984" t="s">
        <v>4593</v>
      </c>
      <c r="C984" t="s">
        <v>4594</v>
      </c>
      <c r="D984" s="77">
        <v>0.67361111111111116</v>
      </c>
      <c r="E984" t="s">
        <v>3314</v>
      </c>
      <c r="F984">
        <v>58</v>
      </c>
      <c r="G984" t="s">
        <v>3315</v>
      </c>
      <c r="H984">
        <v>20000</v>
      </c>
      <c r="I984" t="s">
        <v>3316</v>
      </c>
      <c r="J984">
        <v>20000</v>
      </c>
      <c r="K984">
        <v>20000</v>
      </c>
      <c r="L984" t="s">
        <v>124</v>
      </c>
      <c r="M984" t="s">
        <v>141</v>
      </c>
      <c r="N984" t="s">
        <v>142</v>
      </c>
      <c r="O984" t="s">
        <v>4518</v>
      </c>
      <c r="P984" s="5" t="s">
        <v>3318</v>
      </c>
      <c r="Q984">
        <v>1</v>
      </c>
    </row>
    <row r="985" spans="1:17" x14ac:dyDescent="0.3">
      <c r="A985" s="4">
        <v>44637</v>
      </c>
      <c r="B985" t="s">
        <v>4595</v>
      </c>
      <c r="C985" t="s">
        <v>4576</v>
      </c>
      <c r="D985" s="77">
        <v>0.67361111111111116</v>
      </c>
      <c r="E985" t="s">
        <v>3314</v>
      </c>
      <c r="F985">
        <v>37</v>
      </c>
      <c r="G985" t="s">
        <v>3889</v>
      </c>
      <c r="H985">
        <v>20000</v>
      </c>
      <c r="I985" t="s">
        <v>3889</v>
      </c>
      <c r="J985">
        <v>20000</v>
      </c>
      <c r="K985">
        <v>90000</v>
      </c>
      <c r="L985" t="s">
        <v>119</v>
      </c>
      <c r="M985" t="s">
        <v>27</v>
      </c>
      <c r="N985" t="s">
        <v>101</v>
      </c>
      <c r="O985" t="s">
        <v>3803</v>
      </c>
      <c r="P985" s="5" t="s">
        <v>3318</v>
      </c>
      <c r="Q985">
        <v>4.5</v>
      </c>
    </row>
    <row r="986" spans="1:17" x14ac:dyDescent="0.3">
      <c r="A986" s="4">
        <v>44637</v>
      </c>
      <c r="B986" t="s">
        <v>4596</v>
      </c>
      <c r="C986" t="s">
        <v>3636</v>
      </c>
      <c r="D986" s="77">
        <v>0.67638888888888893</v>
      </c>
      <c r="E986" t="s">
        <v>3314</v>
      </c>
      <c r="F986">
        <v>74</v>
      </c>
      <c r="G986" t="s">
        <v>3315</v>
      </c>
      <c r="H986">
        <v>20000</v>
      </c>
      <c r="I986" t="s">
        <v>3316</v>
      </c>
      <c r="J986">
        <v>20000</v>
      </c>
      <c r="K986">
        <v>80000</v>
      </c>
      <c r="L986" t="s">
        <v>118</v>
      </c>
      <c r="M986" t="s">
        <v>93</v>
      </c>
      <c r="N986" t="s">
        <v>121</v>
      </c>
      <c r="O986" t="s">
        <v>3781</v>
      </c>
      <c r="P986" s="5" t="s">
        <v>3318</v>
      </c>
      <c r="Q986">
        <v>4</v>
      </c>
    </row>
    <row r="987" spans="1:17" x14ac:dyDescent="0.3">
      <c r="A987" s="4">
        <v>44637</v>
      </c>
      <c r="B987" t="s">
        <v>4597</v>
      </c>
      <c r="C987" t="s">
        <v>4574</v>
      </c>
      <c r="D987" s="77">
        <v>0.68611111111111101</v>
      </c>
      <c r="E987" t="s">
        <v>3314</v>
      </c>
      <c r="F987">
        <v>34</v>
      </c>
      <c r="G987" t="s">
        <v>3315</v>
      </c>
      <c r="H987">
        <v>20000</v>
      </c>
      <c r="I987" t="s">
        <v>3316</v>
      </c>
      <c r="J987">
        <v>20000</v>
      </c>
      <c r="K987">
        <v>20000</v>
      </c>
      <c r="L987" t="s">
        <v>124</v>
      </c>
      <c r="M987" t="s">
        <v>3057</v>
      </c>
      <c r="N987" t="s">
        <v>3059</v>
      </c>
      <c r="O987" t="s">
        <v>4598</v>
      </c>
      <c r="P987" s="5" t="s">
        <v>3318</v>
      </c>
      <c r="Q987">
        <v>1</v>
      </c>
    </row>
    <row r="988" spans="1:17" x14ac:dyDescent="0.3">
      <c r="A988" s="4">
        <v>44637</v>
      </c>
      <c r="B988" t="s">
        <v>4599</v>
      </c>
      <c r="C988" t="s">
        <v>4409</v>
      </c>
      <c r="D988" s="77">
        <v>0.68680555555555556</v>
      </c>
      <c r="E988" t="s">
        <v>3314</v>
      </c>
      <c r="F988">
        <v>45</v>
      </c>
      <c r="G988" t="s">
        <v>3315</v>
      </c>
      <c r="H988">
        <v>20000</v>
      </c>
      <c r="I988" t="s">
        <v>3316</v>
      </c>
      <c r="J988">
        <v>20000</v>
      </c>
      <c r="K988">
        <v>90000</v>
      </c>
      <c r="L988" t="s">
        <v>114</v>
      </c>
      <c r="M988" t="s">
        <v>79</v>
      </c>
      <c r="N988" t="s">
        <v>131</v>
      </c>
      <c r="O988" t="s">
        <v>3465</v>
      </c>
      <c r="P988" s="5" t="s">
        <v>3318</v>
      </c>
      <c r="Q988">
        <v>4.5</v>
      </c>
    </row>
    <row r="989" spans="1:17" x14ac:dyDescent="0.3">
      <c r="A989" s="4">
        <v>44637</v>
      </c>
      <c r="B989" t="s">
        <v>4600</v>
      </c>
      <c r="C989" t="s">
        <v>3480</v>
      </c>
      <c r="D989" s="77">
        <v>0.6875</v>
      </c>
      <c r="E989" t="s">
        <v>3314</v>
      </c>
      <c r="F989">
        <v>32</v>
      </c>
      <c r="G989" t="s">
        <v>3315</v>
      </c>
      <c r="H989">
        <v>30000</v>
      </c>
      <c r="I989" t="s">
        <v>3834</v>
      </c>
      <c r="J989">
        <v>30000</v>
      </c>
      <c r="K989">
        <v>135000</v>
      </c>
      <c r="L989" t="s">
        <v>119</v>
      </c>
      <c r="M989" t="s">
        <v>29</v>
      </c>
      <c r="N989" t="s">
        <v>104</v>
      </c>
      <c r="O989" t="s">
        <v>3457</v>
      </c>
      <c r="P989" s="5" t="s">
        <v>3318</v>
      </c>
      <c r="Q989">
        <v>4.5</v>
      </c>
    </row>
    <row r="990" spans="1:17" x14ac:dyDescent="0.3">
      <c r="A990" s="4">
        <v>44637</v>
      </c>
      <c r="B990" t="s">
        <v>4601</v>
      </c>
      <c r="C990" t="s">
        <v>4602</v>
      </c>
      <c r="D990" s="77">
        <v>0.69097222222222221</v>
      </c>
      <c r="E990" t="s">
        <v>3314</v>
      </c>
      <c r="F990">
        <v>62</v>
      </c>
      <c r="G990" t="s">
        <v>3315</v>
      </c>
      <c r="H990">
        <v>20000</v>
      </c>
      <c r="I990" t="s">
        <v>3316</v>
      </c>
      <c r="J990">
        <v>20000</v>
      </c>
      <c r="K990">
        <v>90000</v>
      </c>
      <c r="L990" t="s">
        <v>114</v>
      </c>
      <c r="M990" t="s">
        <v>31</v>
      </c>
      <c r="N990" t="s">
        <v>105</v>
      </c>
      <c r="O990" t="s">
        <v>3339</v>
      </c>
      <c r="P990" s="5" t="s">
        <v>3318</v>
      </c>
      <c r="Q990">
        <v>4.5</v>
      </c>
    </row>
    <row r="991" spans="1:17" x14ac:dyDescent="0.3">
      <c r="A991" s="4">
        <v>44637</v>
      </c>
      <c r="B991" t="s">
        <v>4603</v>
      </c>
      <c r="C991" t="s">
        <v>4602</v>
      </c>
      <c r="D991" s="77">
        <v>0.69374999999999998</v>
      </c>
      <c r="E991" t="s">
        <v>3314</v>
      </c>
      <c r="F991">
        <v>43</v>
      </c>
      <c r="G991" t="s">
        <v>3315</v>
      </c>
      <c r="H991">
        <v>30000</v>
      </c>
      <c r="I991" t="s">
        <v>3834</v>
      </c>
      <c r="J991">
        <v>30000</v>
      </c>
      <c r="K991">
        <v>135000</v>
      </c>
      <c r="L991" t="s">
        <v>116</v>
      </c>
      <c r="M991" t="s">
        <v>76</v>
      </c>
      <c r="N991" t="s">
        <v>107</v>
      </c>
      <c r="O991" t="s">
        <v>3321</v>
      </c>
      <c r="P991" s="5" t="s">
        <v>3318</v>
      </c>
      <c r="Q991">
        <v>4.5</v>
      </c>
    </row>
    <row r="992" spans="1:17" x14ac:dyDescent="0.3">
      <c r="A992" s="4">
        <v>44637</v>
      </c>
      <c r="B992" t="s">
        <v>4604</v>
      </c>
      <c r="C992" t="s">
        <v>4409</v>
      </c>
      <c r="D992" s="77">
        <v>0.69513888888888886</v>
      </c>
      <c r="E992" t="s">
        <v>3314</v>
      </c>
      <c r="F992">
        <v>43</v>
      </c>
      <c r="G992" t="s">
        <v>3315</v>
      </c>
      <c r="H992">
        <v>20000</v>
      </c>
      <c r="I992" t="s">
        <v>3316</v>
      </c>
      <c r="J992">
        <v>20000</v>
      </c>
      <c r="K992">
        <v>90000</v>
      </c>
      <c r="L992" t="s">
        <v>114</v>
      </c>
      <c r="M992" t="s">
        <v>79</v>
      </c>
      <c r="N992" t="s">
        <v>131</v>
      </c>
      <c r="O992" t="s">
        <v>3465</v>
      </c>
      <c r="P992" s="5" t="s">
        <v>3318</v>
      </c>
      <c r="Q992">
        <v>4.5</v>
      </c>
    </row>
    <row r="993" spans="1:17" x14ac:dyDescent="0.3">
      <c r="A993" s="4">
        <v>44637</v>
      </c>
      <c r="B993" t="s">
        <v>4605</v>
      </c>
      <c r="C993" t="s">
        <v>4409</v>
      </c>
      <c r="D993" s="77">
        <v>0.69791666666666663</v>
      </c>
      <c r="E993" t="s">
        <v>3314</v>
      </c>
      <c r="F993">
        <v>25</v>
      </c>
      <c r="G993" t="s">
        <v>3315</v>
      </c>
      <c r="H993">
        <v>20000</v>
      </c>
      <c r="I993" t="s">
        <v>3316</v>
      </c>
      <c r="J993">
        <v>20000</v>
      </c>
      <c r="K993">
        <v>90000</v>
      </c>
      <c r="L993" t="s">
        <v>114</v>
      </c>
      <c r="M993" t="s">
        <v>79</v>
      </c>
      <c r="N993" t="s">
        <v>131</v>
      </c>
      <c r="O993" t="s">
        <v>3465</v>
      </c>
      <c r="P993" s="5" t="s">
        <v>3318</v>
      </c>
      <c r="Q993">
        <v>4.5</v>
      </c>
    </row>
    <row r="994" spans="1:17" x14ac:dyDescent="0.3">
      <c r="A994" s="4">
        <v>44637</v>
      </c>
      <c r="B994" t="s">
        <v>4606</v>
      </c>
      <c r="C994" t="s">
        <v>4018</v>
      </c>
      <c r="D994" s="77">
        <v>0.70138888888888884</v>
      </c>
      <c r="E994" t="s">
        <v>3314</v>
      </c>
      <c r="F994">
        <v>58</v>
      </c>
      <c r="G994" t="s">
        <v>3336</v>
      </c>
      <c r="H994">
        <v>30000</v>
      </c>
      <c r="I994" t="s">
        <v>3336</v>
      </c>
      <c r="J994">
        <v>30000</v>
      </c>
      <c r="K994">
        <v>135000</v>
      </c>
      <c r="L994" t="s">
        <v>116</v>
      </c>
      <c r="M994" t="s">
        <v>77</v>
      </c>
      <c r="N994" t="s">
        <v>133</v>
      </c>
      <c r="O994" t="s">
        <v>3376</v>
      </c>
      <c r="P994" s="5" t="s">
        <v>3318</v>
      </c>
      <c r="Q994">
        <v>4.5</v>
      </c>
    </row>
    <row r="995" spans="1:17" x14ac:dyDescent="0.3">
      <c r="A995" s="4">
        <v>44637</v>
      </c>
      <c r="B995" t="s">
        <v>4607</v>
      </c>
      <c r="C995" t="s">
        <v>4409</v>
      </c>
      <c r="D995" s="77">
        <v>0.70208333333333339</v>
      </c>
      <c r="E995" t="s">
        <v>3314</v>
      </c>
      <c r="F995">
        <v>33</v>
      </c>
      <c r="G995" t="s">
        <v>3315</v>
      </c>
      <c r="H995">
        <v>20000</v>
      </c>
      <c r="I995" t="s">
        <v>3316</v>
      </c>
      <c r="J995">
        <v>20000</v>
      </c>
      <c r="K995">
        <v>90000</v>
      </c>
      <c r="L995" t="s">
        <v>114</v>
      </c>
      <c r="M995" t="s">
        <v>79</v>
      </c>
      <c r="N995" t="s">
        <v>131</v>
      </c>
      <c r="O995" t="s">
        <v>3465</v>
      </c>
      <c r="P995" s="5" t="s">
        <v>3318</v>
      </c>
      <c r="Q995">
        <v>4.5</v>
      </c>
    </row>
    <row r="996" spans="1:17" x14ac:dyDescent="0.3">
      <c r="A996" s="4">
        <v>44637</v>
      </c>
      <c r="B996" t="s">
        <v>4608</v>
      </c>
      <c r="C996" t="s">
        <v>4409</v>
      </c>
      <c r="D996" s="77">
        <v>0.70486111111111116</v>
      </c>
      <c r="E996" t="s">
        <v>3314</v>
      </c>
      <c r="F996">
        <v>25</v>
      </c>
      <c r="G996" t="s">
        <v>3315</v>
      </c>
      <c r="H996">
        <v>20000</v>
      </c>
      <c r="I996" t="s">
        <v>3834</v>
      </c>
      <c r="J996">
        <v>20000</v>
      </c>
      <c r="K996">
        <v>90000</v>
      </c>
      <c r="L996" t="s">
        <v>114</v>
      </c>
      <c r="M996" t="s">
        <v>79</v>
      </c>
      <c r="N996" t="s">
        <v>131</v>
      </c>
      <c r="O996" t="s">
        <v>3465</v>
      </c>
      <c r="P996" s="5" t="s">
        <v>3318</v>
      </c>
      <c r="Q996">
        <v>4.5</v>
      </c>
    </row>
    <row r="997" spans="1:17" x14ac:dyDescent="0.3">
      <c r="A997" s="4">
        <v>44637</v>
      </c>
      <c r="B997" t="s">
        <v>4609</v>
      </c>
      <c r="C997" t="s">
        <v>4252</v>
      </c>
      <c r="D997" s="77">
        <v>0.71527777777777779</v>
      </c>
      <c r="E997" t="s">
        <v>3332</v>
      </c>
      <c r="F997">
        <v>61</v>
      </c>
      <c r="G997" t="s">
        <v>3315</v>
      </c>
      <c r="H997">
        <v>20000</v>
      </c>
      <c r="I997" t="s">
        <v>3336</v>
      </c>
      <c r="J997">
        <v>20000</v>
      </c>
      <c r="K997">
        <v>100000</v>
      </c>
      <c r="L997" t="s">
        <v>114</v>
      </c>
      <c r="M997" t="s">
        <v>23</v>
      </c>
      <c r="N997" t="s">
        <v>99</v>
      </c>
      <c r="O997" t="s">
        <v>3358</v>
      </c>
      <c r="P997" s="5" t="s">
        <v>3318</v>
      </c>
      <c r="Q997">
        <v>5</v>
      </c>
    </row>
    <row r="998" spans="1:17" x14ac:dyDescent="0.3">
      <c r="A998" s="4">
        <v>44637</v>
      </c>
      <c r="B998" t="s">
        <v>4610</v>
      </c>
      <c r="C998" t="s">
        <v>4576</v>
      </c>
      <c r="D998" s="77">
        <v>0.72222222222222221</v>
      </c>
      <c r="E998" t="s">
        <v>3314</v>
      </c>
      <c r="F998">
        <v>61</v>
      </c>
      <c r="G998" t="s">
        <v>3315</v>
      </c>
      <c r="H998">
        <v>20000</v>
      </c>
      <c r="I998" t="s">
        <v>3834</v>
      </c>
      <c r="J998">
        <v>20000</v>
      </c>
      <c r="K998">
        <v>90000</v>
      </c>
      <c r="L998" t="s">
        <v>113</v>
      </c>
      <c r="M998" t="s">
        <v>22</v>
      </c>
      <c r="N998" t="s">
        <v>98</v>
      </c>
      <c r="O998" t="s">
        <v>3437</v>
      </c>
      <c r="P998" s="5" t="s">
        <v>3318</v>
      </c>
      <c r="Q998">
        <v>4.5</v>
      </c>
    </row>
    <row r="999" spans="1:17" x14ac:dyDescent="0.3">
      <c r="A999" s="4">
        <v>44637</v>
      </c>
      <c r="B999" t="s">
        <v>4611</v>
      </c>
      <c r="C999" t="s">
        <v>4018</v>
      </c>
      <c r="D999" s="77">
        <v>0.73472222222222217</v>
      </c>
      <c r="E999" t="s">
        <v>3314</v>
      </c>
      <c r="F999">
        <v>42</v>
      </c>
      <c r="G999" t="s">
        <v>3315</v>
      </c>
      <c r="H999">
        <v>20000</v>
      </c>
      <c r="I999" t="s">
        <v>3316</v>
      </c>
      <c r="J999">
        <v>20000</v>
      </c>
      <c r="K999">
        <v>80000</v>
      </c>
      <c r="L999" t="s">
        <v>118</v>
      </c>
      <c r="M999" t="s">
        <v>94</v>
      </c>
      <c r="N999" t="s">
        <v>138</v>
      </c>
      <c r="O999" t="s">
        <v>3775</v>
      </c>
      <c r="P999" s="5" t="s">
        <v>3318</v>
      </c>
      <c r="Q999">
        <v>4</v>
      </c>
    </row>
    <row r="1000" spans="1:17" x14ac:dyDescent="0.3">
      <c r="A1000" s="4">
        <v>44637</v>
      </c>
      <c r="B1000" t="s">
        <v>4612</v>
      </c>
      <c r="C1000" t="s">
        <v>4602</v>
      </c>
      <c r="D1000" s="77">
        <v>0.74305555555555547</v>
      </c>
      <c r="E1000" t="s">
        <v>3314</v>
      </c>
      <c r="F1000">
        <v>44</v>
      </c>
      <c r="G1000" t="s">
        <v>3315</v>
      </c>
      <c r="H1000">
        <v>20000</v>
      </c>
      <c r="I1000" t="s">
        <v>3316</v>
      </c>
      <c r="J1000">
        <v>20000</v>
      </c>
      <c r="K1000">
        <v>90000</v>
      </c>
      <c r="L1000" t="s">
        <v>116</v>
      </c>
      <c r="M1000" t="s">
        <v>76</v>
      </c>
      <c r="N1000" t="s">
        <v>107</v>
      </c>
      <c r="O1000" t="s">
        <v>3321</v>
      </c>
      <c r="P1000" s="5" t="s">
        <v>3318</v>
      </c>
      <c r="Q1000">
        <v>4.5</v>
      </c>
    </row>
    <row r="1001" spans="1:17" x14ac:dyDescent="0.3">
      <c r="A1001" s="4">
        <v>44637</v>
      </c>
      <c r="B1001" t="s">
        <v>4613</v>
      </c>
      <c r="C1001" t="s">
        <v>4589</v>
      </c>
      <c r="D1001" s="77">
        <v>0.74305555555555547</v>
      </c>
      <c r="E1001" t="s">
        <v>3314</v>
      </c>
      <c r="F1001">
        <v>71</v>
      </c>
      <c r="G1001" t="s">
        <v>3315</v>
      </c>
      <c r="H1001">
        <v>20000</v>
      </c>
      <c r="I1001" t="s">
        <v>3316</v>
      </c>
      <c r="J1001">
        <v>20000</v>
      </c>
      <c r="K1001">
        <v>80000</v>
      </c>
      <c r="L1001" t="s">
        <v>118</v>
      </c>
      <c r="M1001" t="s">
        <v>96</v>
      </c>
      <c r="N1001" t="s">
        <v>140</v>
      </c>
      <c r="O1001" t="s">
        <v>4105</v>
      </c>
      <c r="P1001" s="5" t="s">
        <v>3318</v>
      </c>
      <c r="Q1001">
        <v>4</v>
      </c>
    </row>
    <row r="1002" spans="1:17" x14ac:dyDescent="0.3">
      <c r="A1002" s="4">
        <v>44637</v>
      </c>
      <c r="B1002" t="s">
        <v>4614</v>
      </c>
      <c r="C1002" t="s">
        <v>4602</v>
      </c>
      <c r="D1002" s="77">
        <v>0.74652777777777779</v>
      </c>
      <c r="E1002" t="s">
        <v>3314</v>
      </c>
      <c r="F1002">
        <v>26</v>
      </c>
      <c r="G1002" t="s">
        <v>3315</v>
      </c>
      <c r="H1002">
        <v>30000</v>
      </c>
      <c r="I1002" t="s">
        <v>3316</v>
      </c>
      <c r="J1002">
        <v>30000</v>
      </c>
      <c r="K1002">
        <v>135000</v>
      </c>
      <c r="L1002" t="s">
        <v>114</v>
      </c>
      <c r="M1002" t="s">
        <v>31</v>
      </c>
      <c r="N1002" t="s">
        <v>105</v>
      </c>
      <c r="O1002" t="s">
        <v>3339</v>
      </c>
      <c r="P1002" s="5" t="s">
        <v>3318</v>
      </c>
      <c r="Q1002">
        <v>4.5</v>
      </c>
    </row>
    <row r="1003" spans="1:17" x14ac:dyDescent="0.3">
      <c r="A1003" s="4">
        <v>44637</v>
      </c>
      <c r="B1003" t="s">
        <v>4615</v>
      </c>
      <c r="C1003" t="s">
        <v>3636</v>
      </c>
      <c r="D1003" s="77">
        <v>0.75</v>
      </c>
      <c r="E1003" t="s">
        <v>3314</v>
      </c>
      <c r="F1003">
        <v>47</v>
      </c>
      <c r="G1003" t="s">
        <v>3315</v>
      </c>
      <c r="H1003">
        <v>20000</v>
      </c>
      <c r="I1003" t="s">
        <v>3834</v>
      </c>
      <c r="J1003">
        <v>20000</v>
      </c>
      <c r="K1003">
        <v>80000</v>
      </c>
      <c r="L1003" t="s">
        <v>118</v>
      </c>
      <c r="M1003" t="s">
        <v>93</v>
      </c>
      <c r="N1003" t="s">
        <v>121</v>
      </c>
      <c r="O1003" t="s">
        <v>3781</v>
      </c>
      <c r="P1003" s="5" t="s">
        <v>3318</v>
      </c>
      <c r="Q1003">
        <v>4</v>
      </c>
    </row>
    <row r="1004" spans="1:17" x14ac:dyDescent="0.3">
      <c r="A1004" s="4">
        <v>44637</v>
      </c>
      <c r="B1004" t="s">
        <v>4616</v>
      </c>
      <c r="C1004" t="s">
        <v>3636</v>
      </c>
      <c r="D1004" s="77">
        <v>0.75</v>
      </c>
      <c r="E1004" t="s">
        <v>3314</v>
      </c>
      <c r="F1004">
        <v>46</v>
      </c>
      <c r="G1004" t="s">
        <v>3315</v>
      </c>
      <c r="H1004">
        <v>20000</v>
      </c>
      <c r="I1004" t="s">
        <v>3834</v>
      </c>
      <c r="J1004">
        <v>20000</v>
      </c>
      <c r="K1004">
        <v>80000</v>
      </c>
      <c r="L1004" t="s">
        <v>118</v>
      </c>
      <c r="M1004" t="s">
        <v>93</v>
      </c>
      <c r="N1004" t="s">
        <v>121</v>
      </c>
      <c r="O1004" t="s">
        <v>3781</v>
      </c>
      <c r="P1004" s="5" t="s">
        <v>3318</v>
      </c>
      <c r="Q1004">
        <v>4</v>
      </c>
    </row>
    <row r="1005" spans="1:17" x14ac:dyDescent="0.3">
      <c r="A1005" s="4">
        <v>44637</v>
      </c>
      <c r="B1005" t="s">
        <v>4617</v>
      </c>
      <c r="C1005" t="s">
        <v>4018</v>
      </c>
      <c r="D1005" s="77">
        <v>0.75069444444444444</v>
      </c>
      <c r="E1005" t="s">
        <v>3314</v>
      </c>
      <c r="F1005">
        <v>55</v>
      </c>
      <c r="G1005" t="s">
        <v>3315</v>
      </c>
      <c r="H1005">
        <v>30000</v>
      </c>
      <c r="I1005" t="s">
        <v>3316</v>
      </c>
      <c r="J1005">
        <v>30000</v>
      </c>
      <c r="K1005">
        <v>135000</v>
      </c>
      <c r="L1005" t="s">
        <v>116</v>
      </c>
      <c r="M1005" t="s">
        <v>77</v>
      </c>
      <c r="N1005" t="s">
        <v>133</v>
      </c>
      <c r="O1005" t="s">
        <v>3376</v>
      </c>
      <c r="P1005" s="5" t="s">
        <v>3318</v>
      </c>
      <c r="Q1005">
        <v>4.5</v>
      </c>
    </row>
    <row r="1006" spans="1:17" x14ac:dyDescent="0.3">
      <c r="A1006" s="4">
        <v>44637</v>
      </c>
      <c r="B1006" t="s">
        <v>4618</v>
      </c>
      <c r="C1006" t="s">
        <v>4018</v>
      </c>
      <c r="D1006" s="77">
        <v>0.7583333333333333</v>
      </c>
      <c r="E1006" t="s">
        <v>3314</v>
      </c>
      <c r="F1006">
        <v>34</v>
      </c>
      <c r="G1006" t="s">
        <v>3315</v>
      </c>
      <c r="H1006">
        <v>30000</v>
      </c>
      <c r="I1006" t="s">
        <v>3834</v>
      </c>
      <c r="J1006">
        <v>30000</v>
      </c>
      <c r="K1006">
        <v>120000</v>
      </c>
      <c r="L1006" t="s">
        <v>118</v>
      </c>
      <c r="M1006" t="s">
        <v>94</v>
      </c>
      <c r="N1006" t="s">
        <v>138</v>
      </c>
      <c r="O1006" t="s">
        <v>3775</v>
      </c>
      <c r="P1006" s="5" t="s">
        <v>3318</v>
      </c>
      <c r="Q1006">
        <v>4</v>
      </c>
    </row>
    <row r="1007" spans="1:17" x14ac:dyDescent="0.3">
      <c r="A1007" s="4">
        <v>44637</v>
      </c>
      <c r="B1007" t="s">
        <v>4619</v>
      </c>
      <c r="C1007" t="s">
        <v>4576</v>
      </c>
      <c r="D1007" s="77">
        <v>0.76250000000000007</v>
      </c>
      <c r="E1007" t="s">
        <v>3314</v>
      </c>
      <c r="F1007">
        <v>44</v>
      </c>
      <c r="G1007" t="s">
        <v>3315</v>
      </c>
      <c r="H1007">
        <v>30000</v>
      </c>
      <c r="I1007" t="s">
        <v>3316</v>
      </c>
      <c r="J1007">
        <v>30000</v>
      </c>
      <c r="K1007">
        <v>135000</v>
      </c>
      <c r="L1007" t="s">
        <v>119</v>
      </c>
      <c r="M1007" t="s">
        <v>27</v>
      </c>
      <c r="N1007" t="s">
        <v>101</v>
      </c>
      <c r="O1007" t="s">
        <v>3803</v>
      </c>
      <c r="P1007" s="5" t="s">
        <v>3318</v>
      </c>
      <c r="Q1007">
        <v>4.5</v>
      </c>
    </row>
    <row r="1008" spans="1:17" x14ac:dyDescent="0.3">
      <c r="A1008" s="4">
        <v>44637</v>
      </c>
      <c r="B1008" t="s">
        <v>4620</v>
      </c>
      <c r="C1008" t="s">
        <v>4602</v>
      </c>
      <c r="D1008" s="77">
        <v>0.77083333333333337</v>
      </c>
      <c r="E1008" t="s">
        <v>3314</v>
      </c>
      <c r="F1008">
        <v>57</v>
      </c>
      <c r="G1008" t="s">
        <v>3315</v>
      </c>
      <c r="H1008">
        <v>30000</v>
      </c>
      <c r="I1008" t="s">
        <v>3834</v>
      </c>
      <c r="J1008">
        <v>30000</v>
      </c>
      <c r="K1008">
        <v>135000</v>
      </c>
      <c r="L1008" t="s">
        <v>114</v>
      </c>
      <c r="M1008" t="s">
        <v>31</v>
      </c>
      <c r="N1008" t="s">
        <v>105</v>
      </c>
      <c r="O1008" t="s">
        <v>3339</v>
      </c>
      <c r="P1008" s="5" t="s">
        <v>3318</v>
      </c>
      <c r="Q1008">
        <v>4.5</v>
      </c>
    </row>
    <row r="1009" spans="1:17" x14ac:dyDescent="0.3">
      <c r="A1009" s="4">
        <v>44637</v>
      </c>
      <c r="B1009" t="s">
        <v>4621</v>
      </c>
      <c r="C1009" t="s">
        <v>4561</v>
      </c>
      <c r="D1009" s="77">
        <v>0.77222222222222225</v>
      </c>
      <c r="E1009" t="s">
        <v>3314</v>
      </c>
      <c r="F1009">
        <v>31</v>
      </c>
      <c r="G1009" t="s">
        <v>3315</v>
      </c>
      <c r="H1009">
        <v>30000</v>
      </c>
      <c r="I1009" t="s">
        <v>3316</v>
      </c>
      <c r="J1009">
        <v>30000</v>
      </c>
      <c r="K1009">
        <v>120000</v>
      </c>
      <c r="L1009" t="s">
        <v>118</v>
      </c>
      <c r="M1009" t="s">
        <v>92</v>
      </c>
      <c r="N1009" t="s">
        <v>137</v>
      </c>
      <c r="O1009" t="s">
        <v>3476</v>
      </c>
      <c r="P1009" s="5" t="s">
        <v>3318</v>
      </c>
      <c r="Q1009">
        <v>4</v>
      </c>
    </row>
    <row r="1010" spans="1:17" x14ac:dyDescent="0.3">
      <c r="A1010" s="4">
        <v>44637</v>
      </c>
      <c r="B1010" t="s">
        <v>4622</v>
      </c>
      <c r="C1010" t="s">
        <v>4589</v>
      </c>
      <c r="D1010" s="77">
        <v>0.78819444444444453</v>
      </c>
      <c r="E1010" t="s">
        <v>3314</v>
      </c>
      <c r="F1010">
        <v>26</v>
      </c>
      <c r="G1010" t="s">
        <v>3315</v>
      </c>
      <c r="H1010">
        <v>20000</v>
      </c>
      <c r="I1010" t="s">
        <v>3834</v>
      </c>
      <c r="J1010">
        <v>20000</v>
      </c>
      <c r="K1010">
        <v>80000</v>
      </c>
      <c r="L1010" t="s">
        <v>118</v>
      </c>
      <c r="M1010" t="s">
        <v>96</v>
      </c>
      <c r="N1010" t="s">
        <v>140</v>
      </c>
      <c r="O1010" t="s">
        <v>4105</v>
      </c>
      <c r="P1010" s="5" t="s">
        <v>3318</v>
      </c>
      <c r="Q1010">
        <v>4</v>
      </c>
    </row>
    <row r="1011" spans="1:17" x14ac:dyDescent="0.3">
      <c r="A1011" s="4">
        <v>44637</v>
      </c>
      <c r="B1011" t="s">
        <v>4623</v>
      </c>
      <c r="C1011" t="s">
        <v>4602</v>
      </c>
      <c r="D1011" s="77">
        <v>0.79861111111111116</v>
      </c>
      <c r="E1011" t="s">
        <v>3314</v>
      </c>
      <c r="F1011">
        <v>42</v>
      </c>
      <c r="G1011" t="s">
        <v>3315</v>
      </c>
      <c r="H1011">
        <v>20000</v>
      </c>
      <c r="I1011" t="s">
        <v>3834</v>
      </c>
      <c r="J1011">
        <v>20000</v>
      </c>
      <c r="K1011">
        <v>90000</v>
      </c>
      <c r="L1011" t="s">
        <v>116</v>
      </c>
      <c r="M1011" t="s">
        <v>76</v>
      </c>
      <c r="N1011" t="s">
        <v>107</v>
      </c>
      <c r="O1011" t="s">
        <v>3321</v>
      </c>
      <c r="P1011" s="5" t="s">
        <v>3318</v>
      </c>
      <c r="Q1011">
        <v>4.5</v>
      </c>
    </row>
    <row r="1012" spans="1:17" x14ac:dyDescent="0.3">
      <c r="A1012" s="4">
        <v>44637</v>
      </c>
      <c r="B1012" t="s">
        <v>4624</v>
      </c>
      <c r="C1012" t="s">
        <v>4602</v>
      </c>
      <c r="D1012" s="77">
        <v>0.80555555555555547</v>
      </c>
      <c r="E1012" t="s">
        <v>3314</v>
      </c>
      <c r="F1012">
        <v>30</v>
      </c>
      <c r="G1012" t="s">
        <v>3315</v>
      </c>
      <c r="H1012">
        <v>20000</v>
      </c>
      <c r="I1012" t="s">
        <v>3834</v>
      </c>
      <c r="J1012">
        <v>20000</v>
      </c>
      <c r="K1012">
        <v>90000</v>
      </c>
      <c r="L1012" t="s">
        <v>114</v>
      </c>
      <c r="M1012" t="s">
        <v>31</v>
      </c>
      <c r="N1012" t="s">
        <v>105</v>
      </c>
      <c r="O1012" t="s">
        <v>3339</v>
      </c>
      <c r="P1012" s="5" t="s">
        <v>3318</v>
      </c>
      <c r="Q1012">
        <v>4.5</v>
      </c>
    </row>
    <row r="1013" spans="1:17" x14ac:dyDescent="0.3">
      <c r="A1013" s="4">
        <v>44637</v>
      </c>
      <c r="B1013" t="s">
        <v>4625</v>
      </c>
      <c r="C1013" t="s">
        <v>4589</v>
      </c>
      <c r="D1013" s="77">
        <v>0.82986111111111116</v>
      </c>
      <c r="E1013" t="s">
        <v>3314</v>
      </c>
      <c r="F1013">
        <v>53</v>
      </c>
      <c r="G1013" t="s">
        <v>3315</v>
      </c>
      <c r="H1013">
        <v>20000</v>
      </c>
      <c r="I1013" t="s">
        <v>3316</v>
      </c>
      <c r="J1013">
        <v>20000</v>
      </c>
      <c r="K1013">
        <v>80000</v>
      </c>
      <c r="L1013" t="s">
        <v>118</v>
      </c>
      <c r="M1013" t="s">
        <v>87</v>
      </c>
      <c r="N1013" t="s">
        <v>134</v>
      </c>
      <c r="O1013" t="s">
        <v>3528</v>
      </c>
      <c r="P1013" s="5" t="s">
        <v>3318</v>
      </c>
      <c r="Q1013">
        <v>4</v>
      </c>
    </row>
    <row r="1014" spans="1:17" x14ac:dyDescent="0.3">
      <c r="A1014" s="4">
        <v>44638</v>
      </c>
      <c r="B1014" t="s">
        <v>4626</v>
      </c>
      <c r="C1014" t="s">
        <v>4409</v>
      </c>
      <c r="D1014" s="77">
        <v>0.44791666666666669</v>
      </c>
      <c r="E1014" t="s">
        <v>3314</v>
      </c>
      <c r="F1014">
        <v>33</v>
      </c>
      <c r="G1014" t="s">
        <v>3315</v>
      </c>
      <c r="H1014">
        <v>20000</v>
      </c>
      <c r="I1014" t="s">
        <v>3834</v>
      </c>
      <c r="J1014">
        <v>20000</v>
      </c>
      <c r="K1014">
        <v>90000</v>
      </c>
      <c r="L1014" t="s">
        <v>114</v>
      </c>
      <c r="M1014" t="s">
        <v>79</v>
      </c>
      <c r="N1014" t="s">
        <v>131</v>
      </c>
      <c r="O1014" t="s">
        <v>3465</v>
      </c>
      <c r="P1014" s="5" t="s">
        <v>3318</v>
      </c>
      <c r="Q1014">
        <v>4.5</v>
      </c>
    </row>
    <row r="1015" spans="1:17" x14ac:dyDescent="0.3">
      <c r="A1015" s="4">
        <v>44638</v>
      </c>
      <c r="B1015" t="s">
        <v>4627</v>
      </c>
      <c r="C1015" t="s">
        <v>4409</v>
      </c>
      <c r="D1015" s="77">
        <v>0.46736111111111112</v>
      </c>
      <c r="E1015" t="s">
        <v>3314</v>
      </c>
      <c r="F1015">
        <v>34</v>
      </c>
      <c r="G1015" t="s">
        <v>3315</v>
      </c>
      <c r="H1015">
        <v>20000</v>
      </c>
      <c r="I1015" t="s">
        <v>3834</v>
      </c>
      <c r="J1015">
        <v>20000</v>
      </c>
      <c r="K1015">
        <v>90000</v>
      </c>
      <c r="L1015" t="s">
        <v>114</v>
      </c>
      <c r="M1015" t="s">
        <v>79</v>
      </c>
      <c r="N1015" t="s">
        <v>131</v>
      </c>
      <c r="O1015" t="s">
        <v>3465</v>
      </c>
      <c r="P1015" s="5" t="s">
        <v>3318</v>
      </c>
      <c r="Q1015">
        <v>4.5</v>
      </c>
    </row>
    <row r="1016" spans="1:17" x14ac:dyDescent="0.3">
      <c r="A1016" s="4">
        <v>44638</v>
      </c>
      <c r="B1016" t="s">
        <v>4628</v>
      </c>
      <c r="C1016" t="s">
        <v>4409</v>
      </c>
      <c r="D1016" s="77">
        <v>0.46875</v>
      </c>
      <c r="E1016" t="s">
        <v>3314</v>
      </c>
      <c r="F1016">
        <v>34</v>
      </c>
      <c r="G1016" t="s">
        <v>3315</v>
      </c>
      <c r="H1016">
        <v>20000</v>
      </c>
      <c r="I1016" t="s">
        <v>3834</v>
      </c>
      <c r="J1016">
        <v>20000</v>
      </c>
      <c r="K1016">
        <v>90000</v>
      </c>
      <c r="L1016" t="s">
        <v>114</v>
      </c>
      <c r="M1016" t="s">
        <v>79</v>
      </c>
      <c r="N1016" t="s">
        <v>131</v>
      </c>
      <c r="O1016" t="s">
        <v>3465</v>
      </c>
      <c r="P1016" s="5" t="s">
        <v>3318</v>
      </c>
      <c r="Q1016">
        <v>4.5</v>
      </c>
    </row>
    <row r="1017" spans="1:17" x14ac:dyDescent="0.3">
      <c r="A1017" s="4">
        <v>44638</v>
      </c>
      <c r="B1017" t="s">
        <v>4629</v>
      </c>
      <c r="C1017" t="s">
        <v>4409</v>
      </c>
      <c r="D1017" s="77">
        <v>0.49305555555555558</v>
      </c>
      <c r="E1017" t="s">
        <v>3314</v>
      </c>
      <c r="F1017">
        <v>51</v>
      </c>
      <c r="G1017" t="s">
        <v>3315</v>
      </c>
      <c r="H1017">
        <v>20000</v>
      </c>
      <c r="I1017" t="s">
        <v>3834</v>
      </c>
      <c r="J1017">
        <v>20000</v>
      </c>
      <c r="K1017">
        <v>90000</v>
      </c>
      <c r="L1017" t="s">
        <v>114</v>
      </c>
      <c r="M1017" t="s">
        <v>79</v>
      </c>
      <c r="N1017" t="s">
        <v>131</v>
      </c>
      <c r="O1017" t="s">
        <v>3465</v>
      </c>
      <c r="P1017" s="5" t="s">
        <v>3318</v>
      </c>
      <c r="Q1017">
        <v>4.5</v>
      </c>
    </row>
    <row r="1018" spans="1:17" x14ac:dyDescent="0.3">
      <c r="A1018" s="4">
        <v>44638</v>
      </c>
      <c r="B1018" t="s">
        <v>4630</v>
      </c>
      <c r="C1018" t="s">
        <v>4631</v>
      </c>
      <c r="D1018" s="77">
        <v>0.49791666666666662</v>
      </c>
      <c r="E1018" t="s">
        <v>3314</v>
      </c>
      <c r="F1018">
        <v>61</v>
      </c>
      <c r="G1018" t="s">
        <v>3315</v>
      </c>
      <c r="H1018">
        <v>20000</v>
      </c>
      <c r="I1018" t="s">
        <v>3834</v>
      </c>
      <c r="J1018">
        <v>20000</v>
      </c>
      <c r="K1018">
        <v>90000</v>
      </c>
      <c r="L1018" t="s">
        <v>116</v>
      </c>
      <c r="M1018" t="s">
        <v>65</v>
      </c>
      <c r="N1018" t="s">
        <v>102</v>
      </c>
      <c r="O1018" t="s">
        <v>3506</v>
      </c>
      <c r="P1018" s="5" t="s">
        <v>3318</v>
      </c>
      <c r="Q1018">
        <v>4.5</v>
      </c>
    </row>
    <row r="1019" spans="1:17" x14ac:dyDescent="0.3">
      <c r="A1019" s="4">
        <v>44638</v>
      </c>
      <c r="B1019" t="s">
        <v>4632</v>
      </c>
      <c r="C1019" t="s">
        <v>4633</v>
      </c>
      <c r="D1019" s="77">
        <v>0.5</v>
      </c>
      <c r="E1019" t="s">
        <v>3314</v>
      </c>
      <c r="F1019">
        <v>74</v>
      </c>
      <c r="G1019" t="s">
        <v>3315</v>
      </c>
      <c r="H1019">
        <v>20000</v>
      </c>
      <c r="I1019" t="s">
        <v>3834</v>
      </c>
      <c r="J1019">
        <v>20000</v>
      </c>
      <c r="K1019">
        <v>80000</v>
      </c>
      <c r="L1019" t="s">
        <v>118</v>
      </c>
      <c r="M1019" t="s">
        <v>88</v>
      </c>
      <c r="N1019" t="s">
        <v>117</v>
      </c>
      <c r="O1019" t="s">
        <v>4475</v>
      </c>
      <c r="P1019" s="5" t="s">
        <v>3318</v>
      </c>
      <c r="Q1019">
        <v>4</v>
      </c>
    </row>
    <row r="1020" spans="1:17" x14ac:dyDescent="0.3">
      <c r="A1020" s="4">
        <v>44638</v>
      </c>
      <c r="B1020" t="s">
        <v>4634</v>
      </c>
      <c r="C1020" t="s">
        <v>4635</v>
      </c>
      <c r="D1020" s="77">
        <v>0.51597222222222217</v>
      </c>
      <c r="E1020" t="s">
        <v>3332</v>
      </c>
      <c r="F1020">
        <v>27</v>
      </c>
      <c r="G1020" t="s">
        <v>3315</v>
      </c>
      <c r="H1020">
        <v>30000</v>
      </c>
      <c r="I1020" t="s">
        <v>3834</v>
      </c>
      <c r="J1020">
        <v>30000</v>
      </c>
      <c r="K1020">
        <v>150000</v>
      </c>
      <c r="L1020" t="s">
        <v>116</v>
      </c>
      <c r="M1020" t="s">
        <v>111</v>
      </c>
      <c r="N1020" t="s">
        <v>112</v>
      </c>
      <c r="O1020" t="s">
        <v>3345</v>
      </c>
      <c r="P1020" s="5" t="s">
        <v>3318</v>
      </c>
      <c r="Q1020">
        <v>5</v>
      </c>
    </row>
    <row r="1021" spans="1:17" x14ac:dyDescent="0.3">
      <c r="A1021" s="4">
        <v>44638</v>
      </c>
      <c r="B1021" t="s">
        <v>4636</v>
      </c>
      <c r="C1021" t="s">
        <v>4631</v>
      </c>
      <c r="D1021" s="77">
        <v>0.53125</v>
      </c>
      <c r="E1021" t="s">
        <v>3314</v>
      </c>
      <c r="F1021">
        <v>70</v>
      </c>
      <c r="G1021" t="s">
        <v>3315</v>
      </c>
      <c r="H1021">
        <v>20000</v>
      </c>
      <c r="I1021" t="s">
        <v>3834</v>
      </c>
      <c r="J1021">
        <v>20000</v>
      </c>
      <c r="K1021">
        <v>80000</v>
      </c>
      <c r="L1021" t="s">
        <v>118</v>
      </c>
      <c r="M1021" t="s">
        <v>86</v>
      </c>
      <c r="N1021" t="s">
        <v>120</v>
      </c>
      <c r="O1021" t="s">
        <v>3446</v>
      </c>
      <c r="P1021" s="5" t="s">
        <v>3318</v>
      </c>
      <c r="Q1021">
        <v>4</v>
      </c>
    </row>
    <row r="1022" spans="1:17" x14ac:dyDescent="0.3">
      <c r="A1022" s="4">
        <v>44638</v>
      </c>
      <c r="B1022" t="s">
        <v>4637</v>
      </c>
      <c r="C1022" t="s">
        <v>4638</v>
      </c>
      <c r="D1022" s="77">
        <v>0.53472222222222221</v>
      </c>
      <c r="E1022" t="s">
        <v>3314</v>
      </c>
      <c r="F1022">
        <v>33</v>
      </c>
      <c r="G1022" t="s">
        <v>3344</v>
      </c>
      <c r="H1022">
        <v>20000</v>
      </c>
      <c r="I1022" t="s">
        <v>3344</v>
      </c>
      <c r="J1022">
        <v>20000</v>
      </c>
      <c r="K1022">
        <v>90000</v>
      </c>
      <c r="L1022" t="s">
        <v>119</v>
      </c>
      <c r="M1022" t="s">
        <v>27</v>
      </c>
      <c r="N1022" t="s">
        <v>101</v>
      </c>
      <c r="O1022" t="s">
        <v>3803</v>
      </c>
      <c r="P1022" s="5" t="s">
        <v>3318</v>
      </c>
      <c r="Q1022">
        <v>4.5</v>
      </c>
    </row>
    <row r="1023" spans="1:17" x14ac:dyDescent="0.3">
      <c r="A1023" s="4">
        <v>44638</v>
      </c>
      <c r="B1023" t="s">
        <v>4639</v>
      </c>
      <c r="C1023" t="s">
        <v>4638</v>
      </c>
      <c r="D1023" s="77">
        <v>0.54999999999999993</v>
      </c>
      <c r="E1023" t="s">
        <v>3314</v>
      </c>
      <c r="F1023">
        <v>46</v>
      </c>
      <c r="G1023" t="s">
        <v>3315</v>
      </c>
      <c r="H1023">
        <v>20000</v>
      </c>
      <c r="I1023" t="s">
        <v>3834</v>
      </c>
      <c r="J1023">
        <v>20000</v>
      </c>
      <c r="K1023">
        <v>90000</v>
      </c>
      <c r="L1023" t="s">
        <v>119</v>
      </c>
      <c r="M1023" t="s">
        <v>27</v>
      </c>
      <c r="N1023" t="s">
        <v>101</v>
      </c>
      <c r="O1023" t="s">
        <v>3803</v>
      </c>
      <c r="P1023" s="5" t="s">
        <v>3318</v>
      </c>
      <c r="Q1023">
        <v>4.5</v>
      </c>
    </row>
    <row r="1024" spans="1:17" x14ac:dyDescent="0.3">
      <c r="A1024" s="4">
        <v>44638</v>
      </c>
      <c r="B1024" t="s">
        <v>4640</v>
      </c>
      <c r="C1024" t="s">
        <v>4638</v>
      </c>
      <c r="D1024" s="77">
        <v>0.58124999999999993</v>
      </c>
      <c r="E1024" t="s">
        <v>3314</v>
      </c>
      <c r="F1024">
        <v>69</v>
      </c>
      <c r="G1024" t="s">
        <v>3315</v>
      </c>
      <c r="H1024">
        <v>30000</v>
      </c>
      <c r="I1024" t="s">
        <v>3834</v>
      </c>
      <c r="J1024">
        <v>30000</v>
      </c>
      <c r="K1024">
        <v>120000</v>
      </c>
      <c r="L1024" t="s">
        <v>118</v>
      </c>
      <c r="M1024" t="s">
        <v>93</v>
      </c>
      <c r="N1024" t="s">
        <v>121</v>
      </c>
      <c r="O1024" t="s">
        <v>3781</v>
      </c>
      <c r="P1024" s="5" t="s">
        <v>3318</v>
      </c>
      <c r="Q1024">
        <v>4</v>
      </c>
    </row>
    <row r="1025" spans="1:17" x14ac:dyDescent="0.3">
      <c r="A1025" s="4">
        <v>44638</v>
      </c>
      <c r="B1025" t="s">
        <v>4641</v>
      </c>
      <c r="C1025" t="s">
        <v>4642</v>
      </c>
      <c r="D1025" s="77">
        <v>0.61805555555555558</v>
      </c>
      <c r="E1025" t="s">
        <v>3314</v>
      </c>
      <c r="F1025">
        <v>27</v>
      </c>
      <c r="G1025" t="s">
        <v>3315</v>
      </c>
      <c r="H1025">
        <v>30000</v>
      </c>
      <c r="I1025" t="s">
        <v>3834</v>
      </c>
      <c r="J1025">
        <v>30000</v>
      </c>
      <c r="K1025">
        <v>30000</v>
      </c>
      <c r="L1025" t="s">
        <v>124</v>
      </c>
      <c r="M1025" t="s">
        <v>141</v>
      </c>
      <c r="N1025" t="s">
        <v>142</v>
      </c>
      <c r="O1025" t="s">
        <v>4518</v>
      </c>
      <c r="P1025" s="5" t="s">
        <v>3318</v>
      </c>
      <c r="Q1025">
        <v>1</v>
      </c>
    </row>
    <row r="1026" spans="1:17" x14ac:dyDescent="0.3">
      <c r="A1026" s="4">
        <v>44638</v>
      </c>
      <c r="B1026" t="s">
        <v>4643</v>
      </c>
      <c r="C1026" t="s">
        <v>4633</v>
      </c>
      <c r="D1026" s="77">
        <v>0.61805555555555558</v>
      </c>
      <c r="E1026" t="s">
        <v>3314</v>
      </c>
      <c r="F1026">
        <v>31</v>
      </c>
      <c r="G1026" t="s">
        <v>3315</v>
      </c>
      <c r="H1026">
        <v>30000</v>
      </c>
      <c r="I1026" t="s">
        <v>3834</v>
      </c>
      <c r="J1026">
        <v>30000</v>
      </c>
      <c r="K1026">
        <v>135000</v>
      </c>
      <c r="L1026" t="s">
        <v>116</v>
      </c>
      <c r="M1026" t="s">
        <v>78</v>
      </c>
      <c r="N1026" t="s">
        <v>100</v>
      </c>
      <c r="O1026" t="s">
        <v>4472</v>
      </c>
      <c r="P1026" s="5" t="s">
        <v>3318</v>
      </c>
      <c r="Q1026">
        <v>4.5</v>
      </c>
    </row>
    <row r="1027" spans="1:17" x14ac:dyDescent="0.3">
      <c r="A1027" s="4">
        <v>44638</v>
      </c>
      <c r="B1027" t="s">
        <v>4644</v>
      </c>
      <c r="C1027" t="s">
        <v>4645</v>
      </c>
      <c r="D1027" s="77">
        <v>0.64583333333333337</v>
      </c>
      <c r="E1027" t="s">
        <v>3314</v>
      </c>
      <c r="F1027">
        <v>30</v>
      </c>
      <c r="G1027" t="s">
        <v>3315</v>
      </c>
      <c r="H1027">
        <v>20000</v>
      </c>
      <c r="I1027" t="s">
        <v>3834</v>
      </c>
      <c r="J1027">
        <v>20000</v>
      </c>
      <c r="K1027">
        <v>90000</v>
      </c>
      <c r="L1027" t="s">
        <v>116</v>
      </c>
      <c r="M1027" t="s">
        <v>77</v>
      </c>
      <c r="N1027" t="s">
        <v>133</v>
      </c>
      <c r="O1027" t="s">
        <v>3376</v>
      </c>
      <c r="P1027" s="5" t="s">
        <v>3318</v>
      </c>
      <c r="Q1027">
        <v>4.5</v>
      </c>
    </row>
    <row r="1028" spans="1:17" x14ac:dyDescent="0.3">
      <c r="A1028" s="4">
        <v>44638</v>
      </c>
      <c r="B1028" t="s">
        <v>4646</v>
      </c>
      <c r="C1028" t="s">
        <v>4638</v>
      </c>
      <c r="D1028" s="77">
        <v>0.64583333333333337</v>
      </c>
      <c r="E1028" t="s">
        <v>3314</v>
      </c>
      <c r="F1028">
        <v>42</v>
      </c>
      <c r="G1028" t="s">
        <v>3336</v>
      </c>
      <c r="H1028">
        <v>30000</v>
      </c>
      <c r="I1028" t="s">
        <v>3336</v>
      </c>
      <c r="J1028">
        <v>30000</v>
      </c>
      <c r="K1028">
        <v>120000</v>
      </c>
      <c r="L1028" t="s">
        <v>118</v>
      </c>
      <c r="M1028" t="s">
        <v>93</v>
      </c>
      <c r="N1028" t="s">
        <v>121</v>
      </c>
      <c r="O1028" t="s">
        <v>3781</v>
      </c>
      <c r="P1028" s="5" t="s">
        <v>3318</v>
      </c>
      <c r="Q1028">
        <v>4</v>
      </c>
    </row>
    <row r="1029" spans="1:17" x14ac:dyDescent="0.3">
      <c r="A1029" s="4">
        <v>44638</v>
      </c>
      <c r="B1029" t="s">
        <v>4647</v>
      </c>
      <c r="C1029" t="s">
        <v>4648</v>
      </c>
      <c r="D1029" s="77">
        <v>0.67013888888888884</v>
      </c>
      <c r="E1029" t="s">
        <v>3314</v>
      </c>
      <c r="F1029">
        <v>35</v>
      </c>
      <c r="G1029" t="s">
        <v>3315</v>
      </c>
      <c r="H1029">
        <v>20000</v>
      </c>
      <c r="I1029" t="s">
        <v>3834</v>
      </c>
      <c r="J1029">
        <v>20000</v>
      </c>
      <c r="K1029">
        <v>80000</v>
      </c>
      <c r="L1029" t="s">
        <v>118</v>
      </c>
      <c r="M1029" t="s">
        <v>90</v>
      </c>
      <c r="N1029" t="s">
        <v>110</v>
      </c>
      <c r="O1029" t="s">
        <v>3455</v>
      </c>
      <c r="P1029" s="5" t="s">
        <v>3318</v>
      </c>
      <c r="Q1029">
        <v>4</v>
      </c>
    </row>
    <row r="1030" spans="1:17" x14ac:dyDescent="0.3">
      <c r="A1030" s="4">
        <v>44638</v>
      </c>
      <c r="B1030" t="s">
        <v>4649</v>
      </c>
      <c r="C1030" t="s">
        <v>4650</v>
      </c>
      <c r="D1030" s="77">
        <v>0.68680555555555556</v>
      </c>
      <c r="E1030" t="s">
        <v>3314</v>
      </c>
      <c r="F1030">
        <v>58</v>
      </c>
      <c r="G1030" t="s">
        <v>3315</v>
      </c>
      <c r="H1030">
        <v>20000</v>
      </c>
      <c r="I1030" t="s">
        <v>3834</v>
      </c>
      <c r="J1030">
        <v>20000</v>
      </c>
      <c r="K1030">
        <v>80000</v>
      </c>
      <c r="L1030" t="s">
        <v>118</v>
      </c>
      <c r="M1030" t="s">
        <v>92</v>
      </c>
      <c r="N1030" t="s">
        <v>137</v>
      </c>
      <c r="O1030" t="s">
        <v>3476</v>
      </c>
      <c r="P1030" s="5" t="s">
        <v>3318</v>
      </c>
      <c r="Q1030">
        <v>4</v>
      </c>
    </row>
    <row r="1031" spans="1:17" x14ac:dyDescent="0.3">
      <c r="A1031" s="4">
        <v>44638</v>
      </c>
      <c r="B1031" t="s">
        <v>4651</v>
      </c>
      <c r="C1031" t="s">
        <v>4652</v>
      </c>
      <c r="D1031" s="77">
        <v>0.69444444444444453</v>
      </c>
      <c r="E1031" t="s">
        <v>3314</v>
      </c>
      <c r="F1031">
        <v>58</v>
      </c>
      <c r="G1031" t="s">
        <v>3315</v>
      </c>
      <c r="H1031">
        <v>30000</v>
      </c>
      <c r="I1031" t="s">
        <v>3834</v>
      </c>
      <c r="J1031">
        <v>30000</v>
      </c>
      <c r="K1031">
        <v>135000</v>
      </c>
      <c r="L1031" t="s">
        <v>119</v>
      </c>
      <c r="M1031" t="s">
        <v>29</v>
      </c>
      <c r="N1031" t="s">
        <v>104</v>
      </c>
      <c r="O1031" t="s">
        <v>3457</v>
      </c>
      <c r="P1031" s="5" t="s">
        <v>3318</v>
      </c>
      <c r="Q1031">
        <v>4.5</v>
      </c>
    </row>
    <row r="1032" spans="1:17" x14ac:dyDescent="0.3">
      <c r="A1032" s="4">
        <v>44638</v>
      </c>
      <c r="B1032" t="s">
        <v>4653</v>
      </c>
      <c r="C1032" t="s">
        <v>4654</v>
      </c>
      <c r="D1032" s="77">
        <v>0.70833333333333337</v>
      </c>
      <c r="E1032" t="s">
        <v>3314</v>
      </c>
      <c r="F1032">
        <v>55</v>
      </c>
      <c r="G1032" t="s">
        <v>3315</v>
      </c>
      <c r="H1032">
        <v>30000</v>
      </c>
      <c r="I1032" t="s">
        <v>3834</v>
      </c>
      <c r="J1032">
        <v>30000</v>
      </c>
      <c r="K1032">
        <v>120000</v>
      </c>
      <c r="L1032" t="s">
        <v>118</v>
      </c>
      <c r="M1032" t="s">
        <v>28</v>
      </c>
      <c r="N1032" t="s">
        <v>132</v>
      </c>
      <c r="O1032" t="s">
        <v>3449</v>
      </c>
      <c r="P1032" s="5" t="s">
        <v>3318</v>
      </c>
      <c r="Q1032">
        <v>4</v>
      </c>
    </row>
    <row r="1033" spans="1:17" x14ac:dyDescent="0.3">
      <c r="A1033" s="4">
        <v>44638</v>
      </c>
      <c r="B1033" t="s">
        <v>4655</v>
      </c>
      <c r="C1033" t="s">
        <v>4648</v>
      </c>
      <c r="D1033" s="77">
        <v>0.71875</v>
      </c>
      <c r="E1033" t="s">
        <v>3314</v>
      </c>
      <c r="F1033">
        <v>52</v>
      </c>
      <c r="G1033" t="s">
        <v>3315</v>
      </c>
      <c r="H1033">
        <v>20000</v>
      </c>
      <c r="I1033" t="s">
        <v>3834</v>
      </c>
      <c r="J1033">
        <v>20000</v>
      </c>
      <c r="K1033">
        <v>80000</v>
      </c>
      <c r="L1033" t="s">
        <v>118</v>
      </c>
      <c r="M1033" t="s">
        <v>90</v>
      </c>
      <c r="N1033" t="s">
        <v>110</v>
      </c>
      <c r="O1033" t="s">
        <v>3455</v>
      </c>
      <c r="P1033" s="5" t="s">
        <v>3318</v>
      </c>
      <c r="Q1033">
        <v>4</v>
      </c>
    </row>
    <row r="1034" spans="1:17" x14ac:dyDescent="0.3">
      <c r="A1034" s="4">
        <v>44638</v>
      </c>
      <c r="B1034" t="s">
        <v>4656</v>
      </c>
      <c r="C1034" t="s">
        <v>4645</v>
      </c>
      <c r="D1034" s="77">
        <v>0.72569444444444453</v>
      </c>
      <c r="E1034" t="s">
        <v>3314</v>
      </c>
      <c r="F1034">
        <v>58</v>
      </c>
      <c r="G1034" t="s">
        <v>3315</v>
      </c>
      <c r="H1034">
        <v>20000</v>
      </c>
      <c r="I1034" t="s">
        <v>3834</v>
      </c>
      <c r="J1034">
        <v>20000</v>
      </c>
      <c r="K1034">
        <v>80000</v>
      </c>
      <c r="L1034" t="s">
        <v>118</v>
      </c>
      <c r="M1034" t="s">
        <v>94</v>
      </c>
      <c r="N1034" t="s">
        <v>138</v>
      </c>
      <c r="O1034" t="s">
        <v>3775</v>
      </c>
      <c r="P1034" s="5" t="s">
        <v>3318</v>
      </c>
      <c r="Q1034">
        <v>4</v>
      </c>
    </row>
    <row r="1035" spans="1:17" x14ac:dyDescent="0.3">
      <c r="A1035" s="4">
        <v>44638</v>
      </c>
      <c r="B1035" t="s">
        <v>4657</v>
      </c>
      <c r="C1035" t="s">
        <v>4589</v>
      </c>
      <c r="D1035" s="77">
        <v>0.73055555555555562</v>
      </c>
      <c r="E1035" t="s">
        <v>3314</v>
      </c>
      <c r="F1035">
        <v>61</v>
      </c>
      <c r="G1035" t="s">
        <v>3315</v>
      </c>
      <c r="H1035">
        <v>30000</v>
      </c>
      <c r="I1035" t="s">
        <v>3834</v>
      </c>
      <c r="J1035">
        <v>30000</v>
      </c>
      <c r="K1035">
        <v>135000</v>
      </c>
      <c r="L1035" t="s">
        <v>114</v>
      </c>
      <c r="M1035" t="s">
        <v>31</v>
      </c>
      <c r="N1035" t="s">
        <v>105</v>
      </c>
      <c r="O1035" t="s">
        <v>3339</v>
      </c>
      <c r="P1035" s="5" t="s">
        <v>3318</v>
      </c>
      <c r="Q1035">
        <v>4.5</v>
      </c>
    </row>
    <row r="1036" spans="1:17" x14ac:dyDescent="0.3">
      <c r="A1036" s="4">
        <v>44638</v>
      </c>
      <c r="B1036" t="s">
        <v>4658</v>
      </c>
      <c r="C1036" t="s">
        <v>4652</v>
      </c>
      <c r="D1036" s="77">
        <v>0.73263888888888884</v>
      </c>
      <c r="E1036" t="s">
        <v>3314</v>
      </c>
      <c r="F1036">
        <v>47</v>
      </c>
      <c r="G1036" t="s">
        <v>3315</v>
      </c>
      <c r="H1036">
        <v>20000</v>
      </c>
      <c r="I1036" t="s">
        <v>3834</v>
      </c>
      <c r="J1036">
        <v>20000</v>
      </c>
      <c r="K1036">
        <v>90000</v>
      </c>
      <c r="L1036" t="s">
        <v>119</v>
      </c>
      <c r="M1036" t="s">
        <v>29</v>
      </c>
      <c r="N1036" t="s">
        <v>104</v>
      </c>
      <c r="O1036" t="s">
        <v>3457</v>
      </c>
      <c r="P1036" s="5" t="s">
        <v>3318</v>
      </c>
      <c r="Q1036">
        <v>4.5</v>
      </c>
    </row>
    <row r="1037" spans="1:17" x14ac:dyDescent="0.3">
      <c r="A1037" s="4">
        <v>44638</v>
      </c>
      <c r="B1037" t="s">
        <v>4659</v>
      </c>
      <c r="C1037" t="s">
        <v>4589</v>
      </c>
      <c r="D1037" s="77">
        <v>0.74236111111111114</v>
      </c>
      <c r="E1037" t="s">
        <v>3314</v>
      </c>
      <c r="F1037">
        <v>56</v>
      </c>
      <c r="G1037" t="s">
        <v>3315</v>
      </c>
      <c r="H1037">
        <v>20000</v>
      </c>
      <c r="I1037" t="s">
        <v>3834</v>
      </c>
      <c r="J1037">
        <v>20000</v>
      </c>
      <c r="K1037">
        <v>90000</v>
      </c>
      <c r="L1037" t="s">
        <v>116</v>
      </c>
      <c r="M1037" t="s">
        <v>76</v>
      </c>
      <c r="N1037" t="s">
        <v>107</v>
      </c>
      <c r="O1037" t="s">
        <v>3321</v>
      </c>
      <c r="P1037" s="5" t="s">
        <v>3318</v>
      </c>
      <c r="Q1037">
        <v>4.5</v>
      </c>
    </row>
    <row r="1038" spans="1:17" x14ac:dyDescent="0.3">
      <c r="A1038" s="4">
        <v>44638</v>
      </c>
      <c r="B1038" t="s">
        <v>4660</v>
      </c>
      <c r="C1038" t="s">
        <v>4602</v>
      </c>
      <c r="D1038" s="77">
        <v>0.74305555555555547</v>
      </c>
      <c r="E1038" t="s">
        <v>3314</v>
      </c>
      <c r="F1038">
        <v>59</v>
      </c>
      <c r="G1038" t="s">
        <v>3315</v>
      </c>
      <c r="H1038">
        <v>20000</v>
      </c>
      <c r="I1038" t="s">
        <v>3834</v>
      </c>
      <c r="J1038">
        <v>20000</v>
      </c>
      <c r="K1038">
        <v>80000</v>
      </c>
      <c r="L1038" t="s">
        <v>118</v>
      </c>
      <c r="M1038" t="s">
        <v>96</v>
      </c>
      <c r="N1038" t="s">
        <v>140</v>
      </c>
      <c r="O1038" t="s">
        <v>4105</v>
      </c>
      <c r="P1038" s="5" t="s">
        <v>3318</v>
      </c>
      <c r="Q1038">
        <v>4</v>
      </c>
    </row>
    <row r="1039" spans="1:17" x14ac:dyDescent="0.3">
      <c r="A1039" s="4">
        <v>44638</v>
      </c>
      <c r="B1039" t="s">
        <v>4661</v>
      </c>
      <c r="C1039" t="s">
        <v>4018</v>
      </c>
      <c r="D1039" s="77">
        <v>0.74305555555555547</v>
      </c>
      <c r="E1039" t="s">
        <v>3314</v>
      </c>
      <c r="F1039">
        <v>63</v>
      </c>
      <c r="G1039" t="s">
        <v>3315</v>
      </c>
      <c r="H1039">
        <v>20000</v>
      </c>
      <c r="I1039" t="s">
        <v>3834</v>
      </c>
      <c r="J1039">
        <v>20000</v>
      </c>
      <c r="K1039">
        <v>80000</v>
      </c>
      <c r="L1039" t="s">
        <v>118</v>
      </c>
      <c r="M1039" t="s">
        <v>91</v>
      </c>
      <c r="N1039" t="s">
        <v>136</v>
      </c>
      <c r="O1039" t="s">
        <v>3422</v>
      </c>
      <c r="P1039" s="5" t="s">
        <v>3318</v>
      </c>
      <c r="Q1039">
        <v>4</v>
      </c>
    </row>
    <row r="1040" spans="1:17" x14ac:dyDescent="0.3">
      <c r="A1040" s="4">
        <v>44638</v>
      </c>
      <c r="B1040" t="s">
        <v>4662</v>
      </c>
      <c r="C1040" t="s">
        <v>4645</v>
      </c>
      <c r="D1040" s="77">
        <v>0.75763888888888886</v>
      </c>
      <c r="E1040" t="s">
        <v>3314</v>
      </c>
      <c r="F1040">
        <v>26</v>
      </c>
      <c r="G1040" t="s">
        <v>3315</v>
      </c>
      <c r="H1040">
        <v>30000</v>
      </c>
      <c r="I1040" t="s">
        <v>3834</v>
      </c>
      <c r="J1040">
        <v>30000</v>
      </c>
      <c r="K1040">
        <v>135000</v>
      </c>
      <c r="L1040" t="s">
        <v>116</v>
      </c>
      <c r="M1040" t="s">
        <v>77</v>
      </c>
      <c r="N1040" t="s">
        <v>133</v>
      </c>
      <c r="O1040" t="s">
        <v>3376</v>
      </c>
      <c r="P1040" s="5" t="s">
        <v>3318</v>
      </c>
      <c r="Q1040">
        <v>4.5</v>
      </c>
    </row>
    <row r="1041" spans="1:17" x14ac:dyDescent="0.3">
      <c r="A1041" s="4">
        <v>44638</v>
      </c>
      <c r="B1041" t="s">
        <v>4663</v>
      </c>
      <c r="C1041" t="s">
        <v>4648</v>
      </c>
      <c r="D1041" s="77">
        <v>0.76041666666666663</v>
      </c>
      <c r="E1041" t="s">
        <v>3314</v>
      </c>
      <c r="F1041">
        <v>39</v>
      </c>
      <c r="G1041" t="s">
        <v>3315</v>
      </c>
      <c r="H1041">
        <v>20000</v>
      </c>
      <c r="I1041" t="s">
        <v>3834</v>
      </c>
      <c r="J1041">
        <v>20000</v>
      </c>
      <c r="K1041">
        <v>80000</v>
      </c>
      <c r="L1041" t="s">
        <v>118</v>
      </c>
      <c r="M1041" t="s">
        <v>90</v>
      </c>
      <c r="N1041" t="s">
        <v>110</v>
      </c>
      <c r="O1041" t="s">
        <v>3455</v>
      </c>
      <c r="P1041" s="5" t="s">
        <v>3318</v>
      </c>
      <c r="Q1041">
        <v>4</v>
      </c>
    </row>
    <row r="1042" spans="1:17" x14ac:dyDescent="0.3">
      <c r="A1042" s="4">
        <v>44638</v>
      </c>
      <c r="B1042" t="s">
        <v>4664</v>
      </c>
      <c r="C1042" t="s">
        <v>4652</v>
      </c>
      <c r="D1042" s="77">
        <v>0.76041666666666663</v>
      </c>
      <c r="E1042" t="s">
        <v>3314</v>
      </c>
      <c r="F1042">
        <v>68</v>
      </c>
      <c r="G1042" t="s">
        <v>3315</v>
      </c>
      <c r="H1042">
        <v>20000</v>
      </c>
      <c r="I1042" t="s">
        <v>3834</v>
      </c>
      <c r="J1042">
        <v>20000</v>
      </c>
      <c r="K1042">
        <v>90000</v>
      </c>
      <c r="L1042" t="s">
        <v>119</v>
      </c>
      <c r="M1042" t="s">
        <v>29</v>
      </c>
      <c r="N1042" t="s">
        <v>104</v>
      </c>
      <c r="O1042" t="s">
        <v>3457</v>
      </c>
      <c r="P1042" s="5" t="s">
        <v>3318</v>
      </c>
      <c r="Q1042">
        <v>4.5</v>
      </c>
    </row>
    <row r="1043" spans="1:17" x14ac:dyDescent="0.3">
      <c r="A1043" s="4">
        <v>44638</v>
      </c>
      <c r="B1043" t="s">
        <v>4665</v>
      </c>
      <c r="C1043" t="s">
        <v>4642</v>
      </c>
      <c r="D1043" s="77">
        <v>0.76388888888888884</v>
      </c>
      <c r="E1043" t="s">
        <v>3314</v>
      </c>
      <c r="F1043">
        <v>43</v>
      </c>
      <c r="G1043" t="s">
        <v>3315</v>
      </c>
      <c r="H1043">
        <v>30000</v>
      </c>
      <c r="I1043" t="s">
        <v>3834</v>
      </c>
      <c r="J1043">
        <v>30000</v>
      </c>
      <c r="K1043">
        <v>120000</v>
      </c>
      <c r="L1043" t="s">
        <v>118</v>
      </c>
      <c r="M1043" t="s">
        <v>85</v>
      </c>
      <c r="N1043" t="s">
        <v>109</v>
      </c>
      <c r="O1043" t="s">
        <v>3342</v>
      </c>
      <c r="P1043" s="5" t="s">
        <v>3318</v>
      </c>
      <c r="Q1043">
        <v>4</v>
      </c>
    </row>
    <row r="1044" spans="1:17" x14ac:dyDescent="0.3">
      <c r="A1044" s="4">
        <v>44638</v>
      </c>
      <c r="B1044" t="s">
        <v>4666</v>
      </c>
      <c r="C1044" t="s">
        <v>4589</v>
      </c>
      <c r="D1044" s="77">
        <v>0.76736111111111116</v>
      </c>
      <c r="E1044" t="s">
        <v>3314</v>
      </c>
      <c r="F1044">
        <v>31</v>
      </c>
      <c r="G1044" t="s">
        <v>3315</v>
      </c>
      <c r="H1044">
        <v>20000</v>
      </c>
      <c r="I1044" t="s">
        <v>3834</v>
      </c>
      <c r="J1044">
        <v>20000</v>
      </c>
      <c r="K1044">
        <v>90000</v>
      </c>
      <c r="L1044" t="s">
        <v>116</v>
      </c>
      <c r="M1044" t="s">
        <v>76</v>
      </c>
      <c r="N1044" t="s">
        <v>107</v>
      </c>
      <c r="O1044" t="s">
        <v>3321</v>
      </c>
      <c r="P1044" s="5" t="s">
        <v>3318</v>
      </c>
      <c r="Q1044">
        <v>4.5</v>
      </c>
    </row>
    <row r="1045" spans="1:17" x14ac:dyDescent="0.3">
      <c r="A1045" s="4">
        <v>44638</v>
      </c>
      <c r="B1045" t="s">
        <v>4667</v>
      </c>
      <c r="C1045" t="s">
        <v>4654</v>
      </c>
      <c r="D1045" s="77">
        <v>0.77083333333333337</v>
      </c>
      <c r="E1045" t="s">
        <v>3314</v>
      </c>
      <c r="F1045">
        <v>53</v>
      </c>
      <c r="G1045" t="s">
        <v>3315</v>
      </c>
      <c r="H1045">
        <v>30000</v>
      </c>
      <c r="I1045" t="s">
        <v>3834</v>
      </c>
      <c r="J1045">
        <v>30000</v>
      </c>
      <c r="K1045">
        <v>120000</v>
      </c>
      <c r="L1045" t="s">
        <v>118</v>
      </c>
      <c r="M1045" t="s">
        <v>28</v>
      </c>
      <c r="N1045" t="s">
        <v>132</v>
      </c>
      <c r="O1045" t="s">
        <v>3449</v>
      </c>
      <c r="P1045" s="5" t="s">
        <v>3318</v>
      </c>
      <c r="Q1045">
        <v>4</v>
      </c>
    </row>
    <row r="1046" spans="1:17" x14ac:dyDescent="0.3">
      <c r="A1046" s="4">
        <v>44638</v>
      </c>
      <c r="B1046" t="s">
        <v>4668</v>
      </c>
      <c r="C1046" t="s">
        <v>4602</v>
      </c>
      <c r="D1046" s="77">
        <v>0.78472222222222221</v>
      </c>
      <c r="E1046" t="s">
        <v>3314</v>
      </c>
      <c r="F1046">
        <v>64</v>
      </c>
      <c r="G1046" t="s">
        <v>3315</v>
      </c>
      <c r="H1046">
        <v>30000</v>
      </c>
      <c r="I1046" t="s">
        <v>3834</v>
      </c>
      <c r="J1046">
        <v>30000</v>
      </c>
      <c r="K1046">
        <v>120000</v>
      </c>
      <c r="L1046" t="s">
        <v>118</v>
      </c>
      <c r="M1046" t="s">
        <v>87</v>
      </c>
      <c r="N1046" t="s">
        <v>134</v>
      </c>
      <c r="O1046" t="s">
        <v>3528</v>
      </c>
      <c r="P1046" s="5" t="s">
        <v>3318</v>
      </c>
      <c r="Q1046">
        <v>4</v>
      </c>
    </row>
    <row r="1047" spans="1:17" x14ac:dyDescent="0.3">
      <c r="A1047" s="4">
        <v>44638</v>
      </c>
      <c r="B1047" t="s">
        <v>4669</v>
      </c>
      <c r="C1047" t="s">
        <v>4645</v>
      </c>
      <c r="D1047" s="77">
        <v>0.78819444444444453</v>
      </c>
      <c r="E1047" t="s">
        <v>3314</v>
      </c>
      <c r="F1047">
        <v>48</v>
      </c>
      <c r="G1047" t="s">
        <v>3315</v>
      </c>
      <c r="H1047">
        <v>50000</v>
      </c>
      <c r="I1047" t="s">
        <v>3834</v>
      </c>
      <c r="J1047">
        <v>50000</v>
      </c>
      <c r="K1047">
        <v>200000</v>
      </c>
      <c r="L1047" t="s">
        <v>118</v>
      </c>
      <c r="M1047" t="s">
        <v>94</v>
      </c>
      <c r="N1047" t="s">
        <v>138</v>
      </c>
      <c r="O1047" t="s">
        <v>3775</v>
      </c>
      <c r="P1047" s="5" t="s">
        <v>3318</v>
      </c>
      <c r="Q1047">
        <v>4</v>
      </c>
    </row>
    <row r="1048" spans="1:17" x14ac:dyDescent="0.3">
      <c r="A1048" s="4">
        <v>44638</v>
      </c>
      <c r="B1048" t="s">
        <v>4670</v>
      </c>
      <c r="C1048" t="s">
        <v>4589</v>
      </c>
      <c r="D1048" s="77">
        <v>0.80208333333333337</v>
      </c>
      <c r="E1048" t="s">
        <v>3314</v>
      </c>
      <c r="F1048">
        <v>66</v>
      </c>
      <c r="G1048" t="s">
        <v>3336</v>
      </c>
      <c r="H1048">
        <v>20000</v>
      </c>
      <c r="I1048" t="s">
        <v>3336</v>
      </c>
      <c r="J1048">
        <v>20000</v>
      </c>
      <c r="K1048">
        <v>90000</v>
      </c>
      <c r="L1048" t="s">
        <v>116</v>
      </c>
      <c r="M1048" t="s">
        <v>76</v>
      </c>
      <c r="N1048" t="s">
        <v>107</v>
      </c>
      <c r="O1048" t="s">
        <v>3321</v>
      </c>
      <c r="P1048" s="5" t="s">
        <v>3318</v>
      </c>
      <c r="Q1048">
        <v>4.5</v>
      </c>
    </row>
    <row r="1049" spans="1:17" x14ac:dyDescent="0.3">
      <c r="A1049" s="4">
        <v>44638</v>
      </c>
      <c r="B1049" t="s">
        <v>4671</v>
      </c>
      <c r="C1049" t="s">
        <v>4602</v>
      </c>
      <c r="D1049" s="77">
        <v>0.8041666666666667</v>
      </c>
      <c r="E1049" t="s">
        <v>3314</v>
      </c>
      <c r="F1049">
        <v>50</v>
      </c>
      <c r="G1049" t="s">
        <v>3315</v>
      </c>
      <c r="H1049">
        <v>30000</v>
      </c>
      <c r="I1049" t="s">
        <v>3834</v>
      </c>
      <c r="J1049">
        <v>30000</v>
      </c>
      <c r="K1049">
        <v>120000</v>
      </c>
      <c r="L1049" t="s">
        <v>118</v>
      </c>
      <c r="M1049" t="s">
        <v>87</v>
      </c>
      <c r="N1049" t="s">
        <v>134</v>
      </c>
      <c r="O1049" t="s">
        <v>3528</v>
      </c>
      <c r="P1049" s="5" t="s">
        <v>3318</v>
      </c>
      <c r="Q1049">
        <v>4</v>
      </c>
    </row>
    <row r="1050" spans="1:17" x14ac:dyDescent="0.3">
      <c r="A1050" s="4">
        <v>44638</v>
      </c>
      <c r="B1050" t="s">
        <v>4672</v>
      </c>
      <c r="C1050" t="s">
        <v>4589</v>
      </c>
      <c r="D1050" s="77">
        <v>0.80902777777777779</v>
      </c>
      <c r="E1050" t="s">
        <v>3314</v>
      </c>
      <c r="F1050">
        <v>33</v>
      </c>
      <c r="G1050" t="s">
        <v>3315</v>
      </c>
      <c r="H1050">
        <v>20000</v>
      </c>
      <c r="I1050" t="s">
        <v>3834</v>
      </c>
      <c r="J1050">
        <v>20000</v>
      </c>
      <c r="K1050">
        <v>90000</v>
      </c>
      <c r="L1050" t="s">
        <v>114</v>
      </c>
      <c r="M1050" t="s">
        <v>31</v>
      </c>
      <c r="N1050" t="s">
        <v>105</v>
      </c>
      <c r="O1050" t="s">
        <v>3339</v>
      </c>
      <c r="P1050" s="5" t="s">
        <v>3318</v>
      </c>
      <c r="Q1050">
        <v>4.5</v>
      </c>
    </row>
    <row r="1051" spans="1:17" x14ac:dyDescent="0.3">
      <c r="A1051" s="4">
        <v>44638</v>
      </c>
      <c r="B1051" t="s">
        <v>4673</v>
      </c>
      <c r="C1051" t="s">
        <v>4642</v>
      </c>
      <c r="D1051" s="77">
        <v>0.8125</v>
      </c>
      <c r="E1051" t="s">
        <v>3314</v>
      </c>
      <c r="F1051">
        <v>36</v>
      </c>
      <c r="G1051" t="s">
        <v>3315</v>
      </c>
      <c r="H1051">
        <v>20000</v>
      </c>
      <c r="I1051" t="s">
        <v>3834</v>
      </c>
      <c r="J1051">
        <v>20000</v>
      </c>
      <c r="K1051">
        <v>90000</v>
      </c>
      <c r="L1051" t="s">
        <v>114</v>
      </c>
      <c r="M1051" t="s">
        <v>30</v>
      </c>
      <c r="N1051" t="s">
        <v>106</v>
      </c>
      <c r="O1051" t="s">
        <v>3379</v>
      </c>
      <c r="P1051" s="5" t="s">
        <v>3318</v>
      </c>
      <c r="Q1051">
        <v>4.5</v>
      </c>
    </row>
    <row r="1052" spans="1:17" x14ac:dyDescent="0.3">
      <c r="A1052" s="4">
        <v>44638</v>
      </c>
      <c r="B1052" t="s">
        <v>4674</v>
      </c>
      <c r="C1052" t="s">
        <v>4654</v>
      </c>
      <c r="D1052" s="77">
        <v>0.8125</v>
      </c>
      <c r="E1052" t="s">
        <v>3314</v>
      </c>
      <c r="F1052">
        <v>34</v>
      </c>
      <c r="G1052" t="s">
        <v>3315</v>
      </c>
      <c r="H1052">
        <v>20000</v>
      </c>
      <c r="I1052" t="s">
        <v>3834</v>
      </c>
      <c r="J1052">
        <v>20000</v>
      </c>
      <c r="K1052">
        <v>80000</v>
      </c>
      <c r="L1052" t="s">
        <v>118</v>
      </c>
      <c r="M1052" t="s">
        <v>28</v>
      </c>
      <c r="N1052" t="s">
        <v>132</v>
      </c>
      <c r="O1052" t="s">
        <v>3449</v>
      </c>
      <c r="P1052" s="5" t="s">
        <v>3318</v>
      </c>
      <c r="Q1052">
        <v>4</v>
      </c>
    </row>
    <row r="1053" spans="1:17" x14ac:dyDescent="0.3">
      <c r="A1053" s="4">
        <v>44638</v>
      </c>
      <c r="B1053" t="s">
        <v>4675</v>
      </c>
      <c r="C1053" t="s">
        <v>4638</v>
      </c>
      <c r="D1053" s="77">
        <v>0.8256944444444444</v>
      </c>
      <c r="E1053" t="s">
        <v>3314</v>
      </c>
      <c r="F1053">
        <v>52</v>
      </c>
      <c r="G1053" t="s">
        <v>3315</v>
      </c>
      <c r="H1053">
        <v>20000</v>
      </c>
      <c r="I1053" t="s">
        <v>3834</v>
      </c>
      <c r="J1053">
        <v>20000</v>
      </c>
      <c r="K1053">
        <v>90000</v>
      </c>
      <c r="L1053" t="s">
        <v>113</v>
      </c>
      <c r="M1053" t="s">
        <v>22</v>
      </c>
      <c r="N1053" t="s">
        <v>98</v>
      </c>
      <c r="O1053" t="s">
        <v>3437</v>
      </c>
      <c r="P1053" s="5" t="s">
        <v>3318</v>
      </c>
      <c r="Q1053">
        <v>4.5</v>
      </c>
    </row>
    <row r="1054" spans="1:17" x14ac:dyDescent="0.3">
      <c r="A1054" s="4">
        <v>44638</v>
      </c>
      <c r="B1054" t="s">
        <v>4676</v>
      </c>
      <c r="C1054" t="s">
        <v>4589</v>
      </c>
      <c r="D1054" s="77">
        <v>0.82638888888888884</v>
      </c>
      <c r="E1054" t="s">
        <v>3314</v>
      </c>
      <c r="F1054">
        <v>39</v>
      </c>
      <c r="G1054" t="s">
        <v>3315</v>
      </c>
      <c r="H1054">
        <v>30000</v>
      </c>
      <c r="I1054" t="s">
        <v>3834</v>
      </c>
      <c r="J1054">
        <v>30000</v>
      </c>
      <c r="K1054">
        <v>135000</v>
      </c>
      <c r="L1054" t="s">
        <v>114</v>
      </c>
      <c r="M1054" t="s">
        <v>31</v>
      </c>
      <c r="N1054" t="s">
        <v>105</v>
      </c>
      <c r="O1054" t="s">
        <v>3339</v>
      </c>
      <c r="P1054" s="5" t="s">
        <v>3318</v>
      </c>
      <c r="Q1054">
        <v>4.5</v>
      </c>
    </row>
    <row r="1055" spans="1:17" x14ac:dyDescent="0.3">
      <c r="A1055" s="4">
        <v>44638</v>
      </c>
      <c r="B1055" t="s">
        <v>4677</v>
      </c>
      <c r="C1055" t="s">
        <v>4018</v>
      </c>
      <c r="D1055" s="77">
        <v>0.875</v>
      </c>
      <c r="E1055" t="s">
        <v>3314</v>
      </c>
      <c r="F1055">
        <v>58</v>
      </c>
      <c r="G1055" t="s">
        <v>3315</v>
      </c>
      <c r="H1055">
        <v>20000</v>
      </c>
      <c r="I1055" t="s">
        <v>3834</v>
      </c>
      <c r="J1055">
        <v>20000</v>
      </c>
      <c r="K1055">
        <v>90000</v>
      </c>
      <c r="L1055" t="s">
        <v>116</v>
      </c>
      <c r="M1055" t="s">
        <v>84</v>
      </c>
      <c r="N1055" t="s">
        <v>108</v>
      </c>
      <c r="O1055" t="s">
        <v>3366</v>
      </c>
      <c r="P1055" s="5" t="s">
        <v>3318</v>
      </c>
      <c r="Q1055">
        <v>4.5</v>
      </c>
    </row>
    <row r="1056" spans="1:17" x14ac:dyDescent="0.3">
      <c r="A1056" s="4">
        <v>44639</v>
      </c>
      <c r="B1056" t="s">
        <v>4678</v>
      </c>
      <c r="C1056" t="s">
        <v>4679</v>
      </c>
      <c r="D1056" s="77">
        <v>0.47916666666666669</v>
      </c>
      <c r="E1056" t="s">
        <v>3314</v>
      </c>
      <c r="F1056">
        <v>61</v>
      </c>
      <c r="G1056" t="s">
        <v>3315</v>
      </c>
      <c r="H1056">
        <v>20000</v>
      </c>
      <c r="I1056" t="s">
        <v>3834</v>
      </c>
      <c r="J1056">
        <v>20000</v>
      </c>
      <c r="K1056">
        <v>80000</v>
      </c>
      <c r="L1056" t="s">
        <v>118</v>
      </c>
      <c r="M1056" t="s">
        <v>92</v>
      </c>
      <c r="N1056" t="s">
        <v>137</v>
      </c>
      <c r="O1056" t="s">
        <v>3476</v>
      </c>
      <c r="P1056" s="5" t="s">
        <v>3318</v>
      </c>
      <c r="Q1056">
        <v>4</v>
      </c>
    </row>
    <row r="1057" spans="1:17" x14ac:dyDescent="0.3">
      <c r="A1057" s="4">
        <v>44639</v>
      </c>
      <c r="B1057" t="s">
        <v>4680</v>
      </c>
      <c r="C1057" t="s">
        <v>4681</v>
      </c>
      <c r="D1057" s="77">
        <v>0.51944444444444449</v>
      </c>
      <c r="E1057" t="s">
        <v>3314</v>
      </c>
      <c r="F1057">
        <v>25</v>
      </c>
      <c r="G1057" t="s">
        <v>3315</v>
      </c>
      <c r="H1057">
        <v>20000</v>
      </c>
      <c r="I1057" t="s">
        <v>3834</v>
      </c>
      <c r="J1057">
        <v>20000</v>
      </c>
      <c r="K1057">
        <v>80000</v>
      </c>
      <c r="L1057" t="s">
        <v>118</v>
      </c>
      <c r="M1057" t="s">
        <v>86</v>
      </c>
      <c r="N1057" t="s">
        <v>120</v>
      </c>
      <c r="O1057" t="s">
        <v>3446</v>
      </c>
      <c r="P1057" s="5" t="s">
        <v>3318</v>
      </c>
      <c r="Q1057">
        <v>4</v>
      </c>
    </row>
    <row r="1058" spans="1:17" x14ac:dyDescent="0.3">
      <c r="A1058" s="4">
        <v>44639</v>
      </c>
      <c r="B1058" t="s">
        <v>4682</v>
      </c>
      <c r="C1058" t="s">
        <v>4681</v>
      </c>
      <c r="D1058" s="77">
        <v>0.54652777777777783</v>
      </c>
      <c r="E1058" t="s">
        <v>3314</v>
      </c>
      <c r="F1058">
        <v>51</v>
      </c>
      <c r="G1058" t="s">
        <v>3315</v>
      </c>
      <c r="H1058">
        <v>30000</v>
      </c>
      <c r="I1058" t="s">
        <v>3834</v>
      </c>
      <c r="J1058">
        <v>30000</v>
      </c>
      <c r="K1058">
        <v>135000</v>
      </c>
      <c r="L1058" t="s">
        <v>116</v>
      </c>
      <c r="M1058" t="s">
        <v>65</v>
      </c>
      <c r="N1058" t="s">
        <v>102</v>
      </c>
      <c r="O1058" t="s">
        <v>3506</v>
      </c>
      <c r="P1058" s="5" t="s">
        <v>3318</v>
      </c>
      <c r="Q1058">
        <v>4.5</v>
      </c>
    </row>
    <row r="1059" spans="1:17" x14ac:dyDescent="0.3">
      <c r="A1059" s="4">
        <v>44639</v>
      </c>
      <c r="B1059" t="s">
        <v>4683</v>
      </c>
      <c r="C1059" t="s">
        <v>4684</v>
      </c>
      <c r="D1059" s="77">
        <v>0.61805555555555558</v>
      </c>
      <c r="E1059" t="s">
        <v>3314</v>
      </c>
      <c r="F1059">
        <v>54</v>
      </c>
      <c r="G1059" t="s">
        <v>3315</v>
      </c>
      <c r="H1059">
        <v>20000</v>
      </c>
      <c r="I1059" t="s">
        <v>3834</v>
      </c>
      <c r="J1059">
        <v>20000</v>
      </c>
      <c r="K1059">
        <v>80000</v>
      </c>
      <c r="L1059" t="s">
        <v>118</v>
      </c>
      <c r="M1059" t="s">
        <v>87</v>
      </c>
      <c r="N1059" t="s">
        <v>134</v>
      </c>
      <c r="O1059" t="s">
        <v>3528</v>
      </c>
      <c r="P1059" s="5" t="s">
        <v>3318</v>
      </c>
      <c r="Q1059">
        <v>4</v>
      </c>
    </row>
    <row r="1060" spans="1:17" x14ac:dyDescent="0.3">
      <c r="A1060" s="4">
        <v>44639</v>
      </c>
      <c r="B1060" t="s">
        <v>4685</v>
      </c>
      <c r="C1060" t="s">
        <v>4684</v>
      </c>
      <c r="D1060" s="77">
        <v>0.75</v>
      </c>
      <c r="E1060" t="s">
        <v>3314</v>
      </c>
      <c r="F1060">
        <v>41</v>
      </c>
      <c r="G1060" t="s">
        <v>3315</v>
      </c>
      <c r="H1060">
        <v>20000</v>
      </c>
      <c r="I1060" t="s">
        <v>3834</v>
      </c>
      <c r="J1060">
        <v>20000</v>
      </c>
      <c r="K1060">
        <v>90000</v>
      </c>
      <c r="L1060" t="s">
        <v>116</v>
      </c>
      <c r="M1060" t="s">
        <v>76</v>
      </c>
      <c r="N1060" t="s">
        <v>107</v>
      </c>
      <c r="O1060" t="s">
        <v>3321</v>
      </c>
      <c r="P1060" s="5" t="s">
        <v>3318</v>
      </c>
      <c r="Q1060">
        <v>4.5</v>
      </c>
    </row>
    <row r="1061" spans="1:17" x14ac:dyDescent="0.3">
      <c r="A1061" s="4">
        <v>44640</v>
      </c>
      <c r="B1061" t="s">
        <v>4686</v>
      </c>
      <c r="C1061" t="s">
        <v>3384</v>
      </c>
      <c r="D1061" s="77">
        <v>0.56388888888888888</v>
      </c>
      <c r="E1061" t="s">
        <v>3314</v>
      </c>
      <c r="F1061">
        <v>49</v>
      </c>
      <c r="G1061" t="s">
        <v>3315</v>
      </c>
      <c r="H1061">
        <v>20000</v>
      </c>
      <c r="I1061" t="s">
        <v>3834</v>
      </c>
      <c r="J1061">
        <v>20000</v>
      </c>
      <c r="K1061">
        <v>90000</v>
      </c>
      <c r="L1061" t="s">
        <v>116</v>
      </c>
      <c r="M1061" t="s">
        <v>77</v>
      </c>
      <c r="N1061" t="s">
        <v>133</v>
      </c>
      <c r="O1061" t="s">
        <v>3376</v>
      </c>
      <c r="P1061" s="5" t="s">
        <v>3318</v>
      </c>
      <c r="Q1061">
        <v>4.5</v>
      </c>
    </row>
    <row r="1062" spans="1:17" x14ac:dyDescent="0.3">
      <c r="A1062" s="4">
        <v>44640</v>
      </c>
      <c r="B1062" t="s">
        <v>4687</v>
      </c>
      <c r="C1062" t="s">
        <v>3384</v>
      </c>
      <c r="D1062" s="77">
        <v>0.57638888888888895</v>
      </c>
      <c r="E1062" t="s">
        <v>3314</v>
      </c>
      <c r="F1062">
        <v>67</v>
      </c>
      <c r="G1062" t="s">
        <v>3336</v>
      </c>
      <c r="H1062">
        <v>20000</v>
      </c>
      <c r="I1062" t="s">
        <v>3336</v>
      </c>
      <c r="J1062">
        <v>20000</v>
      </c>
      <c r="K1062">
        <v>80000</v>
      </c>
      <c r="L1062" t="s">
        <v>118</v>
      </c>
      <c r="M1062" t="s">
        <v>94</v>
      </c>
      <c r="N1062" t="s">
        <v>138</v>
      </c>
      <c r="O1062" t="s">
        <v>3775</v>
      </c>
      <c r="P1062" s="5" t="s">
        <v>3318</v>
      </c>
      <c r="Q1062">
        <v>4</v>
      </c>
    </row>
    <row r="1063" spans="1:17" x14ac:dyDescent="0.3">
      <c r="A1063" s="4">
        <v>44640</v>
      </c>
      <c r="B1063" t="s">
        <v>4688</v>
      </c>
      <c r="C1063" t="s">
        <v>3391</v>
      </c>
      <c r="D1063" s="77">
        <v>0.6020833333333333</v>
      </c>
      <c r="E1063" t="s">
        <v>3332</v>
      </c>
      <c r="F1063">
        <v>27</v>
      </c>
      <c r="G1063" t="s">
        <v>3315</v>
      </c>
      <c r="H1063">
        <v>30000</v>
      </c>
      <c r="I1063" t="s">
        <v>3834</v>
      </c>
      <c r="J1063">
        <v>30000</v>
      </c>
      <c r="K1063">
        <v>120000</v>
      </c>
      <c r="L1063" t="s">
        <v>118</v>
      </c>
      <c r="M1063" t="s">
        <v>147</v>
      </c>
      <c r="N1063" t="s">
        <v>148</v>
      </c>
      <c r="O1063" t="s">
        <v>3354</v>
      </c>
      <c r="P1063" s="5" t="s">
        <v>3318</v>
      </c>
      <c r="Q1063">
        <v>4</v>
      </c>
    </row>
    <row r="1064" spans="1:17" x14ac:dyDescent="0.3">
      <c r="A1064" s="4">
        <v>44640</v>
      </c>
      <c r="B1064" t="s">
        <v>4689</v>
      </c>
      <c r="C1064" t="s">
        <v>4690</v>
      </c>
      <c r="D1064" s="77">
        <v>0.6118055555555556</v>
      </c>
      <c r="E1064" t="s">
        <v>3332</v>
      </c>
      <c r="F1064">
        <v>62</v>
      </c>
      <c r="G1064" t="s">
        <v>3315</v>
      </c>
      <c r="H1064">
        <v>30000</v>
      </c>
      <c r="I1064" t="s">
        <v>3834</v>
      </c>
      <c r="J1064">
        <v>30000</v>
      </c>
      <c r="K1064">
        <v>150000</v>
      </c>
      <c r="L1064" t="s">
        <v>116</v>
      </c>
      <c r="M1064" t="s">
        <v>111</v>
      </c>
      <c r="N1064" t="s">
        <v>112</v>
      </c>
      <c r="O1064" t="s">
        <v>3345</v>
      </c>
      <c r="P1064" s="5" t="s">
        <v>3318</v>
      </c>
      <c r="Q1064">
        <v>5</v>
      </c>
    </row>
    <row r="1065" spans="1:17" x14ac:dyDescent="0.3">
      <c r="A1065" s="4">
        <v>44640</v>
      </c>
      <c r="B1065" t="s">
        <v>4691</v>
      </c>
      <c r="C1065" t="s">
        <v>4690</v>
      </c>
      <c r="D1065" s="77">
        <v>0.64583333333333337</v>
      </c>
      <c r="E1065" t="s">
        <v>3332</v>
      </c>
      <c r="F1065">
        <v>26</v>
      </c>
      <c r="G1065" t="s">
        <v>3315</v>
      </c>
      <c r="H1065">
        <v>30000</v>
      </c>
      <c r="I1065" t="s">
        <v>3834</v>
      </c>
      <c r="J1065">
        <v>30000</v>
      </c>
      <c r="K1065">
        <v>150000</v>
      </c>
      <c r="L1065" t="s">
        <v>116</v>
      </c>
      <c r="M1065" t="s">
        <v>111</v>
      </c>
      <c r="N1065" t="s">
        <v>112</v>
      </c>
      <c r="O1065" t="s">
        <v>3345</v>
      </c>
      <c r="P1065" s="5" t="s">
        <v>3318</v>
      </c>
      <c r="Q1065">
        <v>5</v>
      </c>
    </row>
    <row r="1066" spans="1:17" x14ac:dyDescent="0.3">
      <c r="A1066" s="4">
        <v>44640</v>
      </c>
      <c r="B1066" t="s">
        <v>4692</v>
      </c>
      <c r="C1066" t="s">
        <v>4693</v>
      </c>
      <c r="D1066" s="77">
        <v>0.66666666666666663</v>
      </c>
      <c r="E1066" t="s">
        <v>3314</v>
      </c>
      <c r="F1066">
        <v>53</v>
      </c>
      <c r="G1066" t="s">
        <v>3315</v>
      </c>
      <c r="H1066">
        <v>30000</v>
      </c>
      <c r="I1066" t="s">
        <v>3834</v>
      </c>
      <c r="J1066">
        <v>30000</v>
      </c>
      <c r="K1066">
        <v>120000</v>
      </c>
      <c r="L1066" t="s">
        <v>118</v>
      </c>
      <c r="M1066" t="s">
        <v>28</v>
      </c>
      <c r="N1066" t="s">
        <v>132</v>
      </c>
      <c r="O1066" t="s">
        <v>3449</v>
      </c>
      <c r="P1066" s="5" t="s">
        <v>3318</v>
      </c>
      <c r="Q1066">
        <v>4</v>
      </c>
    </row>
    <row r="1067" spans="1:17" x14ac:dyDescent="0.3">
      <c r="A1067" s="4">
        <v>44640</v>
      </c>
      <c r="B1067" t="s">
        <v>4694</v>
      </c>
      <c r="C1067" t="s">
        <v>4483</v>
      </c>
      <c r="D1067" s="77">
        <v>0.66875000000000007</v>
      </c>
      <c r="E1067" t="s">
        <v>3314</v>
      </c>
      <c r="F1067">
        <v>44</v>
      </c>
      <c r="G1067" t="s">
        <v>3336</v>
      </c>
      <c r="H1067">
        <v>20000</v>
      </c>
      <c r="I1067" t="s">
        <v>3336</v>
      </c>
      <c r="J1067">
        <v>20000</v>
      </c>
      <c r="K1067">
        <v>90000</v>
      </c>
      <c r="L1067" t="s">
        <v>114</v>
      </c>
      <c r="M1067" t="s">
        <v>30</v>
      </c>
      <c r="N1067" t="s">
        <v>106</v>
      </c>
      <c r="O1067" t="s">
        <v>3379</v>
      </c>
      <c r="P1067" s="5" t="s">
        <v>3318</v>
      </c>
      <c r="Q1067">
        <v>4.5</v>
      </c>
    </row>
    <row r="1068" spans="1:17" x14ac:dyDescent="0.3">
      <c r="A1068" s="4">
        <v>44640</v>
      </c>
      <c r="B1068" t="s">
        <v>4695</v>
      </c>
      <c r="C1068" t="s">
        <v>3480</v>
      </c>
      <c r="D1068" s="77">
        <v>0.6875</v>
      </c>
      <c r="E1068" t="s">
        <v>3314</v>
      </c>
      <c r="F1068">
        <v>29</v>
      </c>
      <c r="G1068" t="s">
        <v>3315</v>
      </c>
      <c r="H1068">
        <v>20000</v>
      </c>
      <c r="I1068" t="s">
        <v>3834</v>
      </c>
      <c r="J1068">
        <v>20000</v>
      </c>
      <c r="K1068">
        <v>60000</v>
      </c>
      <c r="L1068" t="s">
        <v>149</v>
      </c>
      <c r="M1068" t="s">
        <v>3020</v>
      </c>
      <c r="N1068" t="s">
        <v>2852</v>
      </c>
      <c r="O1068" t="s">
        <v>3661</v>
      </c>
      <c r="P1068" s="5" t="s">
        <v>3318</v>
      </c>
      <c r="Q1068">
        <v>3</v>
      </c>
    </row>
    <row r="1069" spans="1:17" x14ac:dyDescent="0.3">
      <c r="A1069" s="4">
        <v>44640</v>
      </c>
      <c r="B1069" t="s">
        <v>4696</v>
      </c>
      <c r="C1069" t="s">
        <v>3384</v>
      </c>
      <c r="D1069" s="77">
        <v>0.69305555555555554</v>
      </c>
      <c r="E1069" t="s">
        <v>3314</v>
      </c>
      <c r="F1069">
        <v>39</v>
      </c>
      <c r="G1069" t="s">
        <v>3315</v>
      </c>
      <c r="H1069">
        <v>30000</v>
      </c>
      <c r="I1069" t="s">
        <v>3834</v>
      </c>
      <c r="J1069">
        <v>30000</v>
      </c>
      <c r="K1069">
        <v>135000</v>
      </c>
      <c r="L1069" t="s">
        <v>116</v>
      </c>
      <c r="M1069" t="s">
        <v>77</v>
      </c>
      <c r="N1069" t="s">
        <v>133</v>
      </c>
      <c r="O1069" t="s">
        <v>3376</v>
      </c>
      <c r="P1069" s="5" t="s">
        <v>3318</v>
      </c>
      <c r="Q1069">
        <v>4.5</v>
      </c>
    </row>
    <row r="1070" spans="1:17" x14ac:dyDescent="0.3">
      <c r="A1070" s="4">
        <v>44640</v>
      </c>
      <c r="B1070" t="s">
        <v>4697</v>
      </c>
      <c r="C1070" t="s">
        <v>3480</v>
      </c>
      <c r="D1070" s="77">
        <v>0.7055555555555556</v>
      </c>
      <c r="E1070" t="s">
        <v>3314</v>
      </c>
      <c r="F1070">
        <v>37</v>
      </c>
      <c r="G1070" t="s">
        <v>3315</v>
      </c>
      <c r="H1070">
        <v>20000</v>
      </c>
      <c r="I1070" t="s">
        <v>3834</v>
      </c>
      <c r="J1070">
        <v>20000</v>
      </c>
      <c r="K1070">
        <v>60000</v>
      </c>
      <c r="L1070" t="s">
        <v>149</v>
      </c>
      <c r="M1070" t="s">
        <v>3020</v>
      </c>
      <c r="N1070" t="s">
        <v>2852</v>
      </c>
      <c r="O1070" t="s">
        <v>3661</v>
      </c>
      <c r="P1070" s="5" t="s">
        <v>3318</v>
      </c>
      <c r="Q1070">
        <v>3</v>
      </c>
    </row>
    <row r="1071" spans="1:17" x14ac:dyDescent="0.3">
      <c r="A1071" s="4">
        <v>44640</v>
      </c>
      <c r="B1071" t="s">
        <v>4698</v>
      </c>
      <c r="C1071" t="s">
        <v>4693</v>
      </c>
      <c r="D1071" s="77">
        <v>0.70833333333333337</v>
      </c>
      <c r="E1071" t="s">
        <v>3314</v>
      </c>
      <c r="F1071">
        <v>56</v>
      </c>
      <c r="G1071" t="s">
        <v>3315</v>
      </c>
      <c r="H1071">
        <v>20000</v>
      </c>
      <c r="I1071" t="s">
        <v>3834</v>
      </c>
      <c r="J1071">
        <v>20000</v>
      </c>
      <c r="K1071">
        <v>80000</v>
      </c>
      <c r="L1071" t="s">
        <v>118</v>
      </c>
      <c r="M1071" t="s">
        <v>28</v>
      </c>
      <c r="N1071" t="s">
        <v>132</v>
      </c>
      <c r="O1071" t="s">
        <v>3449</v>
      </c>
      <c r="P1071" s="5" t="s">
        <v>3318</v>
      </c>
      <c r="Q1071">
        <v>4</v>
      </c>
    </row>
    <row r="1072" spans="1:17" x14ac:dyDescent="0.3">
      <c r="A1072" s="4">
        <v>44640</v>
      </c>
      <c r="B1072" t="s">
        <v>4699</v>
      </c>
      <c r="C1072" t="s">
        <v>4483</v>
      </c>
      <c r="D1072" s="77">
        <v>0.73611111111111116</v>
      </c>
      <c r="E1072" t="s">
        <v>3314</v>
      </c>
      <c r="F1072">
        <v>48</v>
      </c>
      <c r="G1072" t="s">
        <v>3315</v>
      </c>
      <c r="H1072">
        <v>20000</v>
      </c>
      <c r="I1072" t="s">
        <v>3834</v>
      </c>
      <c r="J1072">
        <v>20000</v>
      </c>
      <c r="K1072">
        <v>80000</v>
      </c>
      <c r="L1072" t="s">
        <v>118</v>
      </c>
      <c r="M1072" t="s">
        <v>85</v>
      </c>
      <c r="N1072" t="s">
        <v>109</v>
      </c>
      <c r="O1072" t="s">
        <v>3342</v>
      </c>
      <c r="P1072" s="5" t="s">
        <v>3318</v>
      </c>
      <c r="Q1072">
        <v>4</v>
      </c>
    </row>
    <row r="1073" spans="1:17" x14ac:dyDescent="0.3">
      <c r="A1073" s="4">
        <v>44640</v>
      </c>
      <c r="B1073" t="s">
        <v>4700</v>
      </c>
      <c r="C1073" t="s">
        <v>4380</v>
      </c>
      <c r="D1073" s="77">
        <v>0.75</v>
      </c>
      <c r="E1073" t="s">
        <v>3314</v>
      </c>
      <c r="F1073">
        <v>34</v>
      </c>
      <c r="G1073" t="s">
        <v>3315</v>
      </c>
      <c r="H1073">
        <v>30000</v>
      </c>
      <c r="I1073" t="s">
        <v>3834</v>
      </c>
      <c r="J1073">
        <v>30000</v>
      </c>
      <c r="K1073">
        <v>135000</v>
      </c>
      <c r="L1073" t="s">
        <v>113</v>
      </c>
      <c r="M1073" t="s">
        <v>22</v>
      </c>
      <c r="N1073" t="s">
        <v>98</v>
      </c>
      <c r="O1073" t="s">
        <v>3437</v>
      </c>
      <c r="P1073" s="5" t="s">
        <v>3318</v>
      </c>
      <c r="Q1073">
        <v>4.5</v>
      </c>
    </row>
    <row r="1074" spans="1:17" x14ac:dyDescent="0.3">
      <c r="A1074" s="4">
        <v>44641</v>
      </c>
      <c r="B1074" t="s">
        <v>4701</v>
      </c>
      <c r="C1074" t="s">
        <v>4409</v>
      </c>
      <c r="D1074" s="77">
        <v>0.41250000000000003</v>
      </c>
      <c r="E1074" t="s">
        <v>3314</v>
      </c>
      <c r="F1074">
        <v>34</v>
      </c>
      <c r="G1074" t="s">
        <v>3315</v>
      </c>
      <c r="H1074">
        <v>20000</v>
      </c>
      <c r="I1074" t="s">
        <v>3834</v>
      </c>
      <c r="J1074">
        <v>20000</v>
      </c>
      <c r="K1074">
        <v>90000</v>
      </c>
      <c r="L1074" t="s">
        <v>114</v>
      </c>
      <c r="M1074" t="s">
        <v>79</v>
      </c>
      <c r="N1074" t="s">
        <v>131</v>
      </c>
      <c r="O1074" t="s">
        <v>3465</v>
      </c>
      <c r="P1074" s="5" t="s">
        <v>3318</v>
      </c>
      <c r="Q1074">
        <v>4.5</v>
      </c>
    </row>
    <row r="1075" spans="1:17" x14ac:dyDescent="0.3">
      <c r="A1075" s="4">
        <v>44641</v>
      </c>
      <c r="B1075" t="s">
        <v>4702</v>
      </c>
      <c r="C1075" t="s">
        <v>4409</v>
      </c>
      <c r="D1075" s="77">
        <v>0.42708333333333331</v>
      </c>
      <c r="E1075" t="s">
        <v>3314</v>
      </c>
      <c r="F1075">
        <v>29</v>
      </c>
      <c r="G1075" t="s">
        <v>3315</v>
      </c>
      <c r="H1075">
        <v>20000</v>
      </c>
      <c r="I1075" t="s">
        <v>3834</v>
      </c>
      <c r="J1075">
        <v>20000</v>
      </c>
      <c r="K1075">
        <v>90000</v>
      </c>
      <c r="L1075" t="s">
        <v>114</v>
      </c>
      <c r="M1075" t="s">
        <v>79</v>
      </c>
      <c r="N1075" t="s">
        <v>131</v>
      </c>
      <c r="O1075" t="s">
        <v>3465</v>
      </c>
      <c r="P1075" s="5" t="s">
        <v>3318</v>
      </c>
      <c r="Q1075">
        <v>4.5</v>
      </c>
    </row>
    <row r="1076" spans="1:17" x14ac:dyDescent="0.3">
      <c r="A1076" s="4">
        <v>44641</v>
      </c>
      <c r="B1076" t="s">
        <v>4703</v>
      </c>
      <c r="C1076" t="s">
        <v>4409</v>
      </c>
      <c r="D1076" s="77">
        <v>0.43263888888888885</v>
      </c>
      <c r="E1076" t="s">
        <v>3314</v>
      </c>
      <c r="F1076">
        <v>44</v>
      </c>
      <c r="G1076" t="s">
        <v>3315</v>
      </c>
      <c r="H1076">
        <v>20000</v>
      </c>
      <c r="I1076" t="s">
        <v>3834</v>
      </c>
      <c r="J1076">
        <v>20000</v>
      </c>
      <c r="K1076">
        <v>90000</v>
      </c>
      <c r="L1076" t="s">
        <v>114</v>
      </c>
      <c r="M1076" t="s">
        <v>79</v>
      </c>
      <c r="N1076" t="s">
        <v>131</v>
      </c>
      <c r="O1076" t="s">
        <v>3465</v>
      </c>
      <c r="P1076" s="5" t="s">
        <v>3318</v>
      </c>
      <c r="Q1076">
        <v>4.5</v>
      </c>
    </row>
    <row r="1077" spans="1:17" x14ac:dyDescent="0.3">
      <c r="A1077" s="4">
        <v>44641</v>
      </c>
      <c r="B1077" t="s">
        <v>4704</v>
      </c>
      <c r="C1077" t="s">
        <v>4409</v>
      </c>
      <c r="D1077" s="77">
        <v>0.45069444444444445</v>
      </c>
      <c r="E1077" t="s">
        <v>3314</v>
      </c>
      <c r="F1077">
        <v>36</v>
      </c>
      <c r="G1077" t="s">
        <v>3315</v>
      </c>
      <c r="H1077">
        <v>20000</v>
      </c>
      <c r="I1077" t="s">
        <v>3834</v>
      </c>
      <c r="J1077">
        <v>20000</v>
      </c>
      <c r="K1077">
        <v>90000</v>
      </c>
      <c r="L1077" t="s">
        <v>114</v>
      </c>
      <c r="M1077" t="s">
        <v>79</v>
      </c>
      <c r="N1077" t="s">
        <v>131</v>
      </c>
      <c r="O1077" t="s">
        <v>3465</v>
      </c>
      <c r="P1077" s="5" t="s">
        <v>3318</v>
      </c>
      <c r="Q1077">
        <v>4.5</v>
      </c>
    </row>
    <row r="1078" spans="1:17" x14ac:dyDescent="0.3">
      <c r="A1078" s="4">
        <v>44641</v>
      </c>
      <c r="B1078" t="s">
        <v>4705</v>
      </c>
      <c r="C1078" t="s">
        <v>3617</v>
      </c>
      <c r="D1078" s="77">
        <v>0.4513888888888889</v>
      </c>
      <c r="E1078" t="s">
        <v>3314</v>
      </c>
      <c r="F1078">
        <v>65</v>
      </c>
      <c r="G1078" t="s">
        <v>3315</v>
      </c>
      <c r="H1078">
        <v>20000</v>
      </c>
      <c r="I1078" t="s">
        <v>3834</v>
      </c>
      <c r="J1078">
        <v>20000</v>
      </c>
      <c r="K1078">
        <v>80000</v>
      </c>
      <c r="L1078" t="s">
        <v>118</v>
      </c>
      <c r="M1078" t="s">
        <v>85</v>
      </c>
      <c r="N1078" t="s">
        <v>109</v>
      </c>
      <c r="O1078" t="s">
        <v>3342</v>
      </c>
      <c r="P1078" s="5" t="s">
        <v>3318</v>
      </c>
      <c r="Q1078">
        <v>4</v>
      </c>
    </row>
    <row r="1079" spans="1:17" x14ac:dyDescent="0.3">
      <c r="A1079" s="4">
        <v>44641</v>
      </c>
      <c r="B1079" t="s">
        <v>4706</v>
      </c>
      <c r="C1079" t="s">
        <v>3617</v>
      </c>
      <c r="D1079" s="77">
        <v>0.4548611111111111</v>
      </c>
      <c r="E1079" t="s">
        <v>3314</v>
      </c>
      <c r="F1079">
        <v>83</v>
      </c>
      <c r="G1079" t="s">
        <v>3315</v>
      </c>
      <c r="H1079">
        <v>20000</v>
      </c>
      <c r="I1079" t="s">
        <v>3834</v>
      </c>
      <c r="J1079">
        <v>20000</v>
      </c>
      <c r="K1079">
        <v>60000</v>
      </c>
      <c r="L1079" t="s">
        <v>149</v>
      </c>
      <c r="M1079" t="s">
        <v>141</v>
      </c>
      <c r="N1079" t="s">
        <v>142</v>
      </c>
      <c r="O1079" t="s">
        <v>4707</v>
      </c>
      <c r="P1079" s="5" t="s">
        <v>3318</v>
      </c>
      <c r="Q1079">
        <v>3</v>
      </c>
    </row>
    <row r="1080" spans="1:17" x14ac:dyDescent="0.3">
      <c r="A1080" s="4">
        <v>44641</v>
      </c>
      <c r="B1080" t="s">
        <v>4708</v>
      </c>
      <c r="C1080" t="s">
        <v>4409</v>
      </c>
      <c r="D1080" s="77">
        <v>0.46666666666666662</v>
      </c>
      <c r="E1080" t="s">
        <v>3314</v>
      </c>
      <c r="F1080">
        <v>57</v>
      </c>
      <c r="G1080" t="s">
        <v>3315</v>
      </c>
      <c r="H1080">
        <v>50000</v>
      </c>
      <c r="I1080" t="s">
        <v>3834</v>
      </c>
      <c r="J1080">
        <v>50000</v>
      </c>
      <c r="K1080">
        <v>225000</v>
      </c>
      <c r="L1080" t="s">
        <v>114</v>
      </c>
      <c r="M1080" t="s">
        <v>79</v>
      </c>
      <c r="N1080" t="s">
        <v>131</v>
      </c>
      <c r="O1080" t="s">
        <v>3465</v>
      </c>
      <c r="P1080" s="5" t="s">
        <v>3318</v>
      </c>
      <c r="Q1080">
        <v>4.5</v>
      </c>
    </row>
    <row r="1081" spans="1:17" x14ac:dyDescent="0.3">
      <c r="A1081" s="4">
        <v>44641</v>
      </c>
      <c r="B1081" t="s">
        <v>4709</v>
      </c>
      <c r="C1081" t="s">
        <v>4409</v>
      </c>
      <c r="D1081" s="77">
        <v>0.47500000000000003</v>
      </c>
      <c r="E1081" t="s">
        <v>3314</v>
      </c>
      <c r="F1081">
        <v>38</v>
      </c>
      <c r="G1081" t="s">
        <v>3315</v>
      </c>
      <c r="H1081">
        <v>20000</v>
      </c>
      <c r="I1081" t="s">
        <v>3834</v>
      </c>
      <c r="J1081">
        <v>20000</v>
      </c>
      <c r="K1081">
        <v>90000</v>
      </c>
      <c r="L1081" t="s">
        <v>114</v>
      </c>
      <c r="M1081" t="s">
        <v>79</v>
      </c>
      <c r="N1081" t="s">
        <v>131</v>
      </c>
      <c r="O1081" t="s">
        <v>3465</v>
      </c>
      <c r="P1081" s="5" t="s">
        <v>3318</v>
      </c>
      <c r="Q1081">
        <v>4.5</v>
      </c>
    </row>
    <row r="1082" spans="1:17" x14ac:dyDescent="0.3">
      <c r="A1082" s="4">
        <v>44641</v>
      </c>
      <c r="B1082" t="s">
        <v>4710</v>
      </c>
      <c r="C1082" t="s">
        <v>3617</v>
      </c>
      <c r="D1082" s="77">
        <v>0.53125</v>
      </c>
      <c r="E1082" t="s">
        <v>3314</v>
      </c>
      <c r="F1082">
        <v>35</v>
      </c>
      <c r="G1082" t="s">
        <v>3315</v>
      </c>
      <c r="H1082">
        <v>20000</v>
      </c>
      <c r="I1082" t="s">
        <v>3834</v>
      </c>
      <c r="J1082">
        <v>20000</v>
      </c>
      <c r="K1082">
        <v>80000</v>
      </c>
      <c r="L1082" t="s">
        <v>118</v>
      </c>
      <c r="M1082" t="s">
        <v>85</v>
      </c>
      <c r="N1082" t="s">
        <v>109</v>
      </c>
      <c r="O1082" t="s">
        <v>3342</v>
      </c>
      <c r="P1082" s="5" t="s">
        <v>3318</v>
      </c>
      <c r="Q1082">
        <v>4</v>
      </c>
    </row>
    <row r="1083" spans="1:17" x14ac:dyDescent="0.3">
      <c r="A1083" s="4">
        <v>44641</v>
      </c>
      <c r="B1083" t="s">
        <v>4711</v>
      </c>
      <c r="C1083" t="s">
        <v>4712</v>
      </c>
      <c r="D1083" s="77">
        <v>0.54513888888888895</v>
      </c>
      <c r="E1083" t="s">
        <v>3314</v>
      </c>
      <c r="F1083">
        <v>64</v>
      </c>
      <c r="G1083" t="s">
        <v>3315</v>
      </c>
      <c r="H1083">
        <v>30000</v>
      </c>
      <c r="I1083" t="s">
        <v>3834</v>
      </c>
      <c r="J1083">
        <v>30000</v>
      </c>
      <c r="K1083">
        <v>120000</v>
      </c>
      <c r="L1083" t="s">
        <v>118</v>
      </c>
      <c r="M1083" t="s">
        <v>90</v>
      </c>
      <c r="N1083" t="s">
        <v>110</v>
      </c>
      <c r="O1083" t="s">
        <v>3455</v>
      </c>
      <c r="P1083" s="5" t="s">
        <v>3318</v>
      </c>
      <c r="Q1083">
        <v>4</v>
      </c>
    </row>
    <row r="1084" spans="1:17" x14ac:dyDescent="0.3">
      <c r="A1084" s="4">
        <v>44641</v>
      </c>
      <c r="B1084" t="s">
        <v>4713</v>
      </c>
      <c r="C1084" t="s">
        <v>4714</v>
      </c>
      <c r="D1084" s="77">
        <v>0.55902777777777779</v>
      </c>
      <c r="E1084" t="s">
        <v>3314</v>
      </c>
      <c r="F1084">
        <v>48</v>
      </c>
      <c r="G1084" t="s">
        <v>3315</v>
      </c>
      <c r="H1084">
        <v>20000</v>
      </c>
      <c r="I1084" t="s">
        <v>3834</v>
      </c>
      <c r="J1084">
        <v>20000</v>
      </c>
      <c r="K1084">
        <v>80000</v>
      </c>
      <c r="L1084" t="s">
        <v>118</v>
      </c>
      <c r="M1084" t="s">
        <v>92</v>
      </c>
      <c r="N1084" t="s">
        <v>137</v>
      </c>
      <c r="O1084" t="s">
        <v>3476</v>
      </c>
      <c r="P1084" s="5" t="s">
        <v>3318</v>
      </c>
      <c r="Q1084">
        <v>4</v>
      </c>
    </row>
    <row r="1085" spans="1:17" x14ac:dyDescent="0.3">
      <c r="A1085" s="4">
        <v>44641</v>
      </c>
      <c r="B1085" t="s">
        <v>4715</v>
      </c>
      <c r="C1085" t="s">
        <v>4714</v>
      </c>
      <c r="D1085" s="77">
        <v>0.5756944444444444</v>
      </c>
      <c r="E1085" t="s">
        <v>3314</v>
      </c>
      <c r="F1085">
        <v>41</v>
      </c>
      <c r="G1085" t="s">
        <v>3315</v>
      </c>
      <c r="H1085">
        <v>20000</v>
      </c>
      <c r="I1085" t="s">
        <v>3834</v>
      </c>
      <c r="J1085">
        <v>20000</v>
      </c>
      <c r="K1085">
        <v>80000</v>
      </c>
      <c r="L1085" t="s">
        <v>118</v>
      </c>
      <c r="M1085" t="s">
        <v>92</v>
      </c>
      <c r="N1085" t="s">
        <v>137</v>
      </c>
      <c r="O1085" t="s">
        <v>3476</v>
      </c>
      <c r="P1085" s="5" t="s">
        <v>3318</v>
      </c>
      <c r="Q1085">
        <v>4</v>
      </c>
    </row>
    <row r="1086" spans="1:17" x14ac:dyDescent="0.3">
      <c r="A1086" s="4">
        <v>44641</v>
      </c>
      <c r="B1086" t="s">
        <v>4716</v>
      </c>
      <c r="C1086" t="s">
        <v>4717</v>
      </c>
      <c r="D1086" s="77">
        <v>0.57986111111111105</v>
      </c>
      <c r="E1086" t="s">
        <v>3314</v>
      </c>
      <c r="F1086">
        <v>67</v>
      </c>
      <c r="G1086" t="s">
        <v>3315</v>
      </c>
      <c r="H1086">
        <v>30000</v>
      </c>
      <c r="I1086" t="s">
        <v>3834</v>
      </c>
      <c r="J1086">
        <v>30000</v>
      </c>
      <c r="K1086">
        <v>120000</v>
      </c>
      <c r="L1086" t="s">
        <v>118</v>
      </c>
      <c r="M1086" t="s">
        <v>88</v>
      </c>
      <c r="N1086" t="s">
        <v>117</v>
      </c>
      <c r="O1086" t="s">
        <v>4475</v>
      </c>
      <c r="P1086" s="5" t="s">
        <v>3318</v>
      </c>
      <c r="Q1086">
        <v>4</v>
      </c>
    </row>
    <row r="1087" spans="1:17" x14ac:dyDescent="0.3">
      <c r="A1087" s="4">
        <v>44641</v>
      </c>
      <c r="B1087" t="s">
        <v>4718</v>
      </c>
      <c r="C1087" t="s">
        <v>4015</v>
      </c>
      <c r="D1087" s="77">
        <v>0.59027777777777779</v>
      </c>
      <c r="E1087" t="s">
        <v>3314</v>
      </c>
      <c r="F1087">
        <v>55</v>
      </c>
      <c r="G1087" t="s">
        <v>3315</v>
      </c>
      <c r="H1087">
        <v>30000</v>
      </c>
      <c r="I1087" t="s">
        <v>3834</v>
      </c>
      <c r="J1087">
        <v>30000</v>
      </c>
      <c r="K1087">
        <v>135000</v>
      </c>
      <c r="L1087" t="s">
        <v>116</v>
      </c>
      <c r="M1087" t="s">
        <v>65</v>
      </c>
      <c r="N1087" t="s">
        <v>102</v>
      </c>
      <c r="O1087" t="s">
        <v>3506</v>
      </c>
      <c r="P1087" s="5" t="s">
        <v>3318</v>
      </c>
      <c r="Q1087">
        <v>4.5</v>
      </c>
    </row>
    <row r="1088" spans="1:17" x14ac:dyDescent="0.3">
      <c r="A1088" s="4">
        <v>44641</v>
      </c>
      <c r="B1088" t="s">
        <v>4719</v>
      </c>
      <c r="C1088" t="s">
        <v>4409</v>
      </c>
      <c r="D1088" s="77">
        <v>0.59375</v>
      </c>
      <c r="E1088" t="s">
        <v>3314</v>
      </c>
      <c r="F1088">
        <v>43</v>
      </c>
      <c r="G1088" t="s">
        <v>3315</v>
      </c>
      <c r="H1088">
        <v>20000</v>
      </c>
      <c r="I1088" t="s">
        <v>3834</v>
      </c>
      <c r="J1088">
        <v>20000</v>
      </c>
      <c r="K1088">
        <v>90000</v>
      </c>
      <c r="L1088" t="s">
        <v>114</v>
      </c>
      <c r="M1088" t="s">
        <v>79</v>
      </c>
      <c r="N1088" t="s">
        <v>131</v>
      </c>
      <c r="O1088" t="s">
        <v>3465</v>
      </c>
      <c r="P1088" s="5" t="s">
        <v>3318</v>
      </c>
      <c r="Q1088">
        <v>4.5</v>
      </c>
    </row>
    <row r="1089" spans="1:17" x14ac:dyDescent="0.3">
      <c r="A1089" s="4">
        <v>44641</v>
      </c>
      <c r="B1089" t="s">
        <v>4720</v>
      </c>
      <c r="C1089" t="s">
        <v>4015</v>
      </c>
      <c r="D1089" s="77">
        <v>0.59722222222222221</v>
      </c>
      <c r="E1089" t="s">
        <v>3314</v>
      </c>
      <c r="F1089">
        <v>61</v>
      </c>
      <c r="G1089" t="s">
        <v>3315</v>
      </c>
      <c r="H1089">
        <v>20000</v>
      </c>
      <c r="I1089" t="s">
        <v>3834</v>
      </c>
      <c r="J1089">
        <v>20000</v>
      </c>
      <c r="K1089">
        <v>80000</v>
      </c>
      <c r="L1089" t="s">
        <v>118</v>
      </c>
      <c r="M1089" t="s">
        <v>86</v>
      </c>
      <c r="N1089" t="s">
        <v>120</v>
      </c>
      <c r="O1089" t="s">
        <v>3446</v>
      </c>
      <c r="P1089" s="5" t="s">
        <v>3318</v>
      </c>
      <c r="Q1089">
        <v>4</v>
      </c>
    </row>
    <row r="1090" spans="1:17" x14ac:dyDescent="0.3">
      <c r="A1090" s="4">
        <v>44641</v>
      </c>
      <c r="B1090" t="s">
        <v>4721</v>
      </c>
      <c r="C1090" t="s">
        <v>4165</v>
      </c>
      <c r="D1090" s="77">
        <v>0.60416666666666663</v>
      </c>
      <c r="E1090" t="s">
        <v>3332</v>
      </c>
      <c r="F1090">
        <v>72</v>
      </c>
      <c r="G1090" t="s">
        <v>3315</v>
      </c>
      <c r="H1090">
        <v>20000</v>
      </c>
      <c r="I1090" t="s">
        <v>3316</v>
      </c>
      <c r="J1090">
        <v>20000</v>
      </c>
      <c r="K1090">
        <v>100000</v>
      </c>
      <c r="L1090" t="s">
        <v>114</v>
      </c>
      <c r="M1090" t="s">
        <v>23</v>
      </c>
      <c r="N1090" t="s">
        <v>99</v>
      </c>
      <c r="O1090" t="s">
        <v>3358</v>
      </c>
      <c r="P1090" s="5" t="s">
        <v>3318</v>
      </c>
      <c r="Q1090">
        <v>5</v>
      </c>
    </row>
    <row r="1091" spans="1:17" x14ac:dyDescent="0.3">
      <c r="A1091" s="4">
        <v>44641</v>
      </c>
      <c r="B1091" t="s">
        <v>4722</v>
      </c>
      <c r="C1091" t="s">
        <v>4409</v>
      </c>
      <c r="D1091" s="77">
        <v>0.61319444444444449</v>
      </c>
      <c r="E1091" t="s">
        <v>3314</v>
      </c>
      <c r="F1091">
        <v>31</v>
      </c>
      <c r="G1091" t="s">
        <v>3315</v>
      </c>
      <c r="H1091">
        <v>20000</v>
      </c>
      <c r="I1091" t="s">
        <v>3834</v>
      </c>
      <c r="J1091">
        <v>20000</v>
      </c>
      <c r="K1091">
        <v>90000</v>
      </c>
      <c r="L1091" t="s">
        <v>114</v>
      </c>
      <c r="M1091" t="s">
        <v>79</v>
      </c>
      <c r="N1091" t="s">
        <v>131</v>
      </c>
      <c r="O1091" t="s">
        <v>3465</v>
      </c>
      <c r="P1091" s="5" t="s">
        <v>3318</v>
      </c>
      <c r="Q1091">
        <v>4.5</v>
      </c>
    </row>
    <row r="1092" spans="1:17" x14ac:dyDescent="0.3">
      <c r="A1092" s="4">
        <v>44641</v>
      </c>
      <c r="B1092" t="s">
        <v>4723</v>
      </c>
      <c r="C1092" t="s">
        <v>4724</v>
      </c>
      <c r="D1092" s="77">
        <v>0.63124999999999998</v>
      </c>
      <c r="E1092" t="s">
        <v>3332</v>
      </c>
      <c r="F1092">
        <v>48</v>
      </c>
      <c r="G1092" t="s">
        <v>3315</v>
      </c>
      <c r="H1092">
        <v>30000</v>
      </c>
      <c r="I1092" t="s">
        <v>3348</v>
      </c>
      <c r="J1092">
        <v>30000</v>
      </c>
      <c r="K1092">
        <v>120000</v>
      </c>
      <c r="L1092" t="s">
        <v>118</v>
      </c>
      <c r="M1092" t="s">
        <v>147</v>
      </c>
      <c r="N1092" t="s">
        <v>148</v>
      </c>
      <c r="O1092" t="s">
        <v>3354</v>
      </c>
      <c r="P1092" s="5" t="s">
        <v>3318</v>
      </c>
      <c r="Q1092">
        <v>4</v>
      </c>
    </row>
    <row r="1093" spans="1:17" x14ac:dyDescent="0.3">
      <c r="A1093" s="4">
        <v>44641</v>
      </c>
      <c r="B1093" t="s">
        <v>4725</v>
      </c>
      <c r="C1093" t="s">
        <v>4409</v>
      </c>
      <c r="D1093" s="77">
        <v>0.63472222222222219</v>
      </c>
      <c r="E1093" t="s">
        <v>3314</v>
      </c>
      <c r="F1093">
        <v>42</v>
      </c>
      <c r="G1093" t="s">
        <v>3315</v>
      </c>
      <c r="H1093">
        <v>20000</v>
      </c>
      <c r="I1093" t="s">
        <v>3834</v>
      </c>
      <c r="J1093">
        <v>20000</v>
      </c>
      <c r="K1093">
        <v>90000</v>
      </c>
      <c r="L1093" t="s">
        <v>114</v>
      </c>
      <c r="M1093" t="s">
        <v>79</v>
      </c>
      <c r="N1093" t="s">
        <v>131</v>
      </c>
      <c r="O1093" t="s">
        <v>3465</v>
      </c>
      <c r="P1093" s="5" t="s">
        <v>3318</v>
      </c>
      <c r="Q1093">
        <v>4.5</v>
      </c>
    </row>
    <row r="1094" spans="1:17" x14ac:dyDescent="0.3">
      <c r="A1094" s="4">
        <v>44641</v>
      </c>
      <c r="B1094" t="s">
        <v>4726</v>
      </c>
      <c r="C1094" t="s">
        <v>4438</v>
      </c>
      <c r="D1094" s="77">
        <v>0.63541666666666663</v>
      </c>
      <c r="E1094" t="s">
        <v>3314</v>
      </c>
      <c r="F1094">
        <v>73</v>
      </c>
      <c r="G1094" t="s">
        <v>3315</v>
      </c>
      <c r="H1094">
        <v>20000</v>
      </c>
      <c r="I1094" t="s">
        <v>3834</v>
      </c>
      <c r="J1094">
        <v>20000</v>
      </c>
      <c r="K1094">
        <v>90000</v>
      </c>
      <c r="L1094" t="s">
        <v>116</v>
      </c>
      <c r="M1094" t="s">
        <v>76</v>
      </c>
      <c r="N1094" t="s">
        <v>107</v>
      </c>
      <c r="O1094" t="s">
        <v>3321</v>
      </c>
      <c r="P1094" s="5" t="s">
        <v>3318</v>
      </c>
      <c r="Q1094">
        <v>4.5</v>
      </c>
    </row>
    <row r="1095" spans="1:17" x14ac:dyDescent="0.3">
      <c r="A1095" s="4">
        <v>44641</v>
      </c>
      <c r="B1095" t="s">
        <v>4727</v>
      </c>
      <c r="C1095" t="s">
        <v>4714</v>
      </c>
      <c r="D1095" s="77">
        <v>0.6381944444444444</v>
      </c>
      <c r="E1095" t="s">
        <v>3314</v>
      </c>
      <c r="F1095">
        <v>62</v>
      </c>
      <c r="G1095" t="s">
        <v>3315</v>
      </c>
      <c r="H1095">
        <v>20000</v>
      </c>
      <c r="I1095" t="s">
        <v>3834</v>
      </c>
      <c r="J1095">
        <v>20000</v>
      </c>
      <c r="K1095">
        <v>80000</v>
      </c>
      <c r="L1095" t="s">
        <v>118</v>
      </c>
      <c r="M1095" t="s">
        <v>92</v>
      </c>
      <c r="N1095" t="s">
        <v>137</v>
      </c>
      <c r="O1095" t="s">
        <v>3476</v>
      </c>
      <c r="P1095" s="5" t="s">
        <v>3318</v>
      </c>
      <c r="Q1095">
        <v>4</v>
      </c>
    </row>
    <row r="1096" spans="1:17" x14ac:dyDescent="0.3">
      <c r="A1096" s="4">
        <v>44641</v>
      </c>
      <c r="B1096" t="s">
        <v>4728</v>
      </c>
      <c r="C1096" t="s">
        <v>4712</v>
      </c>
      <c r="D1096" s="77">
        <v>0.63888888888888895</v>
      </c>
      <c r="E1096" t="s">
        <v>3314</v>
      </c>
      <c r="F1096">
        <v>49</v>
      </c>
      <c r="G1096" t="s">
        <v>3315</v>
      </c>
      <c r="H1096">
        <v>20000</v>
      </c>
      <c r="I1096" t="s">
        <v>3834</v>
      </c>
      <c r="J1096">
        <v>20000</v>
      </c>
      <c r="K1096">
        <v>80000</v>
      </c>
      <c r="L1096" t="s">
        <v>118</v>
      </c>
      <c r="M1096" t="s">
        <v>90</v>
      </c>
      <c r="N1096" t="s">
        <v>110</v>
      </c>
      <c r="O1096" t="s">
        <v>3455</v>
      </c>
      <c r="P1096" s="5" t="s">
        <v>3318</v>
      </c>
      <c r="Q1096">
        <v>4</v>
      </c>
    </row>
    <row r="1097" spans="1:17" x14ac:dyDescent="0.3">
      <c r="A1097" s="4">
        <v>44641</v>
      </c>
      <c r="B1097" t="s">
        <v>4729</v>
      </c>
      <c r="C1097" t="s">
        <v>4409</v>
      </c>
      <c r="D1097" s="77">
        <v>0.66180555555555554</v>
      </c>
      <c r="E1097" t="s">
        <v>3314</v>
      </c>
      <c r="F1097">
        <v>43</v>
      </c>
      <c r="G1097" t="s">
        <v>3315</v>
      </c>
      <c r="H1097">
        <v>20000</v>
      </c>
      <c r="I1097" t="s">
        <v>3834</v>
      </c>
      <c r="J1097">
        <v>20000</v>
      </c>
      <c r="K1097">
        <v>90000</v>
      </c>
      <c r="L1097" t="s">
        <v>114</v>
      </c>
      <c r="M1097" t="s">
        <v>79</v>
      </c>
      <c r="N1097" t="s">
        <v>131</v>
      </c>
      <c r="O1097" t="s">
        <v>3465</v>
      </c>
      <c r="P1097" s="5" t="s">
        <v>3318</v>
      </c>
      <c r="Q1097">
        <v>4.5</v>
      </c>
    </row>
    <row r="1098" spans="1:17" x14ac:dyDescent="0.3">
      <c r="A1098" s="4">
        <v>44641</v>
      </c>
      <c r="B1098" t="s">
        <v>4730</v>
      </c>
      <c r="C1098" t="s">
        <v>4731</v>
      </c>
      <c r="D1098" s="77">
        <v>0.66180555555555554</v>
      </c>
      <c r="E1098" t="s">
        <v>3332</v>
      </c>
      <c r="F1098">
        <v>67</v>
      </c>
      <c r="G1098" t="s">
        <v>3315</v>
      </c>
      <c r="H1098">
        <v>20000</v>
      </c>
      <c r="I1098" t="s">
        <v>3834</v>
      </c>
      <c r="J1098">
        <v>20000</v>
      </c>
      <c r="K1098">
        <v>100000</v>
      </c>
      <c r="L1098" t="s">
        <v>116</v>
      </c>
      <c r="M1098" t="s">
        <v>111</v>
      </c>
      <c r="N1098" t="s">
        <v>112</v>
      </c>
      <c r="O1098" t="s">
        <v>3345</v>
      </c>
      <c r="P1098" s="5" t="s">
        <v>3318</v>
      </c>
      <c r="Q1098">
        <v>5</v>
      </c>
    </row>
    <row r="1099" spans="1:17" x14ac:dyDescent="0.3">
      <c r="A1099" s="4">
        <v>44641</v>
      </c>
      <c r="B1099" t="s">
        <v>4732</v>
      </c>
      <c r="C1099" t="s">
        <v>3480</v>
      </c>
      <c r="D1099" s="77">
        <v>0.66666666666666663</v>
      </c>
      <c r="E1099" t="s">
        <v>3314</v>
      </c>
      <c r="F1099">
        <v>72</v>
      </c>
      <c r="G1099" t="s">
        <v>3889</v>
      </c>
      <c r="H1099">
        <v>20000</v>
      </c>
      <c r="I1099" t="s">
        <v>3889</v>
      </c>
      <c r="J1099">
        <v>20000</v>
      </c>
      <c r="K1099">
        <v>90000</v>
      </c>
      <c r="L1099" t="s">
        <v>119</v>
      </c>
      <c r="M1099" t="s">
        <v>29</v>
      </c>
      <c r="N1099" t="s">
        <v>104</v>
      </c>
      <c r="O1099" t="s">
        <v>3457</v>
      </c>
      <c r="P1099" s="5" t="s">
        <v>3318</v>
      </c>
      <c r="Q1099">
        <v>4.5</v>
      </c>
    </row>
    <row r="1100" spans="1:17" x14ac:dyDescent="0.3">
      <c r="A1100" s="4">
        <v>44641</v>
      </c>
      <c r="B1100" t="s">
        <v>4733</v>
      </c>
      <c r="C1100" t="s">
        <v>4638</v>
      </c>
      <c r="D1100" s="77">
        <v>0.67638888888888893</v>
      </c>
      <c r="E1100" t="s">
        <v>3314</v>
      </c>
      <c r="F1100">
        <v>57</v>
      </c>
      <c r="G1100" t="s">
        <v>3315</v>
      </c>
      <c r="H1100">
        <v>20000</v>
      </c>
      <c r="I1100" t="s">
        <v>3834</v>
      </c>
      <c r="J1100">
        <v>20000</v>
      </c>
      <c r="K1100">
        <v>90000</v>
      </c>
      <c r="L1100" t="s">
        <v>119</v>
      </c>
      <c r="M1100" t="s">
        <v>27</v>
      </c>
      <c r="N1100" t="s">
        <v>101</v>
      </c>
      <c r="O1100" t="s">
        <v>3803</v>
      </c>
      <c r="P1100" s="5" t="s">
        <v>3318</v>
      </c>
      <c r="Q1100">
        <v>4.5</v>
      </c>
    </row>
    <row r="1101" spans="1:17" x14ac:dyDescent="0.3">
      <c r="A1101" s="4">
        <v>44641</v>
      </c>
      <c r="B1101" t="s">
        <v>4734</v>
      </c>
      <c r="C1101" t="s">
        <v>4712</v>
      </c>
      <c r="D1101" s="77">
        <v>0.67708333333333337</v>
      </c>
      <c r="E1101" t="s">
        <v>3314</v>
      </c>
      <c r="F1101">
        <v>63</v>
      </c>
      <c r="G1101" t="s">
        <v>3315</v>
      </c>
      <c r="H1101">
        <v>20000</v>
      </c>
      <c r="I1101" t="s">
        <v>3834</v>
      </c>
      <c r="J1101">
        <v>20000</v>
      </c>
      <c r="K1101">
        <v>80000</v>
      </c>
      <c r="L1101" t="s">
        <v>118</v>
      </c>
      <c r="M1101" t="s">
        <v>90</v>
      </c>
      <c r="N1101" t="s">
        <v>110</v>
      </c>
      <c r="O1101" t="s">
        <v>3455</v>
      </c>
      <c r="P1101" s="5" t="s">
        <v>3318</v>
      </c>
      <c r="Q1101">
        <v>4</v>
      </c>
    </row>
    <row r="1102" spans="1:17" x14ac:dyDescent="0.3">
      <c r="A1102" s="4">
        <v>44641</v>
      </c>
      <c r="B1102" t="s">
        <v>4735</v>
      </c>
      <c r="C1102" t="s">
        <v>3480</v>
      </c>
      <c r="D1102" s="77">
        <v>0.68055555555555547</v>
      </c>
      <c r="E1102" t="s">
        <v>3314</v>
      </c>
      <c r="F1102">
        <v>50</v>
      </c>
      <c r="G1102" t="s">
        <v>3315</v>
      </c>
      <c r="H1102">
        <v>30000</v>
      </c>
      <c r="I1102" t="s">
        <v>3834</v>
      </c>
      <c r="J1102">
        <v>30000</v>
      </c>
      <c r="K1102">
        <v>135000</v>
      </c>
      <c r="L1102" t="s">
        <v>119</v>
      </c>
      <c r="M1102" t="s">
        <v>29</v>
      </c>
      <c r="N1102" t="s">
        <v>104</v>
      </c>
      <c r="O1102" t="s">
        <v>3457</v>
      </c>
      <c r="P1102" s="5" t="s">
        <v>3318</v>
      </c>
      <c r="Q1102">
        <v>4.5</v>
      </c>
    </row>
    <row r="1103" spans="1:17" x14ac:dyDescent="0.3">
      <c r="A1103" s="4">
        <v>44641</v>
      </c>
      <c r="B1103" t="s">
        <v>4736</v>
      </c>
      <c r="C1103" t="s">
        <v>4015</v>
      </c>
      <c r="D1103" s="77">
        <v>0.6875</v>
      </c>
      <c r="E1103" t="s">
        <v>3314</v>
      </c>
      <c r="F1103">
        <v>65</v>
      </c>
      <c r="G1103" t="s">
        <v>3315</v>
      </c>
      <c r="H1103">
        <v>30000</v>
      </c>
      <c r="I1103" t="s">
        <v>3834</v>
      </c>
      <c r="J1103">
        <v>30000</v>
      </c>
      <c r="K1103">
        <v>120000</v>
      </c>
      <c r="L1103" t="s">
        <v>118</v>
      </c>
      <c r="M1103" t="s">
        <v>86</v>
      </c>
      <c r="N1103" t="s">
        <v>120</v>
      </c>
      <c r="O1103" t="s">
        <v>3446</v>
      </c>
      <c r="P1103" s="5" t="s">
        <v>3318</v>
      </c>
      <c r="Q1103">
        <v>4</v>
      </c>
    </row>
    <row r="1104" spans="1:17" x14ac:dyDescent="0.3">
      <c r="A1104" s="4">
        <v>44641</v>
      </c>
      <c r="B1104" t="s">
        <v>4737</v>
      </c>
      <c r="C1104" t="s">
        <v>4531</v>
      </c>
      <c r="D1104" s="77">
        <v>0.69236111111111109</v>
      </c>
      <c r="E1104" t="s">
        <v>3314</v>
      </c>
      <c r="F1104">
        <v>52</v>
      </c>
      <c r="G1104" t="s">
        <v>3315</v>
      </c>
      <c r="H1104">
        <v>20000</v>
      </c>
      <c r="I1104" t="s">
        <v>3834</v>
      </c>
      <c r="J1104">
        <v>20000</v>
      </c>
      <c r="K1104">
        <v>80000</v>
      </c>
      <c r="L1104" t="s">
        <v>118</v>
      </c>
      <c r="M1104" t="s">
        <v>91</v>
      </c>
      <c r="N1104" t="s">
        <v>136</v>
      </c>
      <c r="O1104" t="s">
        <v>3422</v>
      </c>
      <c r="P1104" s="5" t="s">
        <v>3318</v>
      </c>
      <c r="Q1104">
        <v>4</v>
      </c>
    </row>
    <row r="1105" spans="1:17" x14ac:dyDescent="0.3">
      <c r="A1105" s="4">
        <v>44641</v>
      </c>
      <c r="B1105" t="s">
        <v>4738</v>
      </c>
      <c r="C1105" t="s">
        <v>3480</v>
      </c>
      <c r="D1105" s="77">
        <v>0.70138888888888884</v>
      </c>
      <c r="E1105" t="s">
        <v>3314</v>
      </c>
      <c r="F1105">
        <v>41</v>
      </c>
      <c r="G1105" t="s">
        <v>3315</v>
      </c>
      <c r="H1105">
        <v>20000</v>
      </c>
      <c r="I1105" t="s">
        <v>3834</v>
      </c>
      <c r="J1105">
        <v>20000</v>
      </c>
      <c r="K1105">
        <v>90000</v>
      </c>
      <c r="L1105" t="s">
        <v>119</v>
      </c>
      <c r="M1105" t="s">
        <v>29</v>
      </c>
      <c r="N1105" t="s">
        <v>104</v>
      </c>
      <c r="O1105" t="s">
        <v>3457</v>
      </c>
      <c r="P1105" s="5" t="s">
        <v>3318</v>
      </c>
      <c r="Q1105">
        <v>4.5</v>
      </c>
    </row>
    <row r="1106" spans="1:17" x14ac:dyDescent="0.3">
      <c r="A1106" s="4">
        <v>44641</v>
      </c>
      <c r="B1106" t="s">
        <v>4739</v>
      </c>
      <c r="C1106" t="s">
        <v>4015</v>
      </c>
      <c r="D1106" s="77">
        <v>0.70416666666666661</v>
      </c>
      <c r="E1106" t="s">
        <v>3314</v>
      </c>
      <c r="F1106">
        <v>39</v>
      </c>
      <c r="G1106" t="s">
        <v>3315</v>
      </c>
      <c r="H1106">
        <v>30000</v>
      </c>
      <c r="I1106" t="s">
        <v>3834</v>
      </c>
      <c r="J1106">
        <v>30000</v>
      </c>
      <c r="K1106">
        <v>135000</v>
      </c>
      <c r="L1106" t="s">
        <v>116</v>
      </c>
      <c r="M1106" t="s">
        <v>65</v>
      </c>
      <c r="N1106" t="s">
        <v>102</v>
      </c>
      <c r="O1106" t="s">
        <v>3506</v>
      </c>
      <c r="P1106" s="5" t="s">
        <v>3318</v>
      </c>
      <c r="Q1106">
        <v>4.5</v>
      </c>
    </row>
    <row r="1107" spans="1:17" x14ac:dyDescent="0.3">
      <c r="A1107" s="4">
        <v>44641</v>
      </c>
      <c r="B1107" t="s">
        <v>4740</v>
      </c>
      <c r="C1107" t="s">
        <v>4731</v>
      </c>
      <c r="D1107" s="77">
        <v>0.70833333333333337</v>
      </c>
      <c r="E1107" t="s">
        <v>3332</v>
      </c>
      <c r="F1107">
        <v>27</v>
      </c>
      <c r="G1107" t="s">
        <v>3315</v>
      </c>
      <c r="H1107">
        <v>30000</v>
      </c>
      <c r="I1107" t="s">
        <v>3316</v>
      </c>
      <c r="J1107">
        <v>30000</v>
      </c>
      <c r="K1107">
        <v>120000</v>
      </c>
      <c r="L1107" t="s">
        <v>118</v>
      </c>
      <c r="M1107" t="s">
        <v>145</v>
      </c>
      <c r="N1107" t="s">
        <v>146</v>
      </c>
      <c r="O1107" t="s">
        <v>3333</v>
      </c>
      <c r="P1107" s="5" t="s">
        <v>3318</v>
      </c>
      <c r="Q1107">
        <v>4</v>
      </c>
    </row>
    <row r="1108" spans="1:17" x14ac:dyDescent="0.3">
      <c r="A1108" s="4">
        <v>44641</v>
      </c>
      <c r="B1108" t="s">
        <v>4741</v>
      </c>
      <c r="C1108" t="s">
        <v>4712</v>
      </c>
      <c r="D1108" s="77">
        <v>0.70833333333333337</v>
      </c>
      <c r="E1108" t="s">
        <v>3314</v>
      </c>
      <c r="F1108">
        <v>53</v>
      </c>
      <c r="G1108" t="s">
        <v>3315</v>
      </c>
      <c r="H1108">
        <v>30000</v>
      </c>
      <c r="I1108" t="s">
        <v>3834</v>
      </c>
      <c r="J1108">
        <v>30000</v>
      </c>
      <c r="K1108">
        <v>120000</v>
      </c>
      <c r="L1108" t="s">
        <v>118</v>
      </c>
      <c r="M1108" t="s">
        <v>90</v>
      </c>
      <c r="N1108" t="s">
        <v>110</v>
      </c>
      <c r="O1108" t="s">
        <v>3455</v>
      </c>
      <c r="P1108" s="5" t="s">
        <v>3318</v>
      </c>
      <c r="Q1108">
        <v>4</v>
      </c>
    </row>
    <row r="1109" spans="1:17" x14ac:dyDescent="0.3">
      <c r="A1109" s="4">
        <v>44641</v>
      </c>
      <c r="B1109" t="s">
        <v>4742</v>
      </c>
      <c r="C1109" t="s">
        <v>4712</v>
      </c>
      <c r="D1109" s="77">
        <v>0.72569444444444453</v>
      </c>
      <c r="E1109" t="s">
        <v>3314</v>
      </c>
      <c r="F1109">
        <v>70</v>
      </c>
      <c r="G1109" t="s">
        <v>3315</v>
      </c>
      <c r="H1109">
        <v>20000</v>
      </c>
      <c r="I1109" t="s">
        <v>3834</v>
      </c>
      <c r="J1109">
        <v>20000</v>
      </c>
      <c r="K1109">
        <v>80000</v>
      </c>
      <c r="L1109" t="s">
        <v>118</v>
      </c>
      <c r="M1109" t="s">
        <v>90</v>
      </c>
      <c r="N1109" t="s">
        <v>110</v>
      </c>
      <c r="O1109" t="s">
        <v>3455</v>
      </c>
      <c r="P1109" s="5" t="s">
        <v>3318</v>
      </c>
      <c r="Q1109">
        <v>4</v>
      </c>
    </row>
    <row r="1110" spans="1:17" x14ac:dyDescent="0.3">
      <c r="A1110" s="4">
        <v>44641</v>
      </c>
      <c r="B1110" t="s">
        <v>4743</v>
      </c>
      <c r="C1110" t="s">
        <v>4165</v>
      </c>
      <c r="D1110" s="77">
        <v>0.72916666666666663</v>
      </c>
      <c r="E1110" t="s">
        <v>3332</v>
      </c>
      <c r="F1110">
        <v>71</v>
      </c>
      <c r="G1110" t="s">
        <v>3315</v>
      </c>
      <c r="H1110">
        <v>20000</v>
      </c>
      <c r="I1110" t="s">
        <v>3834</v>
      </c>
      <c r="J1110">
        <v>20000</v>
      </c>
      <c r="K1110">
        <v>100000</v>
      </c>
      <c r="L1110" t="s">
        <v>114</v>
      </c>
      <c r="M1110" t="s">
        <v>23</v>
      </c>
      <c r="N1110" t="s">
        <v>99</v>
      </c>
      <c r="O1110" t="s">
        <v>3358</v>
      </c>
      <c r="P1110" s="5" t="s">
        <v>3318</v>
      </c>
      <c r="Q1110">
        <v>5</v>
      </c>
    </row>
    <row r="1111" spans="1:17" x14ac:dyDescent="0.3">
      <c r="A1111" s="4">
        <v>44641</v>
      </c>
      <c r="B1111" t="s">
        <v>4744</v>
      </c>
      <c r="C1111" t="s">
        <v>3480</v>
      </c>
      <c r="D1111" s="77">
        <v>0.74305555555555547</v>
      </c>
      <c r="E1111" t="s">
        <v>3314</v>
      </c>
      <c r="F1111">
        <v>58</v>
      </c>
      <c r="G1111" t="s">
        <v>3315</v>
      </c>
      <c r="H1111">
        <v>20000</v>
      </c>
      <c r="I1111" t="s">
        <v>3834</v>
      </c>
      <c r="J1111">
        <v>20000</v>
      </c>
      <c r="K1111">
        <v>90000</v>
      </c>
      <c r="L1111" t="s">
        <v>119</v>
      </c>
      <c r="M1111" t="s">
        <v>29</v>
      </c>
      <c r="N1111" t="s">
        <v>104</v>
      </c>
      <c r="O1111" t="s">
        <v>3457</v>
      </c>
      <c r="P1111" s="5" t="s">
        <v>3318</v>
      </c>
      <c r="Q1111">
        <v>4.5</v>
      </c>
    </row>
    <row r="1112" spans="1:17" x14ac:dyDescent="0.3">
      <c r="A1112" s="4">
        <v>44641</v>
      </c>
      <c r="B1112" t="s">
        <v>4745</v>
      </c>
      <c r="C1112" t="s">
        <v>4638</v>
      </c>
      <c r="D1112" s="77">
        <v>0.75</v>
      </c>
      <c r="E1112" t="s">
        <v>3314</v>
      </c>
      <c r="F1112">
        <v>66</v>
      </c>
      <c r="G1112" t="s">
        <v>3889</v>
      </c>
      <c r="H1112">
        <v>20000</v>
      </c>
      <c r="I1112" t="s">
        <v>3889</v>
      </c>
      <c r="J1112">
        <v>20000</v>
      </c>
      <c r="K1112">
        <v>90000</v>
      </c>
      <c r="L1112" t="s">
        <v>119</v>
      </c>
      <c r="M1112" t="s">
        <v>27</v>
      </c>
      <c r="N1112" t="s">
        <v>101</v>
      </c>
      <c r="O1112" t="s">
        <v>3803</v>
      </c>
      <c r="P1112" s="5" t="s">
        <v>3318</v>
      </c>
      <c r="Q1112">
        <v>4.5</v>
      </c>
    </row>
    <row r="1113" spans="1:17" x14ac:dyDescent="0.3">
      <c r="A1113" s="4">
        <v>44641</v>
      </c>
      <c r="B1113" t="s">
        <v>4746</v>
      </c>
      <c r="C1113" t="s">
        <v>4714</v>
      </c>
      <c r="D1113" s="77">
        <v>0.76458333333333339</v>
      </c>
      <c r="E1113" t="s">
        <v>3314</v>
      </c>
      <c r="F1113">
        <v>69</v>
      </c>
      <c r="G1113" t="s">
        <v>3315</v>
      </c>
      <c r="H1113">
        <v>20000</v>
      </c>
      <c r="I1113" t="s">
        <v>3834</v>
      </c>
      <c r="J1113">
        <v>20000</v>
      </c>
      <c r="K1113">
        <v>80000</v>
      </c>
      <c r="L1113" t="s">
        <v>118</v>
      </c>
      <c r="M1113" t="s">
        <v>92</v>
      </c>
      <c r="N1113" t="s">
        <v>137</v>
      </c>
      <c r="O1113" t="s">
        <v>3476</v>
      </c>
      <c r="P1113" s="5" t="s">
        <v>3318</v>
      </c>
      <c r="Q1113">
        <v>4</v>
      </c>
    </row>
    <row r="1114" spans="1:17" x14ac:dyDescent="0.3">
      <c r="A1114" s="4">
        <v>44641</v>
      </c>
      <c r="B1114" t="s">
        <v>4747</v>
      </c>
      <c r="C1114" t="s">
        <v>4438</v>
      </c>
      <c r="D1114" s="77">
        <v>0.78263888888888899</v>
      </c>
      <c r="E1114" t="s">
        <v>3314</v>
      </c>
      <c r="F1114">
        <v>56</v>
      </c>
      <c r="G1114" t="s">
        <v>3315</v>
      </c>
      <c r="H1114">
        <v>20000</v>
      </c>
      <c r="I1114" t="s">
        <v>3834</v>
      </c>
      <c r="J1114">
        <v>20000</v>
      </c>
      <c r="K1114">
        <v>90000</v>
      </c>
      <c r="L1114" t="s">
        <v>114</v>
      </c>
      <c r="M1114" t="s">
        <v>31</v>
      </c>
      <c r="N1114" t="s">
        <v>105</v>
      </c>
      <c r="O1114" t="s">
        <v>3339</v>
      </c>
      <c r="P1114" s="5" t="s">
        <v>3318</v>
      </c>
      <c r="Q1114">
        <v>4.5</v>
      </c>
    </row>
    <row r="1115" spans="1:17" x14ac:dyDescent="0.3">
      <c r="A1115" s="4">
        <v>44641</v>
      </c>
      <c r="B1115" t="s">
        <v>4748</v>
      </c>
      <c r="C1115" t="s">
        <v>4712</v>
      </c>
      <c r="D1115" s="77">
        <v>0.78472222222222221</v>
      </c>
      <c r="E1115" t="s">
        <v>3314</v>
      </c>
      <c r="F1115">
        <v>43</v>
      </c>
      <c r="G1115" t="s">
        <v>3315</v>
      </c>
      <c r="H1115">
        <v>20000</v>
      </c>
      <c r="I1115" t="s">
        <v>3834</v>
      </c>
      <c r="J1115">
        <v>20000</v>
      </c>
      <c r="K1115">
        <v>80000</v>
      </c>
      <c r="L1115" t="s">
        <v>118</v>
      </c>
      <c r="M1115" t="s">
        <v>90</v>
      </c>
      <c r="N1115" t="s">
        <v>110</v>
      </c>
      <c r="O1115" t="s">
        <v>3455</v>
      </c>
      <c r="P1115" s="5" t="s">
        <v>3318</v>
      </c>
      <c r="Q1115">
        <v>4</v>
      </c>
    </row>
    <row r="1116" spans="1:17" x14ac:dyDescent="0.3">
      <c r="A1116" s="4">
        <v>44642</v>
      </c>
      <c r="B1116" t="s">
        <v>4749</v>
      </c>
      <c r="C1116" t="s">
        <v>4409</v>
      </c>
      <c r="D1116" s="77">
        <v>0.44791666666666669</v>
      </c>
      <c r="E1116" t="s">
        <v>3314</v>
      </c>
      <c r="F1116">
        <v>28</v>
      </c>
      <c r="G1116" t="s">
        <v>3315</v>
      </c>
      <c r="H1116">
        <v>20000</v>
      </c>
      <c r="I1116" t="s">
        <v>3834</v>
      </c>
      <c r="J1116">
        <v>20000</v>
      </c>
      <c r="K1116">
        <v>90000</v>
      </c>
      <c r="L1116" t="s">
        <v>114</v>
      </c>
      <c r="M1116" t="s">
        <v>79</v>
      </c>
      <c r="N1116" t="s">
        <v>131</v>
      </c>
      <c r="O1116" t="s">
        <v>3465</v>
      </c>
      <c r="P1116" s="5" t="s">
        <v>3318</v>
      </c>
      <c r="Q1116">
        <v>4.5</v>
      </c>
    </row>
    <row r="1117" spans="1:17" x14ac:dyDescent="0.3">
      <c r="A1117" s="4">
        <v>44642</v>
      </c>
      <c r="B1117" t="s">
        <v>4750</v>
      </c>
      <c r="C1117" t="s">
        <v>4409</v>
      </c>
      <c r="D1117" s="77">
        <v>0.46875</v>
      </c>
      <c r="E1117" t="s">
        <v>3314</v>
      </c>
      <c r="F1117">
        <v>49</v>
      </c>
      <c r="G1117" t="s">
        <v>3315</v>
      </c>
      <c r="H1117">
        <v>20000</v>
      </c>
      <c r="I1117" t="s">
        <v>3834</v>
      </c>
      <c r="J1117">
        <v>20000</v>
      </c>
      <c r="K1117">
        <v>90000</v>
      </c>
      <c r="L1117" t="s">
        <v>114</v>
      </c>
      <c r="M1117" t="s">
        <v>79</v>
      </c>
      <c r="N1117" t="s">
        <v>131</v>
      </c>
      <c r="O1117" t="s">
        <v>3465</v>
      </c>
      <c r="P1117" s="5" t="s">
        <v>3318</v>
      </c>
      <c r="Q1117">
        <v>4.5</v>
      </c>
    </row>
    <row r="1118" spans="1:17" x14ac:dyDescent="0.3">
      <c r="A1118" s="4">
        <v>44642</v>
      </c>
      <c r="B1118" t="s">
        <v>4751</v>
      </c>
      <c r="C1118" t="s">
        <v>4752</v>
      </c>
      <c r="D1118" s="77">
        <v>0.53402777777777777</v>
      </c>
      <c r="E1118" t="s">
        <v>3332</v>
      </c>
      <c r="F1118">
        <v>48</v>
      </c>
      <c r="G1118" t="s">
        <v>3315</v>
      </c>
      <c r="H1118">
        <v>20000</v>
      </c>
      <c r="I1118" t="s">
        <v>3316</v>
      </c>
      <c r="J1118">
        <v>20000</v>
      </c>
      <c r="K1118">
        <v>80000</v>
      </c>
      <c r="L1118" t="s">
        <v>118</v>
      </c>
      <c r="M1118" t="s">
        <v>145</v>
      </c>
      <c r="N1118" t="s">
        <v>146</v>
      </c>
      <c r="O1118" t="s">
        <v>3333</v>
      </c>
      <c r="P1118" s="5" t="s">
        <v>3318</v>
      </c>
      <c r="Q1118">
        <v>4</v>
      </c>
    </row>
    <row r="1119" spans="1:17" x14ac:dyDescent="0.3">
      <c r="A1119" s="4">
        <v>44642</v>
      </c>
      <c r="B1119" t="s">
        <v>4753</v>
      </c>
      <c r="C1119" t="s">
        <v>4752</v>
      </c>
      <c r="D1119" s="77">
        <v>0.54305555555555551</v>
      </c>
      <c r="E1119" t="s">
        <v>3332</v>
      </c>
      <c r="F1119">
        <v>54</v>
      </c>
      <c r="G1119" t="s">
        <v>3315</v>
      </c>
      <c r="H1119">
        <v>20000</v>
      </c>
      <c r="I1119" t="s">
        <v>3316</v>
      </c>
      <c r="J1119">
        <v>20000</v>
      </c>
      <c r="K1119">
        <v>80000</v>
      </c>
      <c r="L1119" t="s">
        <v>118</v>
      </c>
      <c r="M1119" t="s">
        <v>145</v>
      </c>
      <c r="N1119" t="s">
        <v>146</v>
      </c>
      <c r="O1119" t="s">
        <v>3333</v>
      </c>
      <c r="P1119" s="5" t="s">
        <v>3318</v>
      </c>
      <c r="Q1119">
        <v>4</v>
      </c>
    </row>
    <row r="1120" spans="1:17" x14ac:dyDescent="0.3">
      <c r="A1120" s="4">
        <v>44642</v>
      </c>
      <c r="B1120" t="s">
        <v>4754</v>
      </c>
      <c r="C1120" t="s">
        <v>4755</v>
      </c>
      <c r="D1120" s="77">
        <v>0.56736111111111109</v>
      </c>
      <c r="E1120" t="s">
        <v>3314</v>
      </c>
      <c r="F1120">
        <v>65</v>
      </c>
      <c r="G1120" t="s">
        <v>3315</v>
      </c>
      <c r="H1120">
        <v>20000</v>
      </c>
      <c r="I1120" t="s">
        <v>3834</v>
      </c>
      <c r="J1120">
        <v>20000</v>
      </c>
      <c r="K1120">
        <v>80000</v>
      </c>
      <c r="L1120" t="s">
        <v>118</v>
      </c>
      <c r="M1120" t="s">
        <v>92</v>
      </c>
      <c r="N1120" t="s">
        <v>137</v>
      </c>
      <c r="O1120" t="s">
        <v>3476</v>
      </c>
      <c r="P1120" s="5" t="s">
        <v>3318</v>
      </c>
      <c r="Q1120">
        <v>4</v>
      </c>
    </row>
    <row r="1121" spans="1:17" x14ac:dyDescent="0.3">
      <c r="A1121" s="4">
        <v>44642</v>
      </c>
      <c r="B1121" t="s">
        <v>4756</v>
      </c>
      <c r="C1121" t="s">
        <v>4757</v>
      </c>
      <c r="D1121" s="77">
        <v>0.57847222222222217</v>
      </c>
      <c r="E1121" t="s">
        <v>3314</v>
      </c>
      <c r="F1121">
        <v>46</v>
      </c>
      <c r="G1121" t="s">
        <v>3315</v>
      </c>
      <c r="H1121">
        <v>20000</v>
      </c>
      <c r="I1121" t="s">
        <v>3834</v>
      </c>
      <c r="J1121">
        <v>20000</v>
      </c>
      <c r="K1121">
        <v>80000</v>
      </c>
      <c r="L1121" t="s">
        <v>118</v>
      </c>
      <c r="M1121" t="s">
        <v>93</v>
      </c>
      <c r="N1121" t="s">
        <v>121</v>
      </c>
      <c r="O1121" t="s">
        <v>3781</v>
      </c>
      <c r="P1121" s="5" t="s">
        <v>3318</v>
      </c>
      <c r="Q1121">
        <v>4</v>
      </c>
    </row>
    <row r="1122" spans="1:17" x14ac:dyDescent="0.3">
      <c r="A1122" s="4">
        <v>44642</v>
      </c>
      <c r="B1122" t="s">
        <v>4758</v>
      </c>
      <c r="C1122" t="s">
        <v>3724</v>
      </c>
      <c r="D1122" s="77">
        <v>0.59027777777777779</v>
      </c>
      <c r="E1122" t="s">
        <v>3314</v>
      </c>
      <c r="F1122">
        <v>35</v>
      </c>
      <c r="G1122" t="s">
        <v>3315</v>
      </c>
      <c r="H1122">
        <v>20000</v>
      </c>
      <c r="I1122" t="s">
        <v>3834</v>
      </c>
      <c r="J1122">
        <v>20000</v>
      </c>
      <c r="K1122">
        <v>60000</v>
      </c>
      <c r="L1122" t="s">
        <v>149</v>
      </c>
      <c r="M1122" t="s">
        <v>141</v>
      </c>
      <c r="N1122" t="s">
        <v>142</v>
      </c>
      <c r="O1122" t="s">
        <v>4707</v>
      </c>
      <c r="P1122" s="5" t="s">
        <v>3318</v>
      </c>
      <c r="Q1122">
        <v>3</v>
      </c>
    </row>
    <row r="1123" spans="1:17" x14ac:dyDescent="0.3">
      <c r="A1123" s="4">
        <v>44642</v>
      </c>
      <c r="B1123" t="s">
        <v>4759</v>
      </c>
      <c r="C1123" t="s">
        <v>4755</v>
      </c>
      <c r="D1123" s="77">
        <v>0.60416666666666663</v>
      </c>
      <c r="E1123" t="s">
        <v>3314</v>
      </c>
      <c r="F1123">
        <v>73</v>
      </c>
      <c r="G1123" t="s">
        <v>3315</v>
      </c>
      <c r="H1123">
        <v>20000</v>
      </c>
      <c r="I1123" t="s">
        <v>3834</v>
      </c>
      <c r="J1123">
        <v>20000</v>
      </c>
      <c r="K1123">
        <v>80000</v>
      </c>
      <c r="L1123" t="s">
        <v>118</v>
      </c>
      <c r="M1123" t="s">
        <v>92</v>
      </c>
      <c r="N1123" t="s">
        <v>137</v>
      </c>
      <c r="O1123" t="s">
        <v>3476</v>
      </c>
      <c r="P1123" s="5" t="s">
        <v>3318</v>
      </c>
      <c r="Q1123">
        <v>4</v>
      </c>
    </row>
    <row r="1124" spans="1:17" x14ac:dyDescent="0.3">
      <c r="A1124" s="4">
        <v>44642</v>
      </c>
      <c r="B1124" t="s">
        <v>4760</v>
      </c>
      <c r="C1124" t="s">
        <v>4409</v>
      </c>
      <c r="D1124" s="77">
        <v>0.61319444444444449</v>
      </c>
      <c r="E1124" t="s">
        <v>3314</v>
      </c>
      <c r="F1124">
        <v>55</v>
      </c>
      <c r="G1124" t="s">
        <v>3315</v>
      </c>
      <c r="H1124">
        <v>20000</v>
      </c>
      <c r="I1124" t="s">
        <v>3834</v>
      </c>
      <c r="J1124">
        <v>20000</v>
      </c>
      <c r="K1124">
        <v>90000</v>
      </c>
      <c r="L1124" t="s">
        <v>114</v>
      </c>
      <c r="M1124" t="s">
        <v>79</v>
      </c>
      <c r="N1124" t="s">
        <v>131</v>
      </c>
      <c r="O1124" t="s">
        <v>3465</v>
      </c>
      <c r="P1124" s="5" t="s">
        <v>3318</v>
      </c>
      <c r="Q1124">
        <v>4.5</v>
      </c>
    </row>
    <row r="1125" spans="1:17" x14ac:dyDescent="0.3">
      <c r="A1125" s="4">
        <v>44642</v>
      </c>
      <c r="B1125" t="s">
        <v>4761</v>
      </c>
      <c r="C1125" t="s">
        <v>4757</v>
      </c>
      <c r="D1125" s="77">
        <v>0.61736111111111114</v>
      </c>
      <c r="E1125" t="s">
        <v>3314</v>
      </c>
      <c r="F1125">
        <v>43</v>
      </c>
      <c r="G1125" t="s">
        <v>3315</v>
      </c>
      <c r="H1125">
        <v>20000</v>
      </c>
      <c r="I1125" t="s">
        <v>3834</v>
      </c>
      <c r="J1125">
        <v>20000</v>
      </c>
      <c r="K1125">
        <v>90000</v>
      </c>
      <c r="L1125" t="s">
        <v>119</v>
      </c>
      <c r="M1125" t="s">
        <v>27</v>
      </c>
      <c r="N1125" t="s">
        <v>101</v>
      </c>
      <c r="O1125" t="s">
        <v>3803</v>
      </c>
      <c r="P1125" s="5" t="s">
        <v>3318</v>
      </c>
      <c r="Q1125">
        <v>4.5</v>
      </c>
    </row>
    <row r="1126" spans="1:17" x14ac:dyDescent="0.3">
      <c r="A1126" s="4">
        <v>44642</v>
      </c>
      <c r="B1126" t="s">
        <v>4762</v>
      </c>
      <c r="C1126" t="s">
        <v>3608</v>
      </c>
      <c r="D1126" s="77">
        <v>0.61805555555555558</v>
      </c>
      <c r="E1126" t="s">
        <v>3332</v>
      </c>
      <c r="F1126">
        <v>68</v>
      </c>
      <c r="G1126" t="s">
        <v>3315</v>
      </c>
      <c r="H1126">
        <v>70000</v>
      </c>
      <c r="I1126" t="s">
        <v>3834</v>
      </c>
      <c r="J1126">
        <v>70000</v>
      </c>
      <c r="K1126">
        <v>350000</v>
      </c>
      <c r="L1126" t="s">
        <v>114</v>
      </c>
      <c r="M1126" t="s">
        <v>23</v>
      </c>
      <c r="N1126" t="s">
        <v>99</v>
      </c>
      <c r="O1126" t="s">
        <v>3358</v>
      </c>
      <c r="P1126" s="5" t="s">
        <v>3318</v>
      </c>
      <c r="Q1126">
        <v>5</v>
      </c>
    </row>
    <row r="1127" spans="1:17" x14ac:dyDescent="0.3">
      <c r="A1127" s="4">
        <v>44642</v>
      </c>
      <c r="B1127" t="s">
        <v>4763</v>
      </c>
      <c r="C1127" t="s">
        <v>3724</v>
      </c>
      <c r="D1127" s="77">
        <v>0.625</v>
      </c>
      <c r="E1127" t="s">
        <v>3314</v>
      </c>
      <c r="F1127">
        <v>47</v>
      </c>
      <c r="G1127" t="s">
        <v>3315</v>
      </c>
      <c r="H1127">
        <v>20000</v>
      </c>
      <c r="I1127" t="s">
        <v>3834</v>
      </c>
      <c r="J1127">
        <v>20000</v>
      </c>
      <c r="K1127">
        <v>80000</v>
      </c>
      <c r="L1127" t="s">
        <v>118</v>
      </c>
      <c r="M1127" t="s">
        <v>85</v>
      </c>
      <c r="N1127" t="s">
        <v>109</v>
      </c>
      <c r="O1127" t="s">
        <v>3342</v>
      </c>
      <c r="P1127" s="5" t="s">
        <v>3318</v>
      </c>
      <c r="Q1127">
        <v>4</v>
      </c>
    </row>
    <row r="1128" spans="1:17" x14ac:dyDescent="0.3">
      <c r="A1128" s="4">
        <v>44642</v>
      </c>
      <c r="B1128" t="s">
        <v>4764</v>
      </c>
      <c r="C1128" t="s">
        <v>4757</v>
      </c>
      <c r="D1128" s="77">
        <v>0.63958333333333328</v>
      </c>
      <c r="E1128" t="s">
        <v>3314</v>
      </c>
      <c r="F1128">
        <v>49</v>
      </c>
      <c r="G1128" t="s">
        <v>3315</v>
      </c>
      <c r="H1128">
        <v>20000</v>
      </c>
      <c r="I1128" t="s">
        <v>3834</v>
      </c>
      <c r="J1128">
        <v>20000</v>
      </c>
      <c r="K1128">
        <v>90000</v>
      </c>
      <c r="L1128" t="s">
        <v>119</v>
      </c>
      <c r="M1128" t="s">
        <v>27</v>
      </c>
      <c r="N1128" t="s">
        <v>101</v>
      </c>
      <c r="O1128" t="s">
        <v>3803</v>
      </c>
      <c r="P1128" s="5" t="s">
        <v>3318</v>
      </c>
      <c r="Q1128">
        <v>4.5</v>
      </c>
    </row>
    <row r="1129" spans="1:17" x14ac:dyDescent="0.3">
      <c r="A1129" s="4">
        <v>44642</v>
      </c>
      <c r="B1129" t="s">
        <v>4765</v>
      </c>
      <c r="C1129" t="s">
        <v>4766</v>
      </c>
      <c r="D1129" s="77">
        <v>0.64583333333333337</v>
      </c>
      <c r="E1129" t="s">
        <v>3314</v>
      </c>
      <c r="F1129">
        <v>59</v>
      </c>
      <c r="G1129" t="s">
        <v>3315</v>
      </c>
      <c r="H1129">
        <v>20000</v>
      </c>
      <c r="I1129" t="s">
        <v>3834</v>
      </c>
      <c r="J1129">
        <v>20000</v>
      </c>
      <c r="K1129">
        <v>80000</v>
      </c>
      <c r="L1129" t="s">
        <v>118</v>
      </c>
      <c r="M1129" t="s">
        <v>90</v>
      </c>
      <c r="N1129" t="s">
        <v>110</v>
      </c>
      <c r="O1129" t="s">
        <v>3455</v>
      </c>
      <c r="P1129" s="5" t="s">
        <v>3318</v>
      </c>
      <c r="Q1129">
        <v>4</v>
      </c>
    </row>
    <row r="1130" spans="1:17" x14ac:dyDescent="0.3">
      <c r="A1130" s="4">
        <v>44642</v>
      </c>
      <c r="B1130" t="s">
        <v>4767</v>
      </c>
      <c r="C1130" t="s">
        <v>3724</v>
      </c>
      <c r="D1130" s="77">
        <v>0.66319444444444442</v>
      </c>
      <c r="E1130" t="s">
        <v>3314</v>
      </c>
      <c r="F1130">
        <v>57</v>
      </c>
      <c r="G1130" t="s">
        <v>3315</v>
      </c>
      <c r="H1130">
        <v>100000</v>
      </c>
      <c r="I1130" t="s">
        <v>3834</v>
      </c>
      <c r="J1130">
        <v>100000</v>
      </c>
      <c r="K1130">
        <v>300000</v>
      </c>
      <c r="L1130" t="s">
        <v>149</v>
      </c>
      <c r="M1130" t="s">
        <v>141</v>
      </c>
      <c r="N1130" t="s">
        <v>142</v>
      </c>
      <c r="O1130" t="s">
        <v>4707</v>
      </c>
      <c r="P1130" s="5" t="s">
        <v>3318</v>
      </c>
      <c r="Q1130">
        <v>3</v>
      </c>
    </row>
    <row r="1131" spans="1:17" x14ac:dyDescent="0.3">
      <c r="A1131" s="4">
        <v>44642</v>
      </c>
      <c r="B1131" t="s">
        <v>4768</v>
      </c>
      <c r="C1131" t="s">
        <v>4766</v>
      </c>
      <c r="D1131" s="77">
        <v>0.66319444444444442</v>
      </c>
      <c r="E1131" t="s">
        <v>3314</v>
      </c>
      <c r="F1131">
        <v>47</v>
      </c>
      <c r="G1131" t="s">
        <v>3315</v>
      </c>
      <c r="H1131">
        <v>20000</v>
      </c>
      <c r="I1131" t="s">
        <v>3834</v>
      </c>
      <c r="J1131">
        <v>20000</v>
      </c>
      <c r="K1131">
        <v>80000</v>
      </c>
      <c r="L1131" t="s">
        <v>118</v>
      </c>
      <c r="M1131" t="s">
        <v>90</v>
      </c>
      <c r="N1131" t="s">
        <v>110</v>
      </c>
      <c r="O1131" t="s">
        <v>3455</v>
      </c>
      <c r="P1131" s="5" t="s">
        <v>3318</v>
      </c>
      <c r="Q1131">
        <v>4</v>
      </c>
    </row>
    <row r="1132" spans="1:17" x14ac:dyDescent="0.3">
      <c r="A1132" s="4">
        <v>44642</v>
      </c>
      <c r="B1132" t="s">
        <v>4769</v>
      </c>
      <c r="C1132" t="s">
        <v>3608</v>
      </c>
      <c r="D1132" s="77">
        <v>0.66666666666666663</v>
      </c>
      <c r="E1132" t="s">
        <v>3332</v>
      </c>
      <c r="F1132">
        <v>64</v>
      </c>
      <c r="G1132" t="s">
        <v>3315</v>
      </c>
      <c r="H1132">
        <v>20000</v>
      </c>
      <c r="I1132" t="s">
        <v>3834</v>
      </c>
      <c r="J1132">
        <v>20000</v>
      </c>
      <c r="K1132">
        <v>100000</v>
      </c>
      <c r="L1132" t="s">
        <v>113</v>
      </c>
      <c r="M1132" t="s">
        <v>22</v>
      </c>
      <c r="N1132" t="s">
        <v>98</v>
      </c>
      <c r="O1132" t="s">
        <v>3437</v>
      </c>
      <c r="P1132" s="5" t="s">
        <v>3318</v>
      </c>
      <c r="Q1132">
        <v>5</v>
      </c>
    </row>
    <row r="1133" spans="1:17" x14ac:dyDescent="0.3">
      <c r="A1133" s="4">
        <v>44642</v>
      </c>
      <c r="B1133" t="s">
        <v>4770</v>
      </c>
      <c r="C1133" t="s">
        <v>3368</v>
      </c>
      <c r="D1133" s="77">
        <v>0.66666666666666663</v>
      </c>
      <c r="E1133" t="s">
        <v>3314</v>
      </c>
      <c r="F1133">
        <v>59</v>
      </c>
      <c r="G1133" t="s">
        <v>3889</v>
      </c>
      <c r="H1133">
        <v>30000</v>
      </c>
      <c r="I1133" t="s">
        <v>3889</v>
      </c>
      <c r="J1133">
        <v>30000</v>
      </c>
      <c r="K1133">
        <v>120000</v>
      </c>
      <c r="L1133" t="s">
        <v>118</v>
      </c>
      <c r="M1133" t="s">
        <v>94</v>
      </c>
      <c r="N1133" t="s">
        <v>138</v>
      </c>
      <c r="O1133" t="s">
        <v>3775</v>
      </c>
      <c r="P1133" s="5" t="s">
        <v>3318</v>
      </c>
      <c r="Q1133">
        <v>4</v>
      </c>
    </row>
    <row r="1134" spans="1:17" x14ac:dyDescent="0.3">
      <c r="A1134" s="4">
        <v>44642</v>
      </c>
      <c r="B1134" t="s">
        <v>4771</v>
      </c>
      <c r="C1134" t="s">
        <v>4766</v>
      </c>
      <c r="D1134" s="77">
        <v>0.67361111111111116</v>
      </c>
      <c r="E1134" t="s">
        <v>3314</v>
      </c>
      <c r="F1134">
        <v>58</v>
      </c>
      <c r="G1134" t="s">
        <v>3344</v>
      </c>
      <c r="H1134">
        <v>20000</v>
      </c>
      <c r="I1134" t="s">
        <v>3344</v>
      </c>
      <c r="J1134">
        <v>20000</v>
      </c>
      <c r="K1134">
        <v>80000</v>
      </c>
      <c r="L1134" t="s">
        <v>118</v>
      </c>
      <c r="M1134" t="s">
        <v>90</v>
      </c>
      <c r="N1134" t="s">
        <v>110</v>
      </c>
      <c r="O1134" t="s">
        <v>3455</v>
      </c>
      <c r="P1134" s="5" t="s">
        <v>3318</v>
      </c>
      <c r="Q1134">
        <v>4</v>
      </c>
    </row>
    <row r="1135" spans="1:17" x14ac:dyDescent="0.3">
      <c r="A1135" s="4">
        <v>44642</v>
      </c>
      <c r="B1135" t="s">
        <v>4772</v>
      </c>
      <c r="C1135" t="s">
        <v>3368</v>
      </c>
      <c r="D1135" s="77">
        <v>0.68263888888888891</v>
      </c>
      <c r="E1135" t="s">
        <v>3314</v>
      </c>
      <c r="F1135">
        <v>51</v>
      </c>
      <c r="G1135" t="s">
        <v>3315</v>
      </c>
      <c r="H1135">
        <v>20000</v>
      </c>
      <c r="I1135" t="s">
        <v>3834</v>
      </c>
      <c r="J1135">
        <v>20000</v>
      </c>
      <c r="K1135">
        <v>90000</v>
      </c>
      <c r="L1135" t="s">
        <v>116</v>
      </c>
      <c r="M1135" t="s">
        <v>84</v>
      </c>
      <c r="N1135" t="s">
        <v>108</v>
      </c>
      <c r="O1135" t="s">
        <v>3366</v>
      </c>
      <c r="P1135" s="5" t="s">
        <v>3318</v>
      </c>
      <c r="Q1135">
        <v>4.5</v>
      </c>
    </row>
    <row r="1136" spans="1:17" x14ac:dyDescent="0.3">
      <c r="A1136" s="4">
        <v>44642</v>
      </c>
      <c r="B1136" t="s">
        <v>4773</v>
      </c>
      <c r="C1136" t="s">
        <v>3493</v>
      </c>
      <c r="D1136" s="77">
        <v>0.69444444444444453</v>
      </c>
      <c r="E1136" t="s">
        <v>3314</v>
      </c>
      <c r="F1136">
        <v>48</v>
      </c>
      <c r="G1136" t="s">
        <v>3315</v>
      </c>
      <c r="H1136">
        <v>30000</v>
      </c>
      <c r="I1136" t="s">
        <v>3834</v>
      </c>
      <c r="J1136">
        <v>30000</v>
      </c>
      <c r="K1136">
        <v>30000</v>
      </c>
      <c r="L1136" t="s">
        <v>124</v>
      </c>
      <c r="M1136" t="s">
        <v>817</v>
      </c>
      <c r="N1136" t="s">
        <v>819</v>
      </c>
      <c r="O1136" t="s">
        <v>4434</v>
      </c>
      <c r="P1136" s="5" t="s">
        <v>3318</v>
      </c>
      <c r="Q1136">
        <v>1</v>
      </c>
    </row>
    <row r="1137" spans="1:17" x14ac:dyDescent="0.3">
      <c r="A1137" s="4">
        <v>44642</v>
      </c>
      <c r="B1137" t="s">
        <v>4774</v>
      </c>
      <c r="C1137" t="s">
        <v>4755</v>
      </c>
      <c r="D1137" s="77">
        <v>0.70624999999999993</v>
      </c>
      <c r="E1137" t="s">
        <v>3314</v>
      </c>
      <c r="F1137">
        <v>60</v>
      </c>
      <c r="G1137" t="s">
        <v>3315</v>
      </c>
      <c r="H1137">
        <v>30000</v>
      </c>
      <c r="I1137" t="s">
        <v>3834</v>
      </c>
      <c r="J1137">
        <v>30000</v>
      </c>
      <c r="K1137">
        <v>120000</v>
      </c>
      <c r="L1137" t="s">
        <v>118</v>
      </c>
      <c r="M1137" t="s">
        <v>92</v>
      </c>
      <c r="N1137" t="s">
        <v>137</v>
      </c>
      <c r="O1137" t="s">
        <v>3476</v>
      </c>
      <c r="P1137" s="5" t="s">
        <v>3318</v>
      </c>
      <c r="Q1137">
        <v>4</v>
      </c>
    </row>
    <row r="1138" spans="1:17" x14ac:dyDescent="0.3">
      <c r="A1138" s="4">
        <v>44642</v>
      </c>
      <c r="B1138" t="s">
        <v>4775</v>
      </c>
      <c r="C1138" t="s">
        <v>4776</v>
      </c>
      <c r="D1138" s="77">
        <v>0.72777777777777775</v>
      </c>
      <c r="E1138" t="s">
        <v>3314</v>
      </c>
      <c r="F1138">
        <v>47</v>
      </c>
      <c r="G1138" t="s">
        <v>3315</v>
      </c>
      <c r="H1138">
        <v>20000</v>
      </c>
      <c r="I1138" t="s">
        <v>3834</v>
      </c>
      <c r="J1138">
        <v>20000</v>
      </c>
      <c r="K1138">
        <v>90000</v>
      </c>
      <c r="L1138" t="s">
        <v>116</v>
      </c>
      <c r="M1138" t="s">
        <v>77</v>
      </c>
      <c r="N1138" t="s">
        <v>133</v>
      </c>
      <c r="O1138" t="s">
        <v>3376</v>
      </c>
      <c r="P1138" s="5" t="s">
        <v>3318</v>
      </c>
      <c r="Q1138">
        <v>4.5</v>
      </c>
    </row>
    <row r="1139" spans="1:17" x14ac:dyDescent="0.3">
      <c r="A1139" s="4">
        <v>44642</v>
      </c>
      <c r="B1139" t="s">
        <v>4777</v>
      </c>
      <c r="C1139" t="s">
        <v>3368</v>
      </c>
      <c r="D1139" s="77">
        <v>0.7284722222222223</v>
      </c>
      <c r="E1139" t="s">
        <v>3314</v>
      </c>
      <c r="F1139">
        <v>43</v>
      </c>
      <c r="G1139" t="s">
        <v>3315</v>
      </c>
      <c r="H1139">
        <v>20000</v>
      </c>
      <c r="I1139" t="s">
        <v>3834</v>
      </c>
      <c r="J1139">
        <v>20000</v>
      </c>
      <c r="K1139">
        <v>90000</v>
      </c>
      <c r="L1139" t="s">
        <v>116</v>
      </c>
      <c r="M1139" t="s">
        <v>84</v>
      </c>
      <c r="N1139" t="s">
        <v>108</v>
      </c>
      <c r="O1139" t="s">
        <v>3366</v>
      </c>
      <c r="P1139" s="5" t="s">
        <v>3318</v>
      </c>
      <c r="Q1139">
        <v>4.5</v>
      </c>
    </row>
    <row r="1140" spans="1:17" x14ac:dyDescent="0.3">
      <c r="A1140" s="4">
        <v>44642</v>
      </c>
      <c r="B1140" t="s">
        <v>4778</v>
      </c>
      <c r="C1140" t="s">
        <v>3493</v>
      </c>
      <c r="D1140" s="77">
        <v>0.7402777777777777</v>
      </c>
      <c r="E1140" t="s">
        <v>3314</v>
      </c>
      <c r="F1140">
        <v>40</v>
      </c>
      <c r="G1140" t="s">
        <v>3889</v>
      </c>
      <c r="H1140">
        <v>20000</v>
      </c>
      <c r="I1140" t="s">
        <v>3889</v>
      </c>
      <c r="J1140">
        <v>20000</v>
      </c>
      <c r="K1140">
        <v>90000</v>
      </c>
      <c r="L1140" t="s">
        <v>116</v>
      </c>
      <c r="M1140" t="s">
        <v>78</v>
      </c>
      <c r="N1140" t="s">
        <v>100</v>
      </c>
      <c r="O1140" t="s">
        <v>4472</v>
      </c>
      <c r="P1140" s="5" t="s">
        <v>3318</v>
      </c>
      <c r="Q1140">
        <v>4.5</v>
      </c>
    </row>
    <row r="1141" spans="1:17" x14ac:dyDescent="0.3">
      <c r="A1141" s="4">
        <v>44642</v>
      </c>
      <c r="B1141" t="s">
        <v>4779</v>
      </c>
      <c r="C1141" t="s">
        <v>4766</v>
      </c>
      <c r="D1141" s="77">
        <v>0.75</v>
      </c>
      <c r="E1141" t="s">
        <v>3314</v>
      </c>
      <c r="F1141">
        <v>83</v>
      </c>
      <c r="G1141" t="s">
        <v>3315</v>
      </c>
      <c r="H1141">
        <v>20000</v>
      </c>
      <c r="I1141" t="s">
        <v>3834</v>
      </c>
      <c r="J1141">
        <v>20000</v>
      </c>
      <c r="K1141">
        <v>80000</v>
      </c>
      <c r="L1141" t="s">
        <v>118</v>
      </c>
      <c r="M1141" t="s">
        <v>90</v>
      </c>
      <c r="N1141" t="s">
        <v>110</v>
      </c>
      <c r="O1141" t="s">
        <v>3455</v>
      </c>
      <c r="P1141" s="5" t="s">
        <v>3318</v>
      </c>
      <c r="Q1141">
        <v>4</v>
      </c>
    </row>
    <row r="1142" spans="1:17" x14ac:dyDescent="0.3">
      <c r="A1142" s="4">
        <v>44642</v>
      </c>
      <c r="B1142" t="s">
        <v>4780</v>
      </c>
      <c r="C1142" t="s">
        <v>3724</v>
      </c>
      <c r="D1142" s="77">
        <v>0.75694444444444453</v>
      </c>
      <c r="E1142" t="s">
        <v>3314</v>
      </c>
      <c r="F1142">
        <v>43</v>
      </c>
      <c r="G1142" t="s">
        <v>3344</v>
      </c>
      <c r="H1142">
        <v>30000</v>
      </c>
      <c r="I1142" t="s">
        <v>3344</v>
      </c>
      <c r="J1142">
        <v>30000</v>
      </c>
      <c r="K1142">
        <v>120000</v>
      </c>
      <c r="L1142" t="s">
        <v>118</v>
      </c>
      <c r="M1142" t="s">
        <v>85</v>
      </c>
      <c r="N1142" t="s">
        <v>109</v>
      </c>
      <c r="O1142" t="s">
        <v>3342</v>
      </c>
      <c r="P1142" s="5" t="s">
        <v>3318</v>
      </c>
      <c r="Q1142">
        <v>4</v>
      </c>
    </row>
    <row r="1143" spans="1:17" x14ac:dyDescent="0.3">
      <c r="A1143" s="4">
        <v>44642</v>
      </c>
      <c r="B1143" t="s">
        <v>4781</v>
      </c>
      <c r="C1143" t="s">
        <v>4782</v>
      </c>
      <c r="D1143" s="77">
        <v>0.75694444444444453</v>
      </c>
      <c r="E1143" t="s">
        <v>3314</v>
      </c>
      <c r="F1143">
        <v>63</v>
      </c>
      <c r="G1143" t="s">
        <v>3488</v>
      </c>
      <c r="H1143">
        <v>10000</v>
      </c>
      <c r="I1143" t="s">
        <v>3488</v>
      </c>
      <c r="J1143">
        <v>10000</v>
      </c>
      <c r="K1143">
        <v>45000</v>
      </c>
      <c r="L1143" t="s">
        <v>116</v>
      </c>
      <c r="M1143" t="s">
        <v>76</v>
      </c>
      <c r="N1143" t="s">
        <v>107</v>
      </c>
      <c r="O1143" t="s">
        <v>3321</v>
      </c>
      <c r="P1143" s="5" t="s">
        <v>3318</v>
      </c>
      <c r="Q1143">
        <v>4.5</v>
      </c>
    </row>
    <row r="1144" spans="1:17" x14ac:dyDescent="0.3">
      <c r="A1144" s="4">
        <v>44642</v>
      </c>
      <c r="B1144" t="s">
        <v>4783</v>
      </c>
      <c r="C1144" t="s">
        <v>4776</v>
      </c>
      <c r="D1144" s="77">
        <v>0.7583333333333333</v>
      </c>
      <c r="E1144" t="s">
        <v>3314</v>
      </c>
      <c r="F1144">
        <v>40</v>
      </c>
      <c r="G1144" t="s">
        <v>3315</v>
      </c>
      <c r="H1144">
        <v>20000</v>
      </c>
      <c r="I1144" t="s">
        <v>3834</v>
      </c>
      <c r="J1144">
        <v>20000</v>
      </c>
      <c r="K1144">
        <v>90000</v>
      </c>
      <c r="L1144" t="s">
        <v>116</v>
      </c>
      <c r="M1144" t="s">
        <v>77</v>
      </c>
      <c r="N1144" t="s">
        <v>133</v>
      </c>
      <c r="O1144" t="s">
        <v>3376</v>
      </c>
      <c r="P1144" s="5" t="s">
        <v>3318</v>
      </c>
      <c r="Q1144">
        <v>4.5</v>
      </c>
    </row>
    <row r="1145" spans="1:17" x14ac:dyDescent="0.3">
      <c r="A1145" s="4">
        <v>44642</v>
      </c>
      <c r="B1145" t="s">
        <v>4784</v>
      </c>
      <c r="C1145" t="s">
        <v>4757</v>
      </c>
      <c r="D1145" s="77">
        <v>0.76388888888888884</v>
      </c>
      <c r="E1145" t="s">
        <v>3314</v>
      </c>
      <c r="F1145">
        <v>35</v>
      </c>
      <c r="G1145" t="s">
        <v>3315</v>
      </c>
      <c r="H1145">
        <v>20000</v>
      </c>
      <c r="I1145" t="s">
        <v>3834</v>
      </c>
      <c r="J1145">
        <v>20000</v>
      </c>
      <c r="K1145">
        <v>90000</v>
      </c>
      <c r="L1145" t="s">
        <v>119</v>
      </c>
      <c r="M1145" t="s">
        <v>27</v>
      </c>
      <c r="N1145" t="s">
        <v>101</v>
      </c>
      <c r="O1145" t="s">
        <v>3803</v>
      </c>
      <c r="P1145" s="5" t="s">
        <v>3318</v>
      </c>
      <c r="Q1145">
        <v>4.5</v>
      </c>
    </row>
    <row r="1146" spans="1:17" x14ac:dyDescent="0.3">
      <c r="A1146" s="4">
        <v>44642</v>
      </c>
      <c r="B1146" t="s">
        <v>4785</v>
      </c>
      <c r="C1146" t="s">
        <v>3724</v>
      </c>
      <c r="D1146" s="77">
        <v>0.79513888888888884</v>
      </c>
      <c r="E1146" t="s">
        <v>3314</v>
      </c>
      <c r="F1146">
        <v>27</v>
      </c>
      <c r="G1146" t="s">
        <v>3315</v>
      </c>
      <c r="H1146">
        <v>20000</v>
      </c>
      <c r="I1146" t="s">
        <v>3834</v>
      </c>
      <c r="J1146">
        <v>20000</v>
      </c>
      <c r="K1146">
        <v>60000</v>
      </c>
      <c r="L1146" t="s">
        <v>149</v>
      </c>
      <c r="M1146" t="s">
        <v>141</v>
      </c>
      <c r="N1146" t="s">
        <v>142</v>
      </c>
      <c r="O1146" t="s">
        <v>4707</v>
      </c>
      <c r="P1146" s="5" t="s">
        <v>3318</v>
      </c>
      <c r="Q1146">
        <v>3</v>
      </c>
    </row>
    <row r="1147" spans="1:17" x14ac:dyDescent="0.3">
      <c r="A1147" s="4">
        <v>44642</v>
      </c>
      <c r="B1147" t="s">
        <v>4786</v>
      </c>
      <c r="C1147" t="s">
        <v>4782</v>
      </c>
      <c r="D1147" s="77">
        <v>0.81944444444444453</v>
      </c>
      <c r="E1147" t="s">
        <v>3314</v>
      </c>
      <c r="F1147">
        <v>47</v>
      </c>
      <c r="G1147" t="s">
        <v>3315</v>
      </c>
      <c r="H1147">
        <v>20000</v>
      </c>
      <c r="I1147" t="s">
        <v>3834</v>
      </c>
      <c r="J1147">
        <v>20000</v>
      </c>
      <c r="K1147">
        <v>80000</v>
      </c>
      <c r="L1147" t="s">
        <v>118</v>
      </c>
      <c r="M1147" t="s">
        <v>87</v>
      </c>
      <c r="N1147" t="s">
        <v>134</v>
      </c>
      <c r="O1147" t="s">
        <v>3528</v>
      </c>
      <c r="P1147" s="5" t="s">
        <v>3318</v>
      </c>
      <c r="Q1147">
        <v>4</v>
      </c>
    </row>
    <row r="1148" spans="1:17" x14ac:dyDescent="0.3">
      <c r="A1148" s="4">
        <v>44642</v>
      </c>
      <c r="B1148" t="s">
        <v>4787</v>
      </c>
      <c r="C1148" t="s">
        <v>4776</v>
      </c>
      <c r="D1148" s="77">
        <v>0.8208333333333333</v>
      </c>
      <c r="E1148" t="s">
        <v>3314</v>
      </c>
      <c r="F1148">
        <v>65</v>
      </c>
      <c r="G1148" t="s">
        <v>3315</v>
      </c>
      <c r="H1148">
        <v>30000</v>
      </c>
      <c r="I1148" t="s">
        <v>3834</v>
      </c>
      <c r="J1148">
        <v>30000</v>
      </c>
      <c r="K1148">
        <v>135000</v>
      </c>
      <c r="L1148" t="s">
        <v>116</v>
      </c>
      <c r="M1148" t="s">
        <v>77</v>
      </c>
      <c r="N1148" t="s">
        <v>133</v>
      </c>
      <c r="O1148" t="s">
        <v>3376</v>
      </c>
      <c r="P1148" s="5" t="s">
        <v>3318</v>
      </c>
      <c r="Q1148">
        <v>4.5</v>
      </c>
    </row>
    <row r="1149" spans="1:17" x14ac:dyDescent="0.3">
      <c r="A1149" s="4">
        <v>44642</v>
      </c>
      <c r="B1149" t="s">
        <v>4788</v>
      </c>
      <c r="C1149" t="s">
        <v>4782</v>
      </c>
      <c r="D1149" s="77">
        <v>0.82638888888888884</v>
      </c>
      <c r="E1149" t="s">
        <v>3314</v>
      </c>
      <c r="F1149">
        <v>58</v>
      </c>
      <c r="G1149" t="s">
        <v>3315</v>
      </c>
      <c r="H1149">
        <v>20000</v>
      </c>
      <c r="I1149" t="s">
        <v>3834</v>
      </c>
      <c r="J1149">
        <v>20000</v>
      </c>
      <c r="K1149">
        <v>80000</v>
      </c>
      <c r="L1149" t="s">
        <v>118</v>
      </c>
      <c r="M1149" t="s">
        <v>96</v>
      </c>
      <c r="N1149" t="s">
        <v>140</v>
      </c>
      <c r="O1149" t="s">
        <v>4105</v>
      </c>
      <c r="P1149" s="5" t="s">
        <v>3318</v>
      </c>
      <c r="Q1149">
        <v>4</v>
      </c>
    </row>
    <row r="1150" spans="1:17" x14ac:dyDescent="0.3">
      <c r="A1150" s="4">
        <v>44642</v>
      </c>
      <c r="B1150" t="s">
        <v>4789</v>
      </c>
      <c r="C1150" t="s">
        <v>3368</v>
      </c>
      <c r="D1150" s="77">
        <v>0.84513888888888899</v>
      </c>
      <c r="E1150" t="s">
        <v>3314</v>
      </c>
      <c r="F1150">
        <v>37</v>
      </c>
      <c r="G1150" t="s">
        <v>3315</v>
      </c>
      <c r="H1150">
        <v>20000</v>
      </c>
      <c r="I1150" t="s">
        <v>3834</v>
      </c>
      <c r="J1150">
        <v>20000</v>
      </c>
      <c r="K1150">
        <v>80000</v>
      </c>
      <c r="L1150" t="s">
        <v>118</v>
      </c>
      <c r="M1150" t="s">
        <v>94</v>
      </c>
      <c r="N1150" t="s">
        <v>138</v>
      </c>
      <c r="O1150" t="s">
        <v>3775</v>
      </c>
      <c r="P1150" s="5" t="s">
        <v>3318</v>
      </c>
      <c r="Q1150">
        <v>4</v>
      </c>
    </row>
    <row r="1151" spans="1:17" x14ac:dyDescent="0.3">
      <c r="A1151" s="4">
        <v>44642</v>
      </c>
      <c r="B1151" t="s">
        <v>4790</v>
      </c>
      <c r="C1151" t="s">
        <v>3368</v>
      </c>
      <c r="D1151" s="77">
        <v>0.86319444444444438</v>
      </c>
      <c r="E1151" t="s">
        <v>3314</v>
      </c>
      <c r="F1151">
        <v>47</v>
      </c>
      <c r="G1151" t="s">
        <v>3315</v>
      </c>
      <c r="H1151">
        <v>20000</v>
      </c>
      <c r="I1151" t="s">
        <v>3834</v>
      </c>
      <c r="J1151">
        <v>20000</v>
      </c>
      <c r="K1151">
        <v>80000</v>
      </c>
      <c r="L1151" t="s">
        <v>118</v>
      </c>
      <c r="M1151" t="s">
        <v>94</v>
      </c>
      <c r="N1151" t="s">
        <v>138</v>
      </c>
      <c r="O1151" t="s">
        <v>3775</v>
      </c>
      <c r="P1151" s="5" t="s">
        <v>3318</v>
      </c>
      <c r="Q1151">
        <v>4</v>
      </c>
    </row>
    <row r="1152" spans="1:17" x14ac:dyDescent="0.3">
      <c r="A1152" s="4">
        <v>44642</v>
      </c>
      <c r="B1152" t="s">
        <v>4791</v>
      </c>
      <c r="C1152" t="s">
        <v>3368</v>
      </c>
      <c r="D1152" s="77">
        <v>0.86319444444444438</v>
      </c>
      <c r="E1152" t="s">
        <v>3314</v>
      </c>
      <c r="F1152">
        <v>58</v>
      </c>
      <c r="G1152" t="s">
        <v>3315</v>
      </c>
      <c r="H1152">
        <v>20000</v>
      </c>
      <c r="I1152" t="s">
        <v>3834</v>
      </c>
      <c r="J1152">
        <v>20000</v>
      </c>
      <c r="K1152">
        <v>90000</v>
      </c>
      <c r="L1152" t="s">
        <v>116</v>
      </c>
      <c r="M1152" t="s">
        <v>84</v>
      </c>
      <c r="N1152" t="s">
        <v>108</v>
      </c>
      <c r="O1152" t="s">
        <v>3366</v>
      </c>
      <c r="P1152" s="5" t="s">
        <v>3318</v>
      </c>
      <c r="Q1152">
        <v>4.5</v>
      </c>
    </row>
    <row r="1153" spans="1:17" x14ac:dyDescent="0.3">
      <c r="A1153" s="4">
        <v>44643</v>
      </c>
      <c r="B1153" t="s">
        <v>4792</v>
      </c>
      <c r="C1153" t="s">
        <v>4793</v>
      </c>
      <c r="D1153" s="77">
        <v>0.46319444444444446</v>
      </c>
      <c r="E1153" t="s">
        <v>3314</v>
      </c>
      <c r="F1153">
        <v>76</v>
      </c>
      <c r="G1153" t="s">
        <v>3315</v>
      </c>
      <c r="H1153">
        <v>30000</v>
      </c>
      <c r="I1153" t="s">
        <v>3834</v>
      </c>
      <c r="J1153">
        <v>30000</v>
      </c>
      <c r="K1153">
        <v>135000</v>
      </c>
      <c r="L1153" t="s">
        <v>116</v>
      </c>
      <c r="M1153" t="s">
        <v>78</v>
      </c>
      <c r="N1153" t="s">
        <v>100</v>
      </c>
      <c r="O1153" t="s">
        <v>4472</v>
      </c>
      <c r="P1153" s="5" t="s">
        <v>3318</v>
      </c>
      <c r="Q1153">
        <v>4.5</v>
      </c>
    </row>
    <row r="1154" spans="1:17" x14ac:dyDescent="0.3">
      <c r="A1154" s="4">
        <v>44643</v>
      </c>
      <c r="B1154" t="s">
        <v>4794</v>
      </c>
      <c r="C1154" t="s">
        <v>4793</v>
      </c>
      <c r="D1154" s="77">
        <v>0.47361111111111115</v>
      </c>
      <c r="E1154" t="s">
        <v>3314</v>
      </c>
      <c r="F1154">
        <v>68</v>
      </c>
      <c r="G1154" t="s">
        <v>3315</v>
      </c>
      <c r="H1154">
        <v>20000</v>
      </c>
      <c r="I1154" t="s">
        <v>3834</v>
      </c>
      <c r="J1154">
        <v>20000</v>
      </c>
      <c r="K1154">
        <v>90000</v>
      </c>
      <c r="L1154" t="s">
        <v>116</v>
      </c>
      <c r="M1154" t="s">
        <v>78</v>
      </c>
      <c r="N1154" t="s">
        <v>100</v>
      </c>
      <c r="O1154" t="s">
        <v>4472</v>
      </c>
      <c r="P1154" s="5" t="s">
        <v>3318</v>
      </c>
      <c r="Q1154">
        <v>4.5</v>
      </c>
    </row>
    <row r="1155" spans="1:17" x14ac:dyDescent="0.3">
      <c r="A1155" s="4">
        <v>44643</v>
      </c>
      <c r="B1155" t="s">
        <v>4795</v>
      </c>
      <c r="C1155" t="s">
        <v>4793</v>
      </c>
      <c r="D1155" s="77">
        <v>0.47361111111111115</v>
      </c>
      <c r="E1155" t="s">
        <v>3314</v>
      </c>
      <c r="F1155">
        <v>43</v>
      </c>
      <c r="G1155" t="s">
        <v>3315</v>
      </c>
      <c r="H1155">
        <v>30000</v>
      </c>
      <c r="I1155" t="s">
        <v>3834</v>
      </c>
      <c r="J1155">
        <v>30000</v>
      </c>
      <c r="K1155">
        <v>120000</v>
      </c>
      <c r="L1155" t="s">
        <v>118</v>
      </c>
      <c r="M1155" t="s">
        <v>88</v>
      </c>
      <c r="N1155" t="s">
        <v>117</v>
      </c>
      <c r="O1155" t="s">
        <v>4475</v>
      </c>
      <c r="P1155" s="5" t="s">
        <v>3318</v>
      </c>
      <c r="Q1155">
        <v>4</v>
      </c>
    </row>
    <row r="1156" spans="1:17" x14ac:dyDescent="0.3">
      <c r="A1156" s="4">
        <v>44643</v>
      </c>
      <c r="B1156" t="s">
        <v>4796</v>
      </c>
      <c r="C1156" t="s">
        <v>4793</v>
      </c>
      <c r="D1156" s="77">
        <v>0.48472222222222222</v>
      </c>
      <c r="E1156" t="s">
        <v>3314</v>
      </c>
      <c r="F1156">
        <v>63</v>
      </c>
      <c r="G1156" t="s">
        <v>3315</v>
      </c>
      <c r="H1156">
        <v>30000</v>
      </c>
      <c r="I1156" t="s">
        <v>3834</v>
      </c>
      <c r="J1156">
        <v>30000</v>
      </c>
      <c r="K1156">
        <v>120000</v>
      </c>
      <c r="L1156" t="s">
        <v>118</v>
      </c>
      <c r="M1156" t="s">
        <v>88</v>
      </c>
      <c r="N1156" t="s">
        <v>117</v>
      </c>
      <c r="O1156" t="s">
        <v>4475</v>
      </c>
      <c r="P1156" s="5" t="s">
        <v>3318</v>
      </c>
      <c r="Q1156">
        <v>4</v>
      </c>
    </row>
    <row r="1157" spans="1:17" x14ac:dyDescent="0.3">
      <c r="A1157" s="4">
        <v>44643</v>
      </c>
      <c r="B1157" t="s">
        <v>4797</v>
      </c>
      <c r="C1157" t="s">
        <v>4798</v>
      </c>
      <c r="D1157" s="77">
        <v>0.5444444444444444</v>
      </c>
      <c r="E1157" t="s">
        <v>3314</v>
      </c>
      <c r="F1157">
        <v>55</v>
      </c>
      <c r="G1157" t="s">
        <v>3315</v>
      </c>
      <c r="H1157">
        <v>20000</v>
      </c>
      <c r="I1157" t="s">
        <v>3834</v>
      </c>
      <c r="J1157">
        <v>20000</v>
      </c>
      <c r="K1157">
        <v>80000</v>
      </c>
      <c r="L1157" t="s">
        <v>118</v>
      </c>
      <c r="M1157" t="s">
        <v>92</v>
      </c>
      <c r="N1157" t="s">
        <v>137</v>
      </c>
      <c r="O1157" t="s">
        <v>3476</v>
      </c>
      <c r="P1157" s="5" t="s">
        <v>3318</v>
      </c>
      <c r="Q1157">
        <v>4</v>
      </c>
    </row>
    <row r="1158" spans="1:17" x14ac:dyDescent="0.3">
      <c r="A1158" s="4">
        <v>44643</v>
      </c>
      <c r="B1158" t="s">
        <v>4799</v>
      </c>
      <c r="C1158" t="s">
        <v>4800</v>
      </c>
      <c r="D1158" s="77">
        <v>0.59236111111111112</v>
      </c>
      <c r="E1158" t="s">
        <v>3314</v>
      </c>
      <c r="F1158">
        <v>35</v>
      </c>
      <c r="G1158" t="s">
        <v>3315</v>
      </c>
      <c r="H1158">
        <v>20000</v>
      </c>
      <c r="I1158" t="s">
        <v>3834</v>
      </c>
      <c r="J1158">
        <v>20000</v>
      </c>
      <c r="K1158">
        <v>90000</v>
      </c>
      <c r="L1158" t="s">
        <v>114</v>
      </c>
      <c r="M1158" t="s">
        <v>79</v>
      </c>
      <c r="N1158" t="s">
        <v>131</v>
      </c>
      <c r="O1158" t="s">
        <v>3465</v>
      </c>
      <c r="P1158" s="5" t="s">
        <v>3318</v>
      </c>
      <c r="Q1158">
        <v>4.5</v>
      </c>
    </row>
    <row r="1159" spans="1:17" x14ac:dyDescent="0.3">
      <c r="A1159" s="4">
        <v>44643</v>
      </c>
      <c r="B1159" t="s">
        <v>4801</v>
      </c>
      <c r="C1159" t="s">
        <v>4802</v>
      </c>
      <c r="D1159" s="77">
        <v>0.61805555555555558</v>
      </c>
      <c r="E1159" t="s">
        <v>3314</v>
      </c>
      <c r="F1159">
        <v>56</v>
      </c>
      <c r="G1159" t="s">
        <v>3315</v>
      </c>
      <c r="H1159">
        <v>20000</v>
      </c>
      <c r="I1159" t="s">
        <v>3834</v>
      </c>
      <c r="J1159">
        <v>20000</v>
      </c>
      <c r="K1159">
        <v>20000</v>
      </c>
      <c r="L1159" t="s">
        <v>124</v>
      </c>
      <c r="M1159" t="s">
        <v>143</v>
      </c>
      <c r="N1159" t="s">
        <v>144</v>
      </c>
      <c r="O1159" t="s">
        <v>4803</v>
      </c>
      <c r="P1159" s="5" t="s">
        <v>3318</v>
      </c>
      <c r="Q1159">
        <v>1</v>
      </c>
    </row>
    <row r="1160" spans="1:17" x14ac:dyDescent="0.3">
      <c r="A1160" s="4">
        <v>44643</v>
      </c>
      <c r="B1160" t="s">
        <v>4804</v>
      </c>
      <c r="C1160" t="s">
        <v>4800</v>
      </c>
      <c r="D1160" s="77">
        <v>0.64236111111111105</v>
      </c>
      <c r="E1160" t="s">
        <v>3314</v>
      </c>
      <c r="F1160">
        <v>26</v>
      </c>
      <c r="G1160" t="s">
        <v>3315</v>
      </c>
      <c r="H1160">
        <v>20000</v>
      </c>
      <c r="I1160" t="s">
        <v>3834</v>
      </c>
      <c r="J1160">
        <v>20000</v>
      </c>
      <c r="K1160">
        <v>90000</v>
      </c>
      <c r="L1160" t="s">
        <v>114</v>
      </c>
      <c r="M1160" t="s">
        <v>79</v>
      </c>
      <c r="N1160" t="s">
        <v>131</v>
      </c>
      <c r="O1160" t="s">
        <v>3465</v>
      </c>
      <c r="P1160" s="5" t="s">
        <v>3318</v>
      </c>
      <c r="Q1160">
        <v>4.5</v>
      </c>
    </row>
    <row r="1161" spans="1:17" x14ac:dyDescent="0.3">
      <c r="A1161" s="4">
        <v>44643</v>
      </c>
      <c r="B1161" t="s">
        <v>4805</v>
      </c>
      <c r="C1161" t="s">
        <v>4806</v>
      </c>
      <c r="D1161" s="77">
        <v>0.64583333333333337</v>
      </c>
      <c r="E1161" t="s">
        <v>3332</v>
      </c>
      <c r="F1161">
        <v>79</v>
      </c>
      <c r="G1161" t="s">
        <v>3315</v>
      </c>
      <c r="H1161">
        <v>20000</v>
      </c>
      <c r="I1161" t="s">
        <v>3834</v>
      </c>
      <c r="J1161">
        <v>20000</v>
      </c>
      <c r="K1161">
        <v>100000</v>
      </c>
      <c r="L1161" t="s">
        <v>114</v>
      </c>
      <c r="M1161" t="s">
        <v>23</v>
      </c>
      <c r="N1161" t="s">
        <v>99</v>
      </c>
      <c r="O1161" t="s">
        <v>3358</v>
      </c>
      <c r="P1161" s="5" t="s">
        <v>3318</v>
      </c>
      <c r="Q1161">
        <v>5</v>
      </c>
    </row>
    <row r="1162" spans="1:17" x14ac:dyDescent="0.3">
      <c r="A1162" s="4">
        <v>44643</v>
      </c>
      <c r="B1162" t="s">
        <v>4807</v>
      </c>
      <c r="C1162" t="s">
        <v>4800</v>
      </c>
      <c r="D1162" s="77">
        <v>0.64861111111111114</v>
      </c>
      <c r="E1162" t="s">
        <v>3314</v>
      </c>
      <c r="F1162">
        <v>40</v>
      </c>
      <c r="G1162" t="s">
        <v>3315</v>
      </c>
      <c r="H1162">
        <v>20000</v>
      </c>
      <c r="I1162" t="s">
        <v>3834</v>
      </c>
      <c r="J1162">
        <v>20000</v>
      </c>
      <c r="K1162">
        <v>90000</v>
      </c>
      <c r="L1162" t="s">
        <v>114</v>
      </c>
      <c r="M1162" t="s">
        <v>79</v>
      </c>
      <c r="N1162" t="s">
        <v>131</v>
      </c>
      <c r="O1162" t="s">
        <v>3465</v>
      </c>
      <c r="P1162" s="5" t="s">
        <v>3318</v>
      </c>
      <c r="Q1162">
        <v>4.5</v>
      </c>
    </row>
    <row r="1163" spans="1:17" x14ac:dyDescent="0.3">
      <c r="A1163" s="4">
        <v>44643</v>
      </c>
      <c r="B1163" t="s">
        <v>4808</v>
      </c>
      <c r="C1163" t="s">
        <v>4015</v>
      </c>
      <c r="D1163" s="77">
        <v>0.65625</v>
      </c>
      <c r="E1163" t="s">
        <v>3314</v>
      </c>
      <c r="F1163">
        <v>55</v>
      </c>
      <c r="G1163" t="s">
        <v>3315</v>
      </c>
      <c r="H1163">
        <v>30000</v>
      </c>
      <c r="I1163" t="s">
        <v>3834</v>
      </c>
      <c r="J1163">
        <v>30000</v>
      </c>
      <c r="K1163">
        <v>120000</v>
      </c>
      <c r="L1163" t="s">
        <v>118</v>
      </c>
      <c r="M1163" t="s">
        <v>86</v>
      </c>
      <c r="N1163" t="s">
        <v>120</v>
      </c>
      <c r="O1163" t="s">
        <v>3446</v>
      </c>
      <c r="P1163" s="5" t="s">
        <v>3318</v>
      </c>
      <c r="Q1163">
        <v>4</v>
      </c>
    </row>
    <row r="1164" spans="1:17" x14ac:dyDescent="0.3">
      <c r="A1164" s="4">
        <v>44643</v>
      </c>
      <c r="B1164" t="s">
        <v>4809</v>
      </c>
      <c r="C1164" t="s">
        <v>4798</v>
      </c>
      <c r="D1164" s="77">
        <v>0.67708333333333337</v>
      </c>
      <c r="E1164" t="s">
        <v>3314</v>
      </c>
      <c r="F1164">
        <v>63</v>
      </c>
      <c r="G1164" t="s">
        <v>3315</v>
      </c>
      <c r="H1164">
        <v>20000</v>
      </c>
      <c r="I1164" t="s">
        <v>3834</v>
      </c>
      <c r="J1164">
        <v>20000</v>
      </c>
      <c r="K1164">
        <v>80000</v>
      </c>
      <c r="L1164" t="s">
        <v>118</v>
      </c>
      <c r="M1164" t="s">
        <v>92</v>
      </c>
      <c r="N1164" t="s">
        <v>137</v>
      </c>
      <c r="O1164" t="s">
        <v>3476</v>
      </c>
      <c r="P1164" s="5" t="s">
        <v>3318</v>
      </c>
      <c r="Q1164">
        <v>4</v>
      </c>
    </row>
    <row r="1165" spans="1:17" x14ac:dyDescent="0.3">
      <c r="A1165" s="4">
        <v>44643</v>
      </c>
      <c r="B1165" t="s">
        <v>4810</v>
      </c>
      <c r="C1165" t="s">
        <v>4802</v>
      </c>
      <c r="D1165" s="77">
        <v>0.67708333333333337</v>
      </c>
      <c r="E1165" t="s">
        <v>3314</v>
      </c>
      <c r="F1165">
        <v>80</v>
      </c>
      <c r="G1165" t="s">
        <v>3315</v>
      </c>
      <c r="H1165">
        <v>20000</v>
      </c>
      <c r="I1165" t="s">
        <v>3834</v>
      </c>
      <c r="J1165">
        <v>20000</v>
      </c>
      <c r="K1165">
        <v>20000</v>
      </c>
      <c r="L1165" t="s">
        <v>124</v>
      </c>
      <c r="M1165" t="s">
        <v>143</v>
      </c>
      <c r="N1165" t="s">
        <v>144</v>
      </c>
      <c r="O1165" t="s">
        <v>4803</v>
      </c>
      <c r="P1165" s="5" t="s">
        <v>3318</v>
      </c>
      <c r="Q1165">
        <v>1</v>
      </c>
    </row>
    <row r="1166" spans="1:17" x14ac:dyDescent="0.3">
      <c r="A1166" s="4">
        <v>44643</v>
      </c>
      <c r="B1166" t="s">
        <v>4811</v>
      </c>
      <c r="C1166" t="s">
        <v>4812</v>
      </c>
      <c r="D1166" s="77">
        <v>0.6791666666666667</v>
      </c>
      <c r="E1166" t="s">
        <v>3314</v>
      </c>
      <c r="F1166">
        <v>62</v>
      </c>
      <c r="G1166" t="s">
        <v>3315</v>
      </c>
      <c r="H1166">
        <v>20000</v>
      </c>
      <c r="I1166" t="s">
        <v>3834</v>
      </c>
      <c r="J1166">
        <v>20000</v>
      </c>
      <c r="K1166">
        <v>90000</v>
      </c>
      <c r="L1166" t="s">
        <v>116</v>
      </c>
      <c r="M1166" t="s">
        <v>84</v>
      </c>
      <c r="N1166" t="s">
        <v>108</v>
      </c>
      <c r="O1166" t="s">
        <v>3366</v>
      </c>
      <c r="P1166" s="5" t="s">
        <v>3318</v>
      </c>
      <c r="Q1166">
        <v>4.5</v>
      </c>
    </row>
    <row r="1167" spans="1:17" x14ac:dyDescent="0.3">
      <c r="A1167" s="4">
        <v>44643</v>
      </c>
      <c r="B1167" t="s">
        <v>4813</v>
      </c>
      <c r="C1167" t="s">
        <v>3818</v>
      </c>
      <c r="D1167" s="77">
        <v>0.68055555555555547</v>
      </c>
      <c r="E1167" t="s">
        <v>3314</v>
      </c>
      <c r="F1167">
        <v>42</v>
      </c>
      <c r="G1167" t="s">
        <v>3315</v>
      </c>
      <c r="H1167">
        <v>20000</v>
      </c>
      <c r="I1167" t="s">
        <v>3834</v>
      </c>
      <c r="J1167">
        <v>20000</v>
      </c>
      <c r="K1167">
        <v>80000</v>
      </c>
      <c r="L1167" t="s">
        <v>118</v>
      </c>
      <c r="M1167" t="s">
        <v>85</v>
      </c>
      <c r="N1167" t="s">
        <v>109</v>
      </c>
      <c r="O1167" t="s">
        <v>3342</v>
      </c>
      <c r="P1167" s="5" t="s">
        <v>3318</v>
      </c>
      <c r="Q1167">
        <v>4</v>
      </c>
    </row>
    <row r="1168" spans="1:17" x14ac:dyDescent="0.3">
      <c r="A1168" s="4">
        <v>44643</v>
      </c>
      <c r="B1168" t="s">
        <v>4814</v>
      </c>
      <c r="C1168" t="s">
        <v>4181</v>
      </c>
      <c r="D1168" s="77">
        <v>0.6875</v>
      </c>
      <c r="E1168" t="s">
        <v>3314</v>
      </c>
      <c r="F1168">
        <v>62</v>
      </c>
      <c r="G1168" t="s">
        <v>3348</v>
      </c>
      <c r="H1168">
        <v>20000</v>
      </c>
      <c r="I1168" t="s">
        <v>3348</v>
      </c>
      <c r="J1168">
        <v>20000</v>
      </c>
      <c r="K1168">
        <v>90000</v>
      </c>
      <c r="L1168" t="s">
        <v>119</v>
      </c>
      <c r="M1168" t="s">
        <v>29</v>
      </c>
      <c r="N1168" t="s">
        <v>104</v>
      </c>
      <c r="O1168" t="s">
        <v>3457</v>
      </c>
      <c r="P1168" s="5" t="s">
        <v>3318</v>
      </c>
      <c r="Q1168">
        <v>4.5</v>
      </c>
    </row>
    <row r="1169" spans="1:17" x14ac:dyDescent="0.3">
      <c r="A1169" s="4">
        <v>44643</v>
      </c>
      <c r="B1169" t="s">
        <v>4815</v>
      </c>
      <c r="C1169" t="s">
        <v>4798</v>
      </c>
      <c r="D1169" s="77">
        <v>0.69027777777777777</v>
      </c>
      <c r="E1169" t="s">
        <v>3314</v>
      </c>
      <c r="F1169">
        <v>62</v>
      </c>
      <c r="G1169" t="s">
        <v>3315</v>
      </c>
      <c r="H1169">
        <v>20000</v>
      </c>
      <c r="I1169" t="s">
        <v>3834</v>
      </c>
      <c r="J1169">
        <v>20000</v>
      </c>
      <c r="K1169">
        <v>80000</v>
      </c>
      <c r="L1169" t="s">
        <v>118</v>
      </c>
      <c r="M1169" t="s">
        <v>92</v>
      </c>
      <c r="N1169" t="s">
        <v>137</v>
      </c>
      <c r="O1169" t="s">
        <v>3476</v>
      </c>
      <c r="P1169" s="5" t="s">
        <v>3318</v>
      </c>
      <c r="Q1169">
        <v>4</v>
      </c>
    </row>
    <row r="1170" spans="1:17" x14ac:dyDescent="0.3">
      <c r="A1170" s="4">
        <v>44643</v>
      </c>
      <c r="B1170" t="s">
        <v>4816</v>
      </c>
      <c r="C1170" t="s">
        <v>4812</v>
      </c>
      <c r="D1170" s="77">
        <v>0.69305555555555554</v>
      </c>
      <c r="E1170" t="s">
        <v>3314</v>
      </c>
      <c r="F1170">
        <v>58</v>
      </c>
      <c r="G1170" t="s">
        <v>3889</v>
      </c>
      <c r="H1170">
        <v>30000</v>
      </c>
      <c r="I1170" t="s">
        <v>3889</v>
      </c>
      <c r="J1170">
        <v>30000</v>
      </c>
      <c r="K1170">
        <v>120000</v>
      </c>
      <c r="L1170" t="s">
        <v>118</v>
      </c>
      <c r="M1170" t="s">
        <v>94</v>
      </c>
      <c r="N1170" t="s">
        <v>138</v>
      </c>
      <c r="O1170" t="s">
        <v>3775</v>
      </c>
      <c r="P1170" s="5" t="s">
        <v>3318</v>
      </c>
      <c r="Q1170">
        <v>4</v>
      </c>
    </row>
    <row r="1171" spans="1:17" x14ac:dyDescent="0.3">
      <c r="A1171" s="4">
        <v>44643</v>
      </c>
      <c r="B1171" t="s">
        <v>4817</v>
      </c>
      <c r="C1171" t="s">
        <v>4015</v>
      </c>
      <c r="D1171" s="77">
        <v>0.70000000000000007</v>
      </c>
      <c r="E1171" t="s">
        <v>3314</v>
      </c>
      <c r="F1171">
        <v>38</v>
      </c>
      <c r="G1171" t="s">
        <v>3315</v>
      </c>
      <c r="H1171">
        <v>30000</v>
      </c>
      <c r="I1171" t="s">
        <v>3834</v>
      </c>
      <c r="J1171">
        <v>30000</v>
      </c>
      <c r="K1171">
        <v>135000</v>
      </c>
      <c r="L1171" t="s">
        <v>116</v>
      </c>
      <c r="M1171" t="s">
        <v>65</v>
      </c>
      <c r="N1171" t="s">
        <v>102</v>
      </c>
      <c r="O1171" t="s">
        <v>3506</v>
      </c>
      <c r="P1171" s="5" t="s">
        <v>3318</v>
      </c>
      <c r="Q1171">
        <v>4.5</v>
      </c>
    </row>
    <row r="1172" spans="1:17" x14ac:dyDescent="0.3">
      <c r="A1172" s="4">
        <v>44643</v>
      </c>
      <c r="B1172" t="s">
        <v>4818</v>
      </c>
      <c r="C1172" t="s">
        <v>4819</v>
      </c>
      <c r="D1172" s="77">
        <v>0.70208333333333339</v>
      </c>
      <c r="E1172" t="s">
        <v>3314</v>
      </c>
      <c r="F1172">
        <v>50</v>
      </c>
      <c r="G1172" t="s">
        <v>3315</v>
      </c>
      <c r="H1172">
        <v>30000</v>
      </c>
      <c r="I1172" t="s">
        <v>3834</v>
      </c>
      <c r="J1172">
        <v>30000</v>
      </c>
      <c r="K1172">
        <v>120000</v>
      </c>
      <c r="L1172" t="s">
        <v>118</v>
      </c>
      <c r="M1172" t="s">
        <v>91</v>
      </c>
      <c r="N1172" t="s">
        <v>136</v>
      </c>
      <c r="O1172" t="s">
        <v>3422</v>
      </c>
      <c r="P1172" s="5" t="s">
        <v>3318</v>
      </c>
      <c r="Q1172">
        <v>4</v>
      </c>
    </row>
    <row r="1173" spans="1:17" x14ac:dyDescent="0.3">
      <c r="A1173" s="4">
        <v>44643</v>
      </c>
      <c r="B1173" t="s">
        <v>4820</v>
      </c>
      <c r="C1173" t="s">
        <v>4802</v>
      </c>
      <c r="D1173" s="77">
        <v>0.70486111111111116</v>
      </c>
      <c r="E1173" t="s">
        <v>3314</v>
      </c>
      <c r="F1173">
        <v>26</v>
      </c>
      <c r="G1173" t="s">
        <v>3315</v>
      </c>
      <c r="H1173">
        <v>20000</v>
      </c>
      <c r="I1173" t="s">
        <v>3834</v>
      </c>
      <c r="J1173">
        <v>20000</v>
      </c>
      <c r="K1173">
        <v>80000</v>
      </c>
      <c r="L1173" t="s">
        <v>118</v>
      </c>
      <c r="M1173" t="s">
        <v>90</v>
      </c>
      <c r="N1173" t="s">
        <v>110</v>
      </c>
      <c r="O1173" t="s">
        <v>3455</v>
      </c>
      <c r="P1173" s="5" t="s">
        <v>3318</v>
      </c>
      <c r="Q1173">
        <v>4</v>
      </c>
    </row>
    <row r="1174" spans="1:17" x14ac:dyDescent="0.3">
      <c r="A1174" s="4">
        <v>44643</v>
      </c>
      <c r="B1174" t="s">
        <v>4821</v>
      </c>
      <c r="C1174" t="s">
        <v>4800</v>
      </c>
      <c r="D1174" s="77">
        <v>0.70694444444444438</v>
      </c>
      <c r="E1174" t="s">
        <v>3314</v>
      </c>
      <c r="F1174">
        <v>31</v>
      </c>
      <c r="G1174" t="s">
        <v>3315</v>
      </c>
      <c r="H1174">
        <v>20000</v>
      </c>
      <c r="I1174" t="s">
        <v>3834</v>
      </c>
      <c r="J1174">
        <v>20000</v>
      </c>
      <c r="K1174">
        <v>90000</v>
      </c>
      <c r="L1174" t="s">
        <v>114</v>
      </c>
      <c r="M1174" t="s">
        <v>79</v>
      </c>
      <c r="N1174" t="s">
        <v>131</v>
      </c>
      <c r="O1174" t="s">
        <v>3465</v>
      </c>
      <c r="P1174" s="5" t="s">
        <v>3318</v>
      </c>
      <c r="Q1174">
        <v>4.5</v>
      </c>
    </row>
    <row r="1175" spans="1:17" x14ac:dyDescent="0.3">
      <c r="A1175" s="4">
        <v>44643</v>
      </c>
      <c r="B1175" t="s">
        <v>4822</v>
      </c>
      <c r="C1175" t="s">
        <v>4380</v>
      </c>
      <c r="D1175" s="77">
        <v>0.71458333333333324</v>
      </c>
      <c r="E1175" t="s">
        <v>3314</v>
      </c>
      <c r="F1175">
        <v>72</v>
      </c>
      <c r="G1175" t="s">
        <v>3315</v>
      </c>
      <c r="H1175">
        <v>20000</v>
      </c>
      <c r="I1175" t="s">
        <v>3834</v>
      </c>
      <c r="J1175">
        <v>20000</v>
      </c>
      <c r="K1175">
        <v>90000</v>
      </c>
      <c r="L1175" t="s">
        <v>119</v>
      </c>
      <c r="M1175" t="s">
        <v>27</v>
      </c>
      <c r="N1175" t="s">
        <v>101</v>
      </c>
      <c r="O1175" t="s">
        <v>3803</v>
      </c>
      <c r="P1175" s="5" t="s">
        <v>3318</v>
      </c>
      <c r="Q1175">
        <v>4.5</v>
      </c>
    </row>
    <row r="1176" spans="1:17" x14ac:dyDescent="0.3">
      <c r="A1176" s="4">
        <v>44643</v>
      </c>
      <c r="B1176" t="s">
        <v>4823</v>
      </c>
      <c r="C1176" t="s">
        <v>4806</v>
      </c>
      <c r="D1176" s="77">
        <v>0.71527777777777779</v>
      </c>
      <c r="E1176" t="s">
        <v>3332</v>
      </c>
      <c r="F1176">
        <v>52</v>
      </c>
      <c r="G1176" t="s">
        <v>3315</v>
      </c>
      <c r="H1176">
        <v>30000</v>
      </c>
      <c r="I1176" t="s">
        <v>3834</v>
      </c>
      <c r="J1176">
        <v>30000</v>
      </c>
      <c r="K1176">
        <v>150000</v>
      </c>
      <c r="L1176" t="s">
        <v>114</v>
      </c>
      <c r="M1176" t="s">
        <v>23</v>
      </c>
      <c r="N1176" t="s">
        <v>99</v>
      </c>
      <c r="O1176" t="s">
        <v>3358</v>
      </c>
      <c r="P1176" s="5" t="s">
        <v>3318</v>
      </c>
      <c r="Q1176">
        <v>5</v>
      </c>
    </row>
    <row r="1177" spans="1:17" x14ac:dyDescent="0.3">
      <c r="A1177" s="4">
        <v>44643</v>
      </c>
      <c r="B1177" t="s">
        <v>4824</v>
      </c>
      <c r="C1177" t="s">
        <v>4819</v>
      </c>
      <c r="D1177" s="77">
        <v>0.71805555555555556</v>
      </c>
      <c r="E1177" t="s">
        <v>3314</v>
      </c>
      <c r="F1177">
        <v>39</v>
      </c>
      <c r="G1177" t="s">
        <v>3344</v>
      </c>
      <c r="H1177">
        <v>30000</v>
      </c>
      <c r="I1177" t="s">
        <v>3344</v>
      </c>
      <c r="J1177">
        <v>30000</v>
      </c>
      <c r="K1177">
        <v>120000</v>
      </c>
      <c r="L1177" t="s">
        <v>118</v>
      </c>
      <c r="M1177" t="s">
        <v>91</v>
      </c>
      <c r="N1177" t="s">
        <v>136</v>
      </c>
      <c r="O1177" t="s">
        <v>3422</v>
      </c>
      <c r="P1177" s="5" t="s">
        <v>3318</v>
      </c>
      <c r="Q1177">
        <v>4</v>
      </c>
    </row>
    <row r="1178" spans="1:17" x14ac:dyDescent="0.3">
      <c r="A1178" s="4">
        <v>44643</v>
      </c>
      <c r="B1178" t="s">
        <v>4825</v>
      </c>
      <c r="C1178" t="s">
        <v>4800</v>
      </c>
      <c r="D1178" s="77">
        <v>0.71875</v>
      </c>
      <c r="E1178" t="s">
        <v>3314</v>
      </c>
      <c r="F1178">
        <v>32</v>
      </c>
      <c r="G1178" t="s">
        <v>3315</v>
      </c>
      <c r="H1178">
        <v>20000</v>
      </c>
      <c r="I1178" t="s">
        <v>3834</v>
      </c>
      <c r="J1178">
        <v>20000</v>
      </c>
      <c r="K1178">
        <v>90000</v>
      </c>
      <c r="L1178" t="s">
        <v>114</v>
      </c>
      <c r="M1178" t="s">
        <v>79</v>
      </c>
      <c r="N1178" t="s">
        <v>131</v>
      </c>
      <c r="O1178" t="s">
        <v>3465</v>
      </c>
      <c r="P1178" s="5" t="s">
        <v>3318</v>
      </c>
      <c r="Q1178">
        <v>4.5</v>
      </c>
    </row>
    <row r="1179" spans="1:17" x14ac:dyDescent="0.3">
      <c r="A1179" s="4">
        <v>44643</v>
      </c>
      <c r="B1179" t="s">
        <v>4826</v>
      </c>
      <c r="C1179" t="s">
        <v>4380</v>
      </c>
      <c r="D1179" s="77">
        <v>0.72569444444444453</v>
      </c>
      <c r="E1179" t="s">
        <v>3314</v>
      </c>
      <c r="F1179">
        <v>57</v>
      </c>
      <c r="G1179" t="s">
        <v>3315</v>
      </c>
      <c r="H1179">
        <v>20000</v>
      </c>
      <c r="I1179" t="s">
        <v>3834</v>
      </c>
      <c r="J1179">
        <v>20000</v>
      </c>
      <c r="K1179">
        <v>90000</v>
      </c>
      <c r="L1179" t="s">
        <v>119</v>
      </c>
      <c r="M1179" t="s">
        <v>27</v>
      </c>
      <c r="N1179" t="s">
        <v>101</v>
      </c>
      <c r="O1179" t="s">
        <v>3803</v>
      </c>
      <c r="P1179" s="5" t="s">
        <v>3318</v>
      </c>
      <c r="Q1179">
        <v>4.5</v>
      </c>
    </row>
    <row r="1180" spans="1:17" x14ac:dyDescent="0.3">
      <c r="A1180" s="4">
        <v>44643</v>
      </c>
      <c r="B1180" t="s">
        <v>4827</v>
      </c>
      <c r="C1180" t="s">
        <v>4800</v>
      </c>
      <c r="D1180" s="77">
        <v>0.72638888888888886</v>
      </c>
      <c r="E1180" t="s">
        <v>3314</v>
      </c>
      <c r="F1180">
        <v>31</v>
      </c>
      <c r="G1180" t="s">
        <v>3315</v>
      </c>
      <c r="H1180">
        <v>20000</v>
      </c>
      <c r="I1180" t="s">
        <v>3834</v>
      </c>
      <c r="J1180">
        <v>20000</v>
      </c>
      <c r="K1180">
        <v>90000</v>
      </c>
      <c r="L1180" t="s">
        <v>114</v>
      </c>
      <c r="M1180" t="s">
        <v>79</v>
      </c>
      <c r="N1180" t="s">
        <v>131</v>
      </c>
      <c r="O1180" t="s">
        <v>3465</v>
      </c>
      <c r="P1180" s="5" t="s">
        <v>3318</v>
      </c>
      <c r="Q1180">
        <v>4.5</v>
      </c>
    </row>
    <row r="1181" spans="1:17" x14ac:dyDescent="0.3">
      <c r="A1181" s="4">
        <v>44643</v>
      </c>
      <c r="B1181" t="s">
        <v>4828</v>
      </c>
      <c r="C1181" t="s">
        <v>4812</v>
      </c>
      <c r="D1181" s="77">
        <v>0.72986111111111107</v>
      </c>
      <c r="E1181" t="s">
        <v>3314</v>
      </c>
      <c r="F1181">
        <v>57</v>
      </c>
      <c r="G1181" t="s">
        <v>3315</v>
      </c>
      <c r="H1181">
        <v>20000</v>
      </c>
      <c r="I1181" t="s">
        <v>3834</v>
      </c>
      <c r="J1181">
        <v>20000</v>
      </c>
      <c r="K1181">
        <v>80000</v>
      </c>
      <c r="L1181" t="s">
        <v>118</v>
      </c>
      <c r="M1181" t="s">
        <v>94</v>
      </c>
      <c r="N1181" t="s">
        <v>138</v>
      </c>
      <c r="O1181" t="s">
        <v>3775</v>
      </c>
      <c r="P1181" s="5" t="s">
        <v>3318</v>
      </c>
      <c r="Q1181">
        <v>4</v>
      </c>
    </row>
    <row r="1182" spans="1:17" x14ac:dyDescent="0.3">
      <c r="A1182" s="4">
        <v>44643</v>
      </c>
      <c r="B1182" t="s">
        <v>4829</v>
      </c>
      <c r="C1182" t="s">
        <v>4798</v>
      </c>
      <c r="D1182" s="77">
        <v>0.74861111111111101</v>
      </c>
      <c r="E1182" t="s">
        <v>3314</v>
      </c>
      <c r="F1182">
        <v>36</v>
      </c>
      <c r="G1182" t="s">
        <v>3315</v>
      </c>
      <c r="H1182">
        <v>20000</v>
      </c>
      <c r="I1182" t="s">
        <v>3834</v>
      </c>
      <c r="J1182">
        <v>20000</v>
      </c>
      <c r="K1182">
        <v>80000</v>
      </c>
      <c r="L1182" t="s">
        <v>118</v>
      </c>
      <c r="M1182" t="s">
        <v>92</v>
      </c>
      <c r="N1182" t="s">
        <v>137</v>
      </c>
      <c r="O1182" t="s">
        <v>3476</v>
      </c>
      <c r="P1182" s="5" t="s">
        <v>3318</v>
      </c>
      <c r="Q1182">
        <v>4</v>
      </c>
    </row>
    <row r="1183" spans="1:17" x14ac:dyDescent="0.3">
      <c r="A1183" s="4">
        <v>44643</v>
      </c>
      <c r="B1183" t="s">
        <v>4830</v>
      </c>
      <c r="C1183" t="s">
        <v>4819</v>
      </c>
      <c r="D1183" s="77">
        <v>0.74930555555555556</v>
      </c>
      <c r="E1183" t="s">
        <v>3314</v>
      </c>
      <c r="F1183">
        <v>52</v>
      </c>
      <c r="G1183" t="s">
        <v>3315</v>
      </c>
      <c r="H1183">
        <v>20000</v>
      </c>
      <c r="I1183" t="s">
        <v>3834</v>
      </c>
      <c r="J1183">
        <v>20000</v>
      </c>
      <c r="K1183">
        <v>90000</v>
      </c>
      <c r="L1183" t="s">
        <v>116</v>
      </c>
      <c r="M1183" t="s">
        <v>77</v>
      </c>
      <c r="N1183" t="s">
        <v>133</v>
      </c>
      <c r="O1183" t="s">
        <v>3376</v>
      </c>
      <c r="P1183" s="5" t="s">
        <v>3318</v>
      </c>
      <c r="Q1183">
        <v>4.5</v>
      </c>
    </row>
    <row r="1184" spans="1:17" x14ac:dyDescent="0.3">
      <c r="A1184" s="4">
        <v>44643</v>
      </c>
      <c r="B1184" t="s">
        <v>4831</v>
      </c>
      <c r="C1184" t="s">
        <v>4802</v>
      </c>
      <c r="D1184" s="77">
        <v>0.75</v>
      </c>
      <c r="E1184" t="s">
        <v>3314</v>
      </c>
      <c r="F1184">
        <v>28</v>
      </c>
      <c r="G1184" t="s">
        <v>3315</v>
      </c>
      <c r="H1184">
        <v>20000</v>
      </c>
      <c r="I1184" t="s">
        <v>3834</v>
      </c>
      <c r="J1184">
        <v>20000</v>
      </c>
      <c r="K1184">
        <v>20000</v>
      </c>
      <c r="L1184" t="s">
        <v>124</v>
      </c>
      <c r="M1184" t="s">
        <v>143</v>
      </c>
      <c r="N1184" t="s">
        <v>144</v>
      </c>
      <c r="O1184" t="s">
        <v>4803</v>
      </c>
      <c r="P1184" s="5" t="s">
        <v>3318</v>
      </c>
      <c r="Q1184">
        <v>1</v>
      </c>
    </row>
    <row r="1185" spans="1:17" x14ac:dyDescent="0.3">
      <c r="A1185" s="4">
        <v>44643</v>
      </c>
      <c r="B1185" t="s">
        <v>4832</v>
      </c>
      <c r="C1185" t="s">
        <v>4806</v>
      </c>
      <c r="D1185" s="77">
        <v>0.75</v>
      </c>
      <c r="E1185" t="s">
        <v>3332</v>
      </c>
      <c r="F1185">
        <v>61</v>
      </c>
      <c r="G1185" t="s">
        <v>3315</v>
      </c>
      <c r="H1185">
        <v>20000</v>
      </c>
      <c r="I1185" t="s">
        <v>3316</v>
      </c>
      <c r="J1185">
        <v>20000</v>
      </c>
      <c r="K1185">
        <v>100000</v>
      </c>
      <c r="L1185" t="s">
        <v>113</v>
      </c>
      <c r="M1185" t="s">
        <v>22</v>
      </c>
      <c r="N1185" t="s">
        <v>98</v>
      </c>
      <c r="O1185" t="s">
        <v>3437</v>
      </c>
      <c r="P1185" s="5" t="s">
        <v>3318</v>
      </c>
      <c r="Q1185">
        <v>5</v>
      </c>
    </row>
    <row r="1186" spans="1:17" x14ac:dyDescent="0.3">
      <c r="A1186" s="4">
        <v>44643</v>
      </c>
      <c r="B1186" t="s">
        <v>4833</v>
      </c>
      <c r="C1186" t="s">
        <v>4380</v>
      </c>
      <c r="D1186" s="77">
        <v>0.77083333333333337</v>
      </c>
      <c r="E1186" t="s">
        <v>3314</v>
      </c>
      <c r="F1186">
        <v>60</v>
      </c>
      <c r="G1186" t="s">
        <v>3315</v>
      </c>
      <c r="H1186">
        <v>30000</v>
      </c>
      <c r="I1186" t="s">
        <v>3834</v>
      </c>
      <c r="J1186">
        <v>30000</v>
      </c>
      <c r="K1186">
        <v>120000</v>
      </c>
      <c r="L1186" t="s">
        <v>118</v>
      </c>
      <c r="M1186" t="s">
        <v>93</v>
      </c>
      <c r="N1186" t="s">
        <v>121</v>
      </c>
      <c r="O1186" t="s">
        <v>3781</v>
      </c>
      <c r="P1186" s="5" t="s">
        <v>3318</v>
      </c>
      <c r="Q1186">
        <v>4</v>
      </c>
    </row>
    <row r="1187" spans="1:17" x14ac:dyDescent="0.3">
      <c r="A1187" s="4">
        <v>44643</v>
      </c>
      <c r="B1187" t="s">
        <v>4834</v>
      </c>
      <c r="C1187" t="s">
        <v>4812</v>
      </c>
      <c r="D1187" s="77">
        <v>0.80555555555555547</v>
      </c>
      <c r="E1187" t="s">
        <v>3314</v>
      </c>
      <c r="F1187">
        <v>24</v>
      </c>
      <c r="G1187" t="s">
        <v>3889</v>
      </c>
      <c r="H1187">
        <v>20000</v>
      </c>
      <c r="I1187" t="s">
        <v>3889</v>
      </c>
      <c r="J1187">
        <v>20000</v>
      </c>
      <c r="K1187">
        <v>90000</v>
      </c>
      <c r="L1187" t="s">
        <v>116</v>
      </c>
      <c r="M1187" t="s">
        <v>84</v>
      </c>
      <c r="N1187" t="s">
        <v>108</v>
      </c>
      <c r="O1187" t="s">
        <v>3366</v>
      </c>
      <c r="P1187" s="5" t="s">
        <v>3318</v>
      </c>
      <c r="Q1187">
        <v>4.5</v>
      </c>
    </row>
    <row r="1188" spans="1:17" x14ac:dyDescent="0.3">
      <c r="A1188" s="4">
        <v>44643</v>
      </c>
      <c r="B1188" t="s">
        <v>4835</v>
      </c>
      <c r="C1188" t="s">
        <v>4802</v>
      </c>
      <c r="D1188" s="77">
        <v>0.80555555555555547</v>
      </c>
      <c r="E1188" t="s">
        <v>3314</v>
      </c>
      <c r="F1188">
        <v>29</v>
      </c>
      <c r="G1188" t="s">
        <v>3315</v>
      </c>
      <c r="H1188">
        <v>30000</v>
      </c>
      <c r="I1188" t="s">
        <v>3834</v>
      </c>
      <c r="J1188">
        <v>30000</v>
      </c>
      <c r="K1188">
        <v>120000</v>
      </c>
      <c r="L1188" t="s">
        <v>118</v>
      </c>
      <c r="M1188" t="s">
        <v>90</v>
      </c>
      <c r="N1188" t="s">
        <v>110</v>
      </c>
      <c r="O1188" t="s">
        <v>3455</v>
      </c>
      <c r="P1188" s="5" t="s">
        <v>3318</v>
      </c>
      <c r="Q1188">
        <v>4</v>
      </c>
    </row>
    <row r="1189" spans="1:17" x14ac:dyDescent="0.3">
      <c r="A1189" s="4">
        <v>44643</v>
      </c>
      <c r="B1189" t="s">
        <v>4836</v>
      </c>
      <c r="C1189" t="s">
        <v>4802</v>
      </c>
      <c r="D1189" s="77">
        <v>0.81944444444444453</v>
      </c>
      <c r="E1189" t="s">
        <v>3314</v>
      </c>
      <c r="F1189">
        <v>22</v>
      </c>
      <c r="G1189" t="s">
        <v>3575</v>
      </c>
      <c r="H1189">
        <v>20000</v>
      </c>
      <c r="I1189" t="s">
        <v>3575</v>
      </c>
      <c r="J1189">
        <v>20000</v>
      </c>
      <c r="K1189">
        <v>80000</v>
      </c>
      <c r="L1189" t="s">
        <v>118</v>
      </c>
      <c r="M1189" t="s">
        <v>90</v>
      </c>
      <c r="N1189" t="s">
        <v>110</v>
      </c>
      <c r="O1189" t="s">
        <v>3455</v>
      </c>
      <c r="P1189" s="5" t="s">
        <v>3318</v>
      </c>
      <c r="Q1189">
        <v>4</v>
      </c>
    </row>
    <row r="1190" spans="1:17" x14ac:dyDescent="0.3">
      <c r="A1190" s="4">
        <v>44644</v>
      </c>
      <c r="B1190" t="s">
        <v>4837</v>
      </c>
      <c r="C1190" t="s">
        <v>4838</v>
      </c>
      <c r="D1190" s="77">
        <v>0.50694444444444442</v>
      </c>
      <c r="E1190" t="s">
        <v>3314</v>
      </c>
      <c r="F1190">
        <v>74</v>
      </c>
      <c r="G1190" t="s">
        <v>3315</v>
      </c>
      <c r="H1190">
        <v>20000</v>
      </c>
      <c r="I1190" t="s">
        <v>3834</v>
      </c>
      <c r="J1190">
        <v>20000</v>
      </c>
      <c r="K1190">
        <v>90000</v>
      </c>
      <c r="L1190" t="s">
        <v>116</v>
      </c>
      <c r="M1190" t="s">
        <v>65</v>
      </c>
      <c r="N1190" t="s">
        <v>102</v>
      </c>
      <c r="O1190" t="s">
        <v>3506</v>
      </c>
      <c r="P1190" s="5" t="s">
        <v>3318</v>
      </c>
      <c r="Q1190">
        <v>4.5</v>
      </c>
    </row>
    <row r="1191" spans="1:17" x14ac:dyDescent="0.3">
      <c r="A1191" s="4">
        <v>44644</v>
      </c>
      <c r="B1191" t="s">
        <v>4839</v>
      </c>
      <c r="C1191" t="s">
        <v>4838</v>
      </c>
      <c r="D1191" s="77">
        <v>0.52777777777777779</v>
      </c>
      <c r="E1191" t="s">
        <v>3314</v>
      </c>
      <c r="F1191">
        <v>52</v>
      </c>
      <c r="G1191" t="s">
        <v>3315</v>
      </c>
      <c r="H1191">
        <v>20000</v>
      </c>
      <c r="I1191" t="s">
        <v>3834</v>
      </c>
      <c r="J1191">
        <v>20000</v>
      </c>
      <c r="K1191">
        <v>90000</v>
      </c>
      <c r="L1191" t="s">
        <v>116</v>
      </c>
      <c r="M1191" t="s">
        <v>65</v>
      </c>
      <c r="N1191" t="s">
        <v>102</v>
      </c>
      <c r="O1191" t="s">
        <v>3506</v>
      </c>
      <c r="P1191" s="5" t="s">
        <v>3318</v>
      </c>
      <c r="Q1191">
        <v>4.5</v>
      </c>
    </row>
    <row r="1192" spans="1:17" x14ac:dyDescent="0.3">
      <c r="A1192" s="4">
        <v>44644</v>
      </c>
      <c r="B1192" t="s">
        <v>4840</v>
      </c>
      <c r="C1192" t="s">
        <v>4793</v>
      </c>
      <c r="D1192" s="77">
        <v>0.55486111111111114</v>
      </c>
      <c r="E1192" t="s">
        <v>3314</v>
      </c>
      <c r="F1192">
        <v>50</v>
      </c>
      <c r="G1192" t="s">
        <v>3889</v>
      </c>
      <c r="H1192">
        <v>30000</v>
      </c>
      <c r="I1192" t="s">
        <v>3889</v>
      </c>
      <c r="J1192">
        <v>30000</v>
      </c>
      <c r="K1192">
        <v>135000</v>
      </c>
      <c r="L1192" t="s">
        <v>116</v>
      </c>
      <c r="M1192" t="s">
        <v>78</v>
      </c>
      <c r="N1192" t="s">
        <v>100</v>
      </c>
      <c r="O1192" t="s">
        <v>4472</v>
      </c>
      <c r="P1192" s="5" t="s">
        <v>3318</v>
      </c>
      <c r="Q1192">
        <v>4.5</v>
      </c>
    </row>
    <row r="1193" spans="1:17" x14ac:dyDescent="0.3">
      <c r="A1193" s="4">
        <v>44644</v>
      </c>
      <c r="B1193" t="s">
        <v>4841</v>
      </c>
      <c r="C1193" t="s">
        <v>4800</v>
      </c>
      <c r="D1193" s="77">
        <v>0.57916666666666672</v>
      </c>
      <c r="E1193" t="s">
        <v>3314</v>
      </c>
      <c r="F1193">
        <v>33</v>
      </c>
      <c r="G1193" t="s">
        <v>3315</v>
      </c>
      <c r="H1193">
        <v>20000</v>
      </c>
      <c r="I1193" t="s">
        <v>3834</v>
      </c>
      <c r="J1193">
        <v>20000</v>
      </c>
      <c r="K1193">
        <v>90000</v>
      </c>
      <c r="L1193" t="s">
        <v>114</v>
      </c>
      <c r="M1193" t="s">
        <v>79</v>
      </c>
      <c r="N1193" t="s">
        <v>131</v>
      </c>
      <c r="O1193" t="s">
        <v>3465</v>
      </c>
      <c r="P1193" s="5" t="s">
        <v>3318</v>
      </c>
      <c r="Q1193">
        <v>4.5</v>
      </c>
    </row>
    <row r="1194" spans="1:17" x14ac:dyDescent="0.3">
      <c r="A1194" s="4">
        <v>44644</v>
      </c>
      <c r="B1194" t="s">
        <v>4842</v>
      </c>
      <c r="C1194" t="s">
        <v>4800</v>
      </c>
      <c r="D1194" s="77">
        <v>0.59097222222222223</v>
      </c>
      <c r="E1194" t="s">
        <v>3314</v>
      </c>
      <c r="F1194">
        <v>39</v>
      </c>
      <c r="G1194" t="s">
        <v>3315</v>
      </c>
      <c r="H1194">
        <v>20000</v>
      </c>
      <c r="I1194" t="s">
        <v>3834</v>
      </c>
      <c r="J1194">
        <v>20000</v>
      </c>
      <c r="K1194">
        <v>90000</v>
      </c>
      <c r="L1194" t="s">
        <v>114</v>
      </c>
      <c r="M1194" t="s">
        <v>79</v>
      </c>
      <c r="N1194" t="s">
        <v>131</v>
      </c>
      <c r="O1194" t="s">
        <v>3465</v>
      </c>
      <c r="P1194" s="5" t="s">
        <v>3318</v>
      </c>
      <c r="Q1194">
        <v>4.5</v>
      </c>
    </row>
    <row r="1195" spans="1:17" x14ac:dyDescent="0.3">
      <c r="A1195" s="4">
        <v>44644</v>
      </c>
      <c r="B1195" t="s">
        <v>4843</v>
      </c>
      <c r="C1195" t="s">
        <v>4800</v>
      </c>
      <c r="D1195" s="77">
        <v>0.59652777777777777</v>
      </c>
      <c r="E1195" t="s">
        <v>3314</v>
      </c>
      <c r="F1195">
        <v>52</v>
      </c>
      <c r="G1195" t="s">
        <v>3315</v>
      </c>
      <c r="H1195">
        <v>20000</v>
      </c>
      <c r="I1195" t="s">
        <v>3834</v>
      </c>
      <c r="J1195">
        <v>20000</v>
      </c>
      <c r="K1195">
        <v>90000</v>
      </c>
      <c r="L1195" t="s">
        <v>114</v>
      </c>
      <c r="M1195" t="s">
        <v>79</v>
      </c>
      <c r="N1195" t="s">
        <v>131</v>
      </c>
      <c r="O1195" t="s">
        <v>3465</v>
      </c>
      <c r="P1195" s="5" t="s">
        <v>3318</v>
      </c>
      <c r="Q1195">
        <v>4.5</v>
      </c>
    </row>
    <row r="1196" spans="1:17" x14ac:dyDescent="0.3">
      <c r="A1196" s="4">
        <v>44644</v>
      </c>
      <c r="B1196" t="s">
        <v>4844</v>
      </c>
      <c r="C1196" t="s">
        <v>4845</v>
      </c>
      <c r="D1196" s="77">
        <v>0.59930555555555554</v>
      </c>
      <c r="E1196" t="s">
        <v>3314</v>
      </c>
      <c r="F1196">
        <v>45</v>
      </c>
      <c r="G1196" t="s">
        <v>3315</v>
      </c>
      <c r="H1196">
        <v>20000</v>
      </c>
      <c r="I1196" t="s">
        <v>3834</v>
      </c>
      <c r="J1196">
        <v>20000</v>
      </c>
      <c r="K1196">
        <v>90000</v>
      </c>
      <c r="L1196" t="s">
        <v>116</v>
      </c>
      <c r="M1196" t="s">
        <v>77</v>
      </c>
      <c r="N1196" t="s">
        <v>133</v>
      </c>
      <c r="O1196" t="s">
        <v>3376</v>
      </c>
      <c r="P1196" s="5" t="s">
        <v>3318</v>
      </c>
      <c r="Q1196">
        <v>4.5</v>
      </c>
    </row>
    <row r="1197" spans="1:17" x14ac:dyDescent="0.3">
      <c r="A1197" s="4">
        <v>44644</v>
      </c>
      <c r="B1197" t="s">
        <v>4846</v>
      </c>
      <c r="C1197" t="s">
        <v>4847</v>
      </c>
      <c r="D1197" s="77">
        <v>0.6</v>
      </c>
      <c r="E1197" t="s">
        <v>3314</v>
      </c>
      <c r="F1197">
        <v>79</v>
      </c>
      <c r="G1197" t="s">
        <v>3315</v>
      </c>
      <c r="H1197">
        <v>20000</v>
      </c>
      <c r="I1197" t="s">
        <v>3834</v>
      </c>
      <c r="J1197">
        <v>20000</v>
      </c>
      <c r="K1197">
        <v>90000</v>
      </c>
      <c r="L1197" t="s">
        <v>116</v>
      </c>
      <c r="M1197" t="s">
        <v>78</v>
      </c>
      <c r="N1197" t="s">
        <v>100</v>
      </c>
      <c r="O1197" t="s">
        <v>4472</v>
      </c>
      <c r="P1197" s="5" t="s">
        <v>3318</v>
      </c>
      <c r="Q1197">
        <v>4.5</v>
      </c>
    </row>
    <row r="1198" spans="1:17" x14ac:dyDescent="0.3">
      <c r="A1198" s="4">
        <v>44644</v>
      </c>
      <c r="B1198" t="s">
        <v>4848</v>
      </c>
      <c r="C1198" t="s">
        <v>4800</v>
      </c>
      <c r="D1198" s="77">
        <v>0.6069444444444444</v>
      </c>
      <c r="E1198" t="s">
        <v>3314</v>
      </c>
      <c r="F1198">
        <v>42</v>
      </c>
      <c r="G1198" t="s">
        <v>3315</v>
      </c>
      <c r="H1198">
        <v>20000</v>
      </c>
      <c r="I1198" t="s">
        <v>3834</v>
      </c>
      <c r="J1198">
        <v>20000</v>
      </c>
      <c r="K1198">
        <v>90000</v>
      </c>
      <c r="L1198" t="s">
        <v>114</v>
      </c>
      <c r="M1198" t="s">
        <v>79</v>
      </c>
      <c r="N1198" t="s">
        <v>131</v>
      </c>
      <c r="O1198" t="s">
        <v>3465</v>
      </c>
      <c r="P1198" s="5" t="s">
        <v>3318</v>
      </c>
      <c r="Q1198">
        <v>4.5</v>
      </c>
    </row>
    <row r="1199" spans="1:17" x14ac:dyDescent="0.3">
      <c r="A1199" s="4">
        <v>44644</v>
      </c>
      <c r="B1199" t="s">
        <v>4849</v>
      </c>
      <c r="C1199" t="s">
        <v>4800</v>
      </c>
      <c r="D1199" s="77">
        <v>0.62013888888888891</v>
      </c>
      <c r="E1199" t="s">
        <v>3314</v>
      </c>
      <c r="F1199">
        <v>44</v>
      </c>
      <c r="G1199" t="s">
        <v>3315</v>
      </c>
      <c r="H1199">
        <v>20000</v>
      </c>
      <c r="I1199" t="s">
        <v>3834</v>
      </c>
      <c r="J1199">
        <v>20000</v>
      </c>
      <c r="K1199">
        <v>90000</v>
      </c>
      <c r="L1199" t="s">
        <v>114</v>
      </c>
      <c r="M1199" t="s">
        <v>79</v>
      </c>
      <c r="N1199" t="s">
        <v>131</v>
      </c>
      <c r="O1199" t="s">
        <v>3465</v>
      </c>
      <c r="P1199" s="5" t="s">
        <v>3318</v>
      </c>
      <c r="Q1199">
        <v>4.5</v>
      </c>
    </row>
    <row r="1200" spans="1:17" x14ac:dyDescent="0.3">
      <c r="A1200" s="4">
        <v>44644</v>
      </c>
      <c r="B1200" t="s">
        <v>4850</v>
      </c>
      <c r="C1200" t="s">
        <v>4851</v>
      </c>
      <c r="D1200" s="77">
        <v>0.62638888888888888</v>
      </c>
      <c r="E1200" t="s">
        <v>3314</v>
      </c>
      <c r="F1200">
        <v>60</v>
      </c>
      <c r="G1200" t="s">
        <v>3315</v>
      </c>
      <c r="H1200">
        <v>20000</v>
      </c>
      <c r="I1200" t="s">
        <v>3834</v>
      </c>
      <c r="J1200">
        <v>20000</v>
      </c>
      <c r="K1200">
        <v>90000</v>
      </c>
      <c r="L1200" t="s">
        <v>119</v>
      </c>
      <c r="M1200" t="s">
        <v>27</v>
      </c>
      <c r="N1200" t="s">
        <v>101</v>
      </c>
      <c r="O1200" t="s">
        <v>3803</v>
      </c>
      <c r="P1200" s="5" t="s">
        <v>3318</v>
      </c>
      <c r="Q1200">
        <v>4.5</v>
      </c>
    </row>
    <row r="1201" spans="1:17" x14ac:dyDescent="0.3">
      <c r="A1201" s="4">
        <v>44644</v>
      </c>
      <c r="B1201" t="s">
        <v>4852</v>
      </c>
      <c r="C1201" t="s">
        <v>4800</v>
      </c>
      <c r="D1201" s="77">
        <v>0.64236111111111105</v>
      </c>
      <c r="E1201" t="s">
        <v>3314</v>
      </c>
      <c r="F1201">
        <v>27</v>
      </c>
      <c r="G1201" t="s">
        <v>3315</v>
      </c>
      <c r="H1201">
        <v>20000</v>
      </c>
      <c r="I1201" t="s">
        <v>3834</v>
      </c>
      <c r="J1201">
        <v>20000</v>
      </c>
      <c r="K1201">
        <v>90000</v>
      </c>
      <c r="L1201" t="s">
        <v>114</v>
      </c>
      <c r="M1201" t="s">
        <v>79</v>
      </c>
      <c r="N1201" t="s">
        <v>131</v>
      </c>
      <c r="O1201" t="s">
        <v>3465</v>
      </c>
      <c r="P1201" s="5" t="s">
        <v>3318</v>
      </c>
      <c r="Q1201">
        <v>4.5</v>
      </c>
    </row>
    <row r="1202" spans="1:17" x14ac:dyDescent="0.3">
      <c r="A1202" s="4">
        <v>44644</v>
      </c>
      <c r="B1202" t="s">
        <v>4853</v>
      </c>
      <c r="C1202" t="s">
        <v>3627</v>
      </c>
      <c r="D1202" s="77">
        <v>0.64236111111111105</v>
      </c>
      <c r="E1202" t="s">
        <v>3314</v>
      </c>
      <c r="F1202">
        <v>27</v>
      </c>
      <c r="G1202" t="s">
        <v>3315</v>
      </c>
      <c r="H1202">
        <v>20000</v>
      </c>
      <c r="I1202" t="s">
        <v>3834</v>
      </c>
      <c r="J1202">
        <v>20000</v>
      </c>
      <c r="K1202">
        <v>80000</v>
      </c>
      <c r="L1202" t="s">
        <v>118</v>
      </c>
      <c r="M1202" t="s">
        <v>85</v>
      </c>
      <c r="N1202" t="s">
        <v>109</v>
      </c>
      <c r="O1202" t="s">
        <v>3342</v>
      </c>
      <c r="P1202" s="5" t="s">
        <v>3318</v>
      </c>
      <c r="Q1202">
        <v>4</v>
      </c>
    </row>
    <row r="1203" spans="1:17" x14ac:dyDescent="0.3">
      <c r="A1203" s="4">
        <v>44644</v>
      </c>
      <c r="B1203" t="s">
        <v>4854</v>
      </c>
      <c r="C1203" t="s">
        <v>4855</v>
      </c>
      <c r="D1203" s="77">
        <v>0.64444444444444449</v>
      </c>
      <c r="E1203" t="s">
        <v>3314</v>
      </c>
      <c r="F1203">
        <v>55</v>
      </c>
      <c r="G1203" t="s">
        <v>3315</v>
      </c>
      <c r="H1203">
        <v>20000</v>
      </c>
      <c r="I1203" t="s">
        <v>3834</v>
      </c>
      <c r="J1203">
        <v>20000</v>
      </c>
      <c r="K1203">
        <v>80000</v>
      </c>
      <c r="L1203" t="s">
        <v>118</v>
      </c>
      <c r="M1203" t="s">
        <v>92</v>
      </c>
      <c r="N1203" t="s">
        <v>137</v>
      </c>
      <c r="O1203" t="s">
        <v>3476</v>
      </c>
      <c r="P1203" s="5" t="s">
        <v>3318</v>
      </c>
      <c r="Q1203">
        <v>4</v>
      </c>
    </row>
    <row r="1204" spans="1:17" x14ac:dyDescent="0.3">
      <c r="A1204" s="4">
        <v>44644</v>
      </c>
      <c r="B1204" t="s">
        <v>4856</v>
      </c>
      <c r="C1204" t="s">
        <v>4857</v>
      </c>
      <c r="D1204" s="77">
        <v>0.64583333333333337</v>
      </c>
      <c r="E1204" t="s">
        <v>3314</v>
      </c>
      <c r="F1204">
        <v>53</v>
      </c>
      <c r="G1204" t="s">
        <v>3315</v>
      </c>
      <c r="H1204">
        <v>30000</v>
      </c>
      <c r="I1204" t="s">
        <v>3834</v>
      </c>
      <c r="J1204">
        <v>30000</v>
      </c>
      <c r="K1204">
        <v>120000</v>
      </c>
      <c r="L1204" t="s">
        <v>118</v>
      </c>
      <c r="M1204" t="s">
        <v>24</v>
      </c>
      <c r="N1204" t="s">
        <v>103</v>
      </c>
      <c r="O1204" t="s">
        <v>3585</v>
      </c>
      <c r="P1204" s="5" t="s">
        <v>3318</v>
      </c>
      <c r="Q1204">
        <v>4</v>
      </c>
    </row>
    <row r="1205" spans="1:17" x14ac:dyDescent="0.3">
      <c r="A1205" s="4">
        <v>44644</v>
      </c>
      <c r="B1205" t="s">
        <v>4858</v>
      </c>
      <c r="C1205" t="s">
        <v>4851</v>
      </c>
      <c r="D1205" s="77">
        <v>0.64930555555555558</v>
      </c>
      <c r="E1205" t="s">
        <v>3314</v>
      </c>
      <c r="F1205">
        <v>55</v>
      </c>
      <c r="G1205" t="s">
        <v>3315</v>
      </c>
      <c r="H1205">
        <v>20000</v>
      </c>
      <c r="I1205" t="s">
        <v>3834</v>
      </c>
      <c r="J1205">
        <v>20000</v>
      </c>
      <c r="K1205">
        <v>90000</v>
      </c>
      <c r="L1205" t="s">
        <v>119</v>
      </c>
      <c r="M1205" t="s">
        <v>27</v>
      </c>
      <c r="N1205" t="s">
        <v>101</v>
      </c>
      <c r="O1205" t="s">
        <v>3803</v>
      </c>
      <c r="P1205" s="5" t="s">
        <v>3318</v>
      </c>
      <c r="Q1205">
        <v>4.5</v>
      </c>
    </row>
    <row r="1206" spans="1:17" x14ac:dyDescent="0.3">
      <c r="A1206" s="4">
        <v>44644</v>
      </c>
      <c r="B1206" t="s">
        <v>4859</v>
      </c>
      <c r="C1206" t="s">
        <v>4800</v>
      </c>
      <c r="D1206" s="77">
        <v>0.65</v>
      </c>
      <c r="E1206" t="s">
        <v>3314</v>
      </c>
      <c r="F1206">
        <v>52</v>
      </c>
      <c r="G1206" t="s">
        <v>3315</v>
      </c>
      <c r="H1206">
        <v>20000</v>
      </c>
      <c r="I1206" t="s">
        <v>3834</v>
      </c>
      <c r="J1206">
        <v>20000</v>
      </c>
      <c r="K1206">
        <v>90000</v>
      </c>
      <c r="L1206" t="s">
        <v>114</v>
      </c>
      <c r="M1206" t="s">
        <v>79</v>
      </c>
      <c r="N1206" t="s">
        <v>131</v>
      </c>
      <c r="O1206" t="s">
        <v>3465</v>
      </c>
      <c r="P1206" s="5" t="s">
        <v>3318</v>
      </c>
      <c r="Q1206">
        <v>4.5</v>
      </c>
    </row>
    <row r="1207" spans="1:17" x14ac:dyDescent="0.3">
      <c r="A1207" s="4">
        <v>44644</v>
      </c>
      <c r="B1207" t="s">
        <v>4860</v>
      </c>
      <c r="C1207" t="s">
        <v>4855</v>
      </c>
      <c r="D1207" s="77">
        <v>0.68055555555555547</v>
      </c>
      <c r="E1207" t="s">
        <v>3314</v>
      </c>
      <c r="F1207">
        <v>60</v>
      </c>
      <c r="G1207" t="s">
        <v>3315</v>
      </c>
      <c r="H1207">
        <v>20000</v>
      </c>
      <c r="I1207" t="s">
        <v>3834</v>
      </c>
      <c r="J1207">
        <v>20000</v>
      </c>
      <c r="K1207">
        <v>80000</v>
      </c>
      <c r="L1207" t="s">
        <v>118</v>
      </c>
      <c r="M1207" t="s">
        <v>92</v>
      </c>
      <c r="N1207" t="s">
        <v>137</v>
      </c>
      <c r="O1207" t="s">
        <v>3476</v>
      </c>
      <c r="P1207" s="5" t="s">
        <v>3318</v>
      </c>
      <c r="Q1207">
        <v>4</v>
      </c>
    </row>
    <row r="1208" spans="1:17" x14ac:dyDescent="0.3">
      <c r="A1208" s="4">
        <v>44644</v>
      </c>
      <c r="B1208" t="s">
        <v>4861</v>
      </c>
      <c r="C1208" t="s">
        <v>3627</v>
      </c>
      <c r="D1208" s="77">
        <v>0.6875</v>
      </c>
      <c r="E1208" t="s">
        <v>3314</v>
      </c>
      <c r="F1208">
        <v>32</v>
      </c>
      <c r="G1208" t="s">
        <v>3315</v>
      </c>
      <c r="H1208">
        <v>20000</v>
      </c>
      <c r="I1208" t="s">
        <v>3834</v>
      </c>
      <c r="J1208">
        <v>20000</v>
      </c>
      <c r="K1208">
        <v>80000</v>
      </c>
      <c r="L1208" t="s">
        <v>118</v>
      </c>
      <c r="M1208" t="s">
        <v>85</v>
      </c>
      <c r="N1208" t="s">
        <v>109</v>
      </c>
      <c r="O1208" t="s">
        <v>3342</v>
      </c>
      <c r="P1208" s="5" t="s">
        <v>3318</v>
      </c>
      <c r="Q1208">
        <v>4</v>
      </c>
    </row>
    <row r="1209" spans="1:17" x14ac:dyDescent="0.3">
      <c r="A1209" s="4">
        <v>44644</v>
      </c>
      <c r="B1209" t="s">
        <v>4862</v>
      </c>
      <c r="C1209" t="s">
        <v>4800</v>
      </c>
      <c r="D1209" s="77">
        <v>0.68958333333333333</v>
      </c>
      <c r="E1209" t="s">
        <v>3314</v>
      </c>
      <c r="F1209">
        <v>47</v>
      </c>
      <c r="G1209" t="s">
        <v>3315</v>
      </c>
      <c r="H1209">
        <v>20000</v>
      </c>
      <c r="I1209" t="s">
        <v>3834</v>
      </c>
      <c r="J1209">
        <v>20000</v>
      </c>
      <c r="K1209">
        <v>90000</v>
      </c>
      <c r="L1209" t="s">
        <v>114</v>
      </c>
      <c r="M1209" t="s">
        <v>79</v>
      </c>
      <c r="N1209" t="s">
        <v>131</v>
      </c>
      <c r="O1209" t="s">
        <v>3465</v>
      </c>
      <c r="P1209" s="5" t="s">
        <v>3318</v>
      </c>
      <c r="Q1209">
        <v>4.5</v>
      </c>
    </row>
    <row r="1210" spans="1:17" x14ac:dyDescent="0.3">
      <c r="A1210" s="4">
        <v>44644</v>
      </c>
      <c r="B1210" t="s">
        <v>4863</v>
      </c>
      <c r="C1210" t="s">
        <v>4851</v>
      </c>
      <c r="D1210" s="77">
        <v>0.69027777777777777</v>
      </c>
      <c r="E1210" t="s">
        <v>3314</v>
      </c>
      <c r="F1210">
        <v>61</v>
      </c>
      <c r="G1210" t="s">
        <v>3315</v>
      </c>
      <c r="H1210">
        <v>20000</v>
      </c>
      <c r="I1210" t="s">
        <v>3834</v>
      </c>
      <c r="J1210">
        <v>20000</v>
      </c>
      <c r="K1210">
        <v>80000</v>
      </c>
      <c r="L1210" t="s">
        <v>118</v>
      </c>
      <c r="M1210" t="s">
        <v>93</v>
      </c>
      <c r="N1210" t="s">
        <v>121</v>
      </c>
      <c r="O1210" t="s">
        <v>3781</v>
      </c>
      <c r="P1210" s="5" t="s">
        <v>3318</v>
      </c>
      <c r="Q1210">
        <v>4</v>
      </c>
    </row>
    <row r="1211" spans="1:17" x14ac:dyDescent="0.3">
      <c r="A1211" s="4">
        <v>44644</v>
      </c>
      <c r="B1211" t="s">
        <v>4864</v>
      </c>
      <c r="C1211" t="s">
        <v>4800</v>
      </c>
      <c r="D1211" s="77">
        <v>0.69513888888888886</v>
      </c>
      <c r="E1211" t="s">
        <v>3314</v>
      </c>
      <c r="F1211">
        <v>53</v>
      </c>
      <c r="G1211" t="s">
        <v>3315</v>
      </c>
      <c r="H1211">
        <v>20000</v>
      </c>
      <c r="I1211" t="s">
        <v>3834</v>
      </c>
      <c r="J1211">
        <v>20000</v>
      </c>
      <c r="K1211">
        <v>90000</v>
      </c>
      <c r="L1211" t="s">
        <v>114</v>
      </c>
      <c r="M1211" t="s">
        <v>79</v>
      </c>
      <c r="N1211" t="s">
        <v>131</v>
      </c>
      <c r="O1211" t="s">
        <v>3465</v>
      </c>
      <c r="P1211" s="5" t="s">
        <v>3318</v>
      </c>
      <c r="Q1211">
        <v>4.5</v>
      </c>
    </row>
    <row r="1212" spans="1:17" x14ac:dyDescent="0.3">
      <c r="A1212" s="4">
        <v>44644</v>
      </c>
      <c r="B1212" t="s">
        <v>4865</v>
      </c>
      <c r="C1212" t="s">
        <v>4851</v>
      </c>
      <c r="D1212" s="77">
        <v>0.70347222222222217</v>
      </c>
      <c r="E1212" t="s">
        <v>3314</v>
      </c>
      <c r="F1212">
        <v>42</v>
      </c>
      <c r="G1212" t="s">
        <v>3315</v>
      </c>
      <c r="H1212">
        <v>30000</v>
      </c>
      <c r="I1212" t="s">
        <v>3834</v>
      </c>
      <c r="J1212">
        <v>30000</v>
      </c>
      <c r="K1212">
        <v>120000</v>
      </c>
      <c r="L1212" t="s">
        <v>118</v>
      </c>
      <c r="M1212" t="s">
        <v>93</v>
      </c>
      <c r="N1212" t="s">
        <v>121</v>
      </c>
      <c r="O1212" t="s">
        <v>3781</v>
      </c>
      <c r="P1212" s="5" t="s">
        <v>3318</v>
      </c>
      <c r="Q1212">
        <v>4</v>
      </c>
    </row>
    <row r="1213" spans="1:17" x14ac:dyDescent="0.3">
      <c r="A1213" s="4">
        <v>44644</v>
      </c>
      <c r="B1213" t="s">
        <v>4866</v>
      </c>
      <c r="C1213" t="s">
        <v>4867</v>
      </c>
      <c r="D1213" s="77">
        <v>0.70833333333333337</v>
      </c>
      <c r="E1213" t="s">
        <v>3332</v>
      </c>
      <c r="F1213">
        <v>63</v>
      </c>
      <c r="G1213" t="s">
        <v>3315</v>
      </c>
      <c r="H1213">
        <v>20000</v>
      </c>
      <c r="I1213" t="s">
        <v>3834</v>
      </c>
      <c r="J1213">
        <v>20000</v>
      </c>
      <c r="K1213">
        <v>100000</v>
      </c>
      <c r="L1213" t="s">
        <v>114</v>
      </c>
      <c r="M1213" t="s">
        <v>23</v>
      </c>
      <c r="N1213" t="s">
        <v>99</v>
      </c>
      <c r="O1213" t="s">
        <v>3358</v>
      </c>
      <c r="P1213" s="5" t="s">
        <v>3318</v>
      </c>
      <c r="Q1213">
        <v>5</v>
      </c>
    </row>
    <row r="1214" spans="1:17" x14ac:dyDescent="0.3">
      <c r="A1214" s="4">
        <v>44644</v>
      </c>
      <c r="B1214" t="s">
        <v>4868</v>
      </c>
      <c r="C1214" t="s">
        <v>4867</v>
      </c>
      <c r="D1214" s="77">
        <v>0.74305555555555547</v>
      </c>
      <c r="E1214" t="s">
        <v>3332</v>
      </c>
      <c r="F1214">
        <v>53</v>
      </c>
      <c r="G1214" t="s">
        <v>3315</v>
      </c>
      <c r="H1214">
        <v>30000</v>
      </c>
      <c r="I1214" t="s">
        <v>3834</v>
      </c>
      <c r="J1214">
        <v>30000</v>
      </c>
      <c r="K1214">
        <v>150000</v>
      </c>
      <c r="L1214" t="s">
        <v>114</v>
      </c>
      <c r="M1214" t="s">
        <v>23</v>
      </c>
      <c r="N1214" t="s">
        <v>99</v>
      </c>
      <c r="O1214" t="s">
        <v>3358</v>
      </c>
      <c r="P1214" s="5" t="s">
        <v>3318</v>
      </c>
      <c r="Q1214">
        <v>5</v>
      </c>
    </row>
    <row r="1215" spans="1:17" x14ac:dyDescent="0.3">
      <c r="A1215" s="4">
        <v>44644</v>
      </c>
      <c r="B1215" t="s">
        <v>4869</v>
      </c>
      <c r="C1215" t="s">
        <v>4855</v>
      </c>
      <c r="D1215" s="77">
        <v>0.75694444444444453</v>
      </c>
      <c r="E1215" t="s">
        <v>3314</v>
      </c>
      <c r="F1215">
        <v>29</v>
      </c>
      <c r="G1215" t="s">
        <v>3336</v>
      </c>
      <c r="H1215">
        <v>20000</v>
      </c>
      <c r="I1215" t="s">
        <v>3336</v>
      </c>
      <c r="J1215">
        <v>20000</v>
      </c>
      <c r="K1215">
        <v>90000</v>
      </c>
      <c r="L1215" t="s">
        <v>114</v>
      </c>
      <c r="M1215" t="s">
        <v>31</v>
      </c>
      <c r="N1215" t="s">
        <v>105</v>
      </c>
      <c r="O1215" t="s">
        <v>3339</v>
      </c>
      <c r="P1215" s="5" t="s">
        <v>3318</v>
      </c>
      <c r="Q1215">
        <v>4.5</v>
      </c>
    </row>
    <row r="1216" spans="1:17" x14ac:dyDescent="0.3">
      <c r="A1216" s="4">
        <v>44644</v>
      </c>
      <c r="B1216" t="s">
        <v>4870</v>
      </c>
      <c r="C1216" t="s">
        <v>4871</v>
      </c>
      <c r="D1216" s="77">
        <v>0.76041666666666663</v>
      </c>
      <c r="E1216" t="s">
        <v>3314</v>
      </c>
      <c r="F1216">
        <v>29</v>
      </c>
      <c r="G1216" t="s">
        <v>3315</v>
      </c>
      <c r="H1216">
        <v>50000</v>
      </c>
      <c r="I1216" t="s">
        <v>3834</v>
      </c>
      <c r="J1216">
        <v>50000</v>
      </c>
      <c r="K1216">
        <v>200000</v>
      </c>
      <c r="L1216" t="s">
        <v>118</v>
      </c>
      <c r="M1216" t="s">
        <v>91</v>
      </c>
      <c r="N1216" t="s">
        <v>136</v>
      </c>
      <c r="O1216" t="s">
        <v>3422</v>
      </c>
      <c r="P1216" s="5" t="s">
        <v>3318</v>
      </c>
      <c r="Q1216">
        <v>4</v>
      </c>
    </row>
    <row r="1217" spans="1:17" x14ac:dyDescent="0.3">
      <c r="A1217" s="4">
        <v>44644</v>
      </c>
      <c r="B1217" t="s">
        <v>4872</v>
      </c>
      <c r="C1217" t="s">
        <v>4867</v>
      </c>
      <c r="D1217" s="77">
        <v>0.76250000000000007</v>
      </c>
      <c r="E1217" t="s">
        <v>3332</v>
      </c>
      <c r="F1217">
        <v>37</v>
      </c>
      <c r="G1217" t="s">
        <v>3315</v>
      </c>
      <c r="H1217">
        <v>20000</v>
      </c>
      <c r="I1217" t="s">
        <v>3834</v>
      </c>
      <c r="J1217">
        <v>20000</v>
      </c>
      <c r="K1217">
        <v>100000</v>
      </c>
      <c r="L1217" t="s">
        <v>113</v>
      </c>
      <c r="M1217" t="s">
        <v>22</v>
      </c>
      <c r="N1217" t="s">
        <v>98</v>
      </c>
      <c r="O1217" t="s">
        <v>3437</v>
      </c>
      <c r="P1217" s="5" t="s">
        <v>3318</v>
      </c>
      <c r="Q1217">
        <v>5</v>
      </c>
    </row>
    <row r="1218" spans="1:17" x14ac:dyDescent="0.3">
      <c r="A1218" s="4">
        <v>44644</v>
      </c>
      <c r="B1218" t="s">
        <v>4873</v>
      </c>
      <c r="C1218" t="s">
        <v>4845</v>
      </c>
      <c r="D1218" s="77">
        <v>0.76458333333333339</v>
      </c>
      <c r="E1218" t="s">
        <v>3314</v>
      </c>
      <c r="F1218">
        <v>61</v>
      </c>
      <c r="G1218" t="s">
        <v>3315</v>
      </c>
      <c r="H1218">
        <v>20000</v>
      </c>
      <c r="I1218" t="s">
        <v>3834</v>
      </c>
      <c r="J1218">
        <v>20000</v>
      </c>
      <c r="K1218">
        <v>80000</v>
      </c>
      <c r="L1218" t="s">
        <v>118</v>
      </c>
      <c r="M1218" t="s">
        <v>94</v>
      </c>
      <c r="N1218" t="s">
        <v>138</v>
      </c>
      <c r="O1218" t="s">
        <v>3775</v>
      </c>
      <c r="P1218" s="5" t="s">
        <v>3318</v>
      </c>
      <c r="Q1218">
        <v>4</v>
      </c>
    </row>
    <row r="1219" spans="1:17" x14ac:dyDescent="0.3">
      <c r="A1219" s="4">
        <v>44644</v>
      </c>
      <c r="B1219" t="s">
        <v>4874</v>
      </c>
      <c r="C1219" t="s">
        <v>4776</v>
      </c>
      <c r="D1219" s="77">
        <v>0.78819444444444453</v>
      </c>
      <c r="E1219" t="s">
        <v>3314</v>
      </c>
      <c r="F1219">
        <v>43</v>
      </c>
      <c r="G1219" t="s">
        <v>3336</v>
      </c>
      <c r="H1219">
        <v>20000</v>
      </c>
      <c r="I1219" t="s">
        <v>3336</v>
      </c>
      <c r="J1219">
        <v>20000</v>
      </c>
      <c r="K1219">
        <v>80000</v>
      </c>
      <c r="L1219" t="s">
        <v>118</v>
      </c>
      <c r="M1219" t="s">
        <v>90</v>
      </c>
      <c r="N1219" t="s">
        <v>110</v>
      </c>
      <c r="O1219" t="s">
        <v>3455</v>
      </c>
      <c r="P1219" s="5" t="s">
        <v>3318</v>
      </c>
      <c r="Q1219">
        <v>4</v>
      </c>
    </row>
    <row r="1220" spans="1:17" x14ac:dyDescent="0.3">
      <c r="A1220" s="4">
        <v>44644</v>
      </c>
      <c r="B1220" t="s">
        <v>4875</v>
      </c>
      <c r="C1220" t="s">
        <v>4845</v>
      </c>
      <c r="D1220" s="77">
        <v>0.81527777777777777</v>
      </c>
      <c r="E1220" t="s">
        <v>3314</v>
      </c>
      <c r="F1220">
        <v>39</v>
      </c>
      <c r="G1220" t="s">
        <v>3315</v>
      </c>
      <c r="H1220">
        <v>20000</v>
      </c>
      <c r="I1220" t="s">
        <v>3834</v>
      </c>
      <c r="J1220">
        <v>20000</v>
      </c>
      <c r="K1220">
        <v>90000</v>
      </c>
      <c r="L1220" t="s">
        <v>116</v>
      </c>
      <c r="M1220" t="s">
        <v>77</v>
      </c>
      <c r="N1220" t="s">
        <v>133</v>
      </c>
      <c r="O1220" t="s">
        <v>3376</v>
      </c>
      <c r="P1220" s="5" t="s">
        <v>3318</v>
      </c>
      <c r="Q1220">
        <v>4.5</v>
      </c>
    </row>
    <row r="1221" spans="1:17" x14ac:dyDescent="0.3">
      <c r="A1221" s="4">
        <v>44644</v>
      </c>
      <c r="B1221" t="s">
        <v>4876</v>
      </c>
      <c r="C1221" t="s">
        <v>4877</v>
      </c>
      <c r="D1221" s="77">
        <v>0.81597222222222221</v>
      </c>
      <c r="E1221" t="s">
        <v>3314</v>
      </c>
      <c r="F1221">
        <v>57</v>
      </c>
      <c r="G1221" t="s">
        <v>3315</v>
      </c>
      <c r="H1221">
        <v>20000</v>
      </c>
      <c r="I1221" t="s">
        <v>3834</v>
      </c>
      <c r="J1221">
        <v>20000</v>
      </c>
      <c r="K1221">
        <v>80000</v>
      </c>
      <c r="L1221" t="s">
        <v>118</v>
      </c>
      <c r="M1221" t="s">
        <v>96</v>
      </c>
      <c r="N1221" t="s">
        <v>140</v>
      </c>
      <c r="O1221" t="s">
        <v>4105</v>
      </c>
      <c r="P1221" s="5" t="s">
        <v>3318</v>
      </c>
      <c r="Q1221">
        <v>4</v>
      </c>
    </row>
    <row r="1222" spans="1:17" x14ac:dyDescent="0.3">
      <c r="A1222" s="4">
        <v>44645</v>
      </c>
      <c r="B1222" t="s">
        <v>4878</v>
      </c>
      <c r="C1222" t="s">
        <v>4800</v>
      </c>
      <c r="D1222" s="77">
        <v>0.44375000000000003</v>
      </c>
      <c r="E1222" t="s">
        <v>3314</v>
      </c>
      <c r="F1222">
        <v>47</v>
      </c>
      <c r="G1222" t="s">
        <v>3315</v>
      </c>
      <c r="H1222">
        <v>20000</v>
      </c>
      <c r="I1222" t="s">
        <v>3834</v>
      </c>
      <c r="J1222">
        <v>20000</v>
      </c>
      <c r="K1222">
        <v>90000</v>
      </c>
      <c r="L1222" t="s">
        <v>114</v>
      </c>
      <c r="M1222" t="s">
        <v>79</v>
      </c>
      <c r="N1222" t="s">
        <v>131</v>
      </c>
      <c r="O1222" t="s">
        <v>3465</v>
      </c>
      <c r="P1222" s="5" t="s">
        <v>3318</v>
      </c>
      <c r="Q1222">
        <v>4.5</v>
      </c>
    </row>
    <row r="1223" spans="1:17" x14ac:dyDescent="0.3">
      <c r="A1223" s="4">
        <v>44645</v>
      </c>
      <c r="B1223" t="s">
        <v>4879</v>
      </c>
      <c r="C1223" t="s">
        <v>4800</v>
      </c>
      <c r="D1223" s="77">
        <v>0.45694444444444443</v>
      </c>
      <c r="E1223" t="s">
        <v>3314</v>
      </c>
      <c r="F1223">
        <v>39</v>
      </c>
      <c r="G1223" t="s">
        <v>3315</v>
      </c>
      <c r="H1223">
        <v>20000</v>
      </c>
      <c r="I1223" t="s">
        <v>3834</v>
      </c>
      <c r="J1223">
        <v>20000</v>
      </c>
      <c r="K1223">
        <v>90000</v>
      </c>
      <c r="L1223" t="s">
        <v>114</v>
      </c>
      <c r="M1223" t="s">
        <v>79</v>
      </c>
      <c r="N1223" t="s">
        <v>131</v>
      </c>
      <c r="O1223" t="s">
        <v>3465</v>
      </c>
      <c r="P1223" s="5" t="s">
        <v>3318</v>
      </c>
      <c r="Q1223">
        <v>4.5</v>
      </c>
    </row>
    <row r="1224" spans="1:17" x14ac:dyDescent="0.3">
      <c r="A1224" s="4">
        <v>44645</v>
      </c>
      <c r="B1224" t="s">
        <v>4880</v>
      </c>
      <c r="C1224" t="s">
        <v>4487</v>
      </c>
      <c r="D1224" s="77">
        <v>0.4694444444444445</v>
      </c>
      <c r="E1224" t="s">
        <v>3332</v>
      </c>
      <c r="F1224">
        <v>63</v>
      </c>
      <c r="G1224" t="s">
        <v>3315</v>
      </c>
      <c r="H1224">
        <v>30000</v>
      </c>
      <c r="I1224" t="s">
        <v>3834</v>
      </c>
      <c r="J1224">
        <v>30000</v>
      </c>
      <c r="K1224">
        <v>150000</v>
      </c>
      <c r="L1224" t="s">
        <v>116</v>
      </c>
      <c r="M1224" t="s">
        <v>111</v>
      </c>
      <c r="N1224" t="s">
        <v>112</v>
      </c>
      <c r="O1224" t="s">
        <v>3345</v>
      </c>
      <c r="P1224" s="5" t="s">
        <v>3318</v>
      </c>
      <c r="Q1224">
        <v>5</v>
      </c>
    </row>
    <row r="1225" spans="1:17" x14ac:dyDescent="0.3">
      <c r="A1225" s="4">
        <v>44645</v>
      </c>
      <c r="B1225" t="s">
        <v>4881</v>
      </c>
      <c r="C1225" t="s">
        <v>4847</v>
      </c>
      <c r="D1225" s="77">
        <v>0.48749999999999999</v>
      </c>
      <c r="E1225" t="s">
        <v>3314</v>
      </c>
      <c r="F1225">
        <v>30</v>
      </c>
      <c r="G1225" t="s">
        <v>3315</v>
      </c>
      <c r="H1225">
        <v>30000</v>
      </c>
      <c r="I1225" t="s">
        <v>3834</v>
      </c>
      <c r="J1225">
        <v>30000</v>
      </c>
      <c r="K1225">
        <v>135000</v>
      </c>
      <c r="L1225" t="s">
        <v>116</v>
      </c>
      <c r="M1225" t="s">
        <v>78</v>
      </c>
      <c r="N1225" t="s">
        <v>100</v>
      </c>
      <c r="O1225" t="s">
        <v>4472</v>
      </c>
      <c r="P1225" s="5" t="s">
        <v>3318</v>
      </c>
      <c r="Q1225">
        <v>4.5</v>
      </c>
    </row>
    <row r="1226" spans="1:17" x14ac:dyDescent="0.3">
      <c r="A1226" s="4">
        <v>44645</v>
      </c>
      <c r="B1226" t="s">
        <v>4882</v>
      </c>
      <c r="C1226" t="s">
        <v>3454</v>
      </c>
      <c r="D1226" s="77">
        <v>0.49305555555555558</v>
      </c>
      <c r="E1226" t="s">
        <v>3314</v>
      </c>
      <c r="F1226">
        <v>45</v>
      </c>
      <c r="G1226" t="s">
        <v>3889</v>
      </c>
      <c r="H1226">
        <v>30000</v>
      </c>
      <c r="I1226" t="s">
        <v>3889</v>
      </c>
      <c r="J1226">
        <v>30000</v>
      </c>
      <c r="K1226">
        <v>120000</v>
      </c>
      <c r="L1226" t="s">
        <v>118</v>
      </c>
      <c r="M1226" t="s">
        <v>94</v>
      </c>
      <c r="N1226" t="s">
        <v>138</v>
      </c>
      <c r="O1226" t="s">
        <v>3775</v>
      </c>
      <c r="P1226" s="5" t="s">
        <v>3318</v>
      </c>
      <c r="Q1226">
        <v>4</v>
      </c>
    </row>
    <row r="1227" spans="1:17" x14ac:dyDescent="0.3">
      <c r="A1227" s="4">
        <v>44645</v>
      </c>
      <c r="B1227" t="s">
        <v>4883</v>
      </c>
      <c r="C1227" t="s">
        <v>4487</v>
      </c>
      <c r="D1227" s="77">
        <v>0.51527777777777783</v>
      </c>
      <c r="E1227" t="s">
        <v>3332</v>
      </c>
      <c r="F1227">
        <v>26</v>
      </c>
      <c r="G1227" t="s">
        <v>3315</v>
      </c>
      <c r="H1227">
        <v>30000</v>
      </c>
      <c r="I1227" t="s">
        <v>3834</v>
      </c>
      <c r="J1227">
        <v>30000</v>
      </c>
      <c r="K1227">
        <v>150000</v>
      </c>
      <c r="L1227" t="s">
        <v>116</v>
      </c>
      <c r="M1227" t="s">
        <v>111</v>
      </c>
      <c r="N1227" t="s">
        <v>112</v>
      </c>
      <c r="O1227" t="s">
        <v>3345</v>
      </c>
      <c r="P1227" s="5" t="s">
        <v>3318</v>
      </c>
      <c r="Q1227">
        <v>5</v>
      </c>
    </row>
    <row r="1228" spans="1:17" x14ac:dyDescent="0.3">
      <c r="A1228" s="4">
        <v>44645</v>
      </c>
      <c r="B1228" t="s">
        <v>4884</v>
      </c>
      <c r="C1228" t="s">
        <v>4487</v>
      </c>
      <c r="D1228" s="77">
        <v>0.51527777777777783</v>
      </c>
      <c r="E1228" t="s">
        <v>3332</v>
      </c>
      <c r="F1228">
        <v>26</v>
      </c>
      <c r="G1228" t="s">
        <v>3315</v>
      </c>
      <c r="H1228">
        <v>20000</v>
      </c>
      <c r="I1228" t="s">
        <v>3834</v>
      </c>
      <c r="J1228">
        <v>20000</v>
      </c>
      <c r="K1228">
        <v>80000</v>
      </c>
      <c r="L1228" t="s">
        <v>118</v>
      </c>
      <c r="M1228" t="s">
        <v>145</v>
      </c>
      <c r="N1228" t="s">
        <v>146</v>
      </c>
      <c r="O1228" t="s">
        <v>3333</v>
      </c>
      <c r="P1228" s="5" t="s">
        <v>3318</v>
      </c>
      <c r="Q1228">
        <v>4</v>
      </c>
    </row>
    <row r="1229" spans="1:17" x14ac:dyDescent="0.3">
      <c r="A1229" s="4">
        <v>44645</v>
      </c>
      <c r="B1229" t="s">
        <v>4885</v>
      </c>
      <c r="C1229" t="s">
        <v>4851</v>
      </c>
      <c r="D1229" s="77">
        <v>0.52777777777777779</v>
      </c>
      <c r="E1229" t="s">
        <v>3314</v>
      </c>
      <c r="F1229">
        <v>72</v>
      </c>
      <c r="G1229" t="s">
        <v>3315</v>
      </c>
      <c r="H1229">
        <v>20000</v>
      </c>
      <c r="I1229" t="s">
        <v>3834</v>
      </c>
      <c r="J1229">
        <v>20000</v>
      </c>
      <c r="K1229">
        <v>80000</v>
      </c>
      <c r="L1229" t="s">
        <v>118</v>
      </c>
      <c r="M1229" t="s">
        <v>93</v>
      </c>
      <c r="N1229" t="s">
        <v>121</v>
      </c>
      <c r="O1229" t="s">
        <v>3781</v>
      </c>
      <c r="P1229" s="5" t="s">
        <v>3318</v>
      </c>
      <c r="Q1229">
        <v>4</v>
      </c>
    </row>
    <row r="1230" spans="1:17" x14ac:dyDescent="0.3">
      <c r="A1230" s="4">
        <v>44645</v>
      </c>
      <c r="B1230" t="s">
        <v>4886</v>
      </c>
      <c r="C1230" t="s">
        <v>4847</v>
      </c>
      <c r="D1230" s="77">
        <v>0.54097222222222219</v>
      </c>
      <c r="E1230" t="s">
        <v>3314</v>
      </c>
      <c r="F1230">
        <v>54</v>
      </c>
      <c r="G1230" t="s">
        <v>3315</v>
      </c>
      <c r="H1230">
        <v>20000</v>
      </c>
      <c r="I1230" t="s">
        <v>3834</v>
      </c>
      <c r="J1230">
        <v>20000</v>
      </c>
      <c r="K1230">
        <v>80000</v>
      </c>
      <c r="L1230" t="s">
        <v>118</v>
      </c>
      <c r="M1230" t="s">
        <v>88</v>
      </c>
      <c r="N1230" t="s">
        <v>117</v>
      </c>
      <c r="O1230" t="s">
        <v>4475</v>
      </c>
      <c r="P1230" s="5" t="s">
        <v>3318</v>
      </c>
      <c r="Q1230">
        <v>4</v>
      </c>
    </row>
    <row r="1231" spans="1:17" x14ac:dyDescent="0.3">
      <c r="A1231" s="4">
        <v>44645</v>
      </c>
      <c r="B1231" t="s">
        <v>4887</v>
      </c>
      <c r="C1231" t="s">
        <v>4888</v>
      </c>
      <c r="D1231" s="77">
        <v>0.55902777777777779</v>
      </c>
      <c r="E1231" t="s">
        <v>3314</v>
      </c>
      <c r="F1231">
        <v>52</v>
      </c>
      <c r="G1231" t="s">
        <v>3315</v>
      </c>
      <c r="H1231">
        <v>20000</v>
      </c>
      <c r="I1231" t="s">
        <v>3834</v>
      </c>
      <c r="J1231">
        <v>20000</v>
      </c>
      <c r="K1231">
        <v>80000</v>
      </c>
      <c r="L1231" t="s">
        <v>118</v>
      </c>
      <c r="M1231" t="s">
        <v>92</v>
      </c>
      <c r="N1231" t="s">
        <v>137</v>
      </c>
      <c r="O1231" t="s">
        <v>3476</v>
      </c>
      <c r="P1231" s="5" t="s">
        <v>3318</v>
      </c>
      <c r="Q1231">
        <v>4</v>
      </c>
    </row>
    <row r="1232" spans="1:17" x14ac:dyDescent="0.3">
      <c r="A1232" s="4">
        <v>44645</v>
      </c>
      <c r="B1232" t="s">
        <v>4889</v>
      </c>
      <c r="C1232" t="s">
        <v>3608</v>
      </c>
      <c r="D1232" s="77">
        <v>0.56597222222222221</v>
      </c>
      <c r="E1232" t="s">
        <v>3314</v>
      </c>
      <c r="F1232">
        <v>74</v>
      </c>
      <c r="G1232" t="s">
        <v>4890</v>
      </c>
      <c r="H1232">
        <v>20000</v>
      </c>
      <c r="I1232" t="s">
        <v>4890</v>
      </c>
      <c r="J1232">
        <v>20000</v>
      </c>
      <c r="K1232">
        <v>90000</v>
      </c>
      <c r="L1232" t="s">
        <v>116</v>
      </c>
      <c r="M1232" t="s">
        <v>65</v>
      </c>
      <c r="N1232" t="s">
        <v>102</v>
      </c>
      <c r="O1232" t="s">
        <v>3506</v>
      </c>
      <c r="P1232" s="5" t="s">
        <v>3318</v>
      </c>
      <c r="Q1232">
        <v>4.5</v>
      </c>
    </row>
    <row r="1233" spans="1:17" x14ac:dyDescent="0.3">
      <c r="A1233" s="4">
        <v>44645</v>
      </c>
      <c r="B1233" t="s">
        <v>4891</v>
      </c>
      <c r="C1233" t="s">
        <v>4851</v>
      </c>
      <c r="D1233" s="77">
        <v>0.56944444444444442</v>
      </c>
      <c r="E1233" t="s">
        <v>3314</v>
      </c>
      <c r="F1233">
        <v>52</v>
      </c>
      <c r="G1233" t="s">
        <v>3315</v>
      </c>
      <c r="H1233">
        <v>20000</v>
      </c>
      <c r="I1233" t="s">
        <v>3834</v>
      </c>
      <c r="J1233">
        <v>20000</v>
      </c>
      <c r="K1233">
        <v>90000</v>
      </c>
      <c r="L1233" t="s">
        <v>119</v>
      </c>
      <c r="M1233" t="s">
        <v>27</v>
      </c>
      <c r="N1233" t="s">
        <v>101</v>
      </c>
      <c r="O1233" t="s">
        <v>3803</v>
      </c>
      <c r="P1233" s="5" t="s">
        <v>3318</v>
      </c>
      <c r="Q1233">
        <v>4.5</v>
      </c>
    </row>
    <row r="1234" spans="1:17" x14ac:dyDescent="0.3">
      <c r="A1234" s="4">
        <v>44645</v>
      </c>
      <c r="B1234" t="s">
        <v>4892</v>
      </c>
      <c r="C1234" t="s">
        <v>3460</v>
      </c>
      <c r="D1234" s="77">
        <v>0.57291666666666663</v>
      </c>
      <c r="E1234" t="s">
        <v>3314</v>
      </c>
      <c r="F1234">
        <v>31</v>
      </c>
      <c r="G1234" t="s">
        <v>3315</v>
      </c>
      <c r="H1234">
        <v>20000</v>
      </c>
      <c r="I1234" t="s">
        <v>3834</v>
      </c>
      <c r="J1234">
        <v>20000</v>
      </c>
      <c r="K1234">
        <v>90000</v>
      </c>
      <c r="L1234" t="s">
        <v>119</v>
      </c>
      <c r="M1234" t="s">
        <v>29</v>
      </c>
      <c r="N1234" t="s">
        <v>104</v>
      </c>
      <c r="O1234" t="s">
        <v>3457</v>
      </c>
      <c r="P1234" s="5" t="s">
        <v>3318</v>
      </c>
      <c r="Q1234">
        <v>4.5</v>
      </c>
    </row>
    <row r="1235" spans="1:17" x14ac:dyDescent="0.3">
      <c r="A1235" s="4">
        <v>44645</v>
      </c>
      <c r="B1235" t="s">
        <v>4893</v>
      </c>
      <c r="C1235" t="s">
        <v>4894</v>
      </c>
      <c r="D1235" s="77">
        <v>0.58333333333333337</v>
      </c>
      <c r="E1235" t="s">
        <v>3332</v>
      </c>
      <c r="F1235">
        <v>21</v>
      </c>
      <c r="G1235" t="s">
        <v>3575</v>
      </c>
      <c r="H1235">
        <v>50000</v>
      </c>
      <c r="I1235" t="s">
        <v>3575</v>
      </c>
      <c r="J1235">
        <v>50000</v>
      </c>
      <c r="K1235">
        <v>250000</v>
      </c>
      <c r="L1235" t="s">
        <v>113</v>
      </c>
      <c r="M1235" t="s">
        <v>22</v>
      </c>
      <c r="N1235" t="s">
        <v>98</v>
      </c>
      <c r="O1235" t="s">
        <v>3437</v>
      </c>
      <c r="P1235" s="5" t="s">
        <v>3318</v>
      </c>
      <c r="Q1235">
        <v>5</v>
      </c>
    </row>
    <row r="1236" spans="1:17" x14ac:dyDescent="0.3">
      <c r="A1236" s="4">
        <v>44645</v>
      </c>
      <c r="B1236" t="s">
        <v>4895</v>
      </c>
      <c r="C1236" t="s">
        <v>4851</v>
      </c>
      <c r="D1236" s="77">
        <v>0.60763888888888895</v>
      </c>
      <c r="E1236" t="s">
        <v>3314</v>
      </c>
      <c r="F1236">
        <v>63</v>
      </c>
      <c r="G1236" t="s">
        <v>3315</v>
      </c>
      <c r="H1236">
        <v>20000</v>
      </c>
      <c r="I1236" t="s">
        <v>3834</v>
      </c>
      <c r="J1236">
        <v>20000</v>
      </c>
      <c r="K1236">
        <v>90000</v>
      </c>
      <c r="L1236" t="s">
        <v>119</v>
      </c>
      <c r="M1236" t="s">
        <v>27</v>
      </c>
      <c r="N1236" t="s">
        <v>101</v>
      </c>
      <c r="O1236" t="s">
        <v>3803</v>
      </c>
      <c r="P1236" s="5" t="s">
        <v>3318</v>
      </c>
      <c r="Q1236">
        <v>4.5</v>
      </c>
    </row>
    <row r="1237" spans="1:17" x14ac:dyDescent="0.3">
      <c r="A1237" s="4">
        <v>44645</v>
      </c>
      <c r="B1237" t="s">
        <v>4896</v>
      </c>
      <c r="C1237" t="s">
        <v>3414</v>
      </c>
      <c r="D1237" s="77">
        <v>0.62013888888888891</v>
      </c>
      <c r="E1237" t="s">
        <v>3314</v>
      </c>
      <c r="F1237">
        <v>48</v>
      </c>
      <c r="G1237" t="s">
        <v>3315</v>
      </c>
      <c r="H1237">
        <v>20000</v>
      </c>
      <c r="I1237" t="s">
        <v>3834</v>
      </c>
      <c r="J1237">
        <v>20000</v>
      </c>
      <c r="K1237">
        <v>90000</v>
      </c>
      <c r="L1237" t="s">
        <v>114</v>
      </c>
      <c r="M1237" t="s">
        <v>30</v>
      </c>
      <c r="N1237" t="s">
        <v>106</v>
      </c>
      <c r="O1237" t="s">
        <v>3379</v>
      </c>
      <c r="P1237" s="5" t="s">
        <v>3318</v>
      </c>
      <c r="Q1237">
        <v>4.5</v>
      </c>
    </row>
    <row r="1238" spans="1:17" x14ac:dyDescent="0.3">
      <c r="A1238" s="4">
        <v>44645</v>
      </c>
      <c r="B1238" t="s">
        <v>4897</v>
      </c>
      <c r="C1238" t="s">
        <v>4516</v>
      </c>
      <c r="D1238" s="77">
        <v>0.63124999999999998</v>
      </c>
      <c r="E1238" t="s">
        <v>3314</v>
      </c>
      <c r="F1238">
        <v>52</v>
      </c>
      <c r="G1238" t="s">
        <v>3315</v>
      </c>
      <c r="H1238">
        <v>20000</v>
      </c>
      <c r="I1238" t="s">
        <v>3834</v>
      </c>
      <c r="J1238">
        <v>20000</v>
      </c>
      <c r="K1238">
        <v>90000</v>
      </c>
      <c r="L1238" t="s">
        <v>116</v>
      </c>
      <c r="M1238" t="s">
        <v>76</v>
      </c>
      <c r="N1238" t="s">
        <v>107</v>
      </c>
      <c r="O1238" t="s">
        <v>3321</v>
      </c>
      <c r="P1238" s="5" t="s">
        <v>3318</v>
      </c>
      <c r="Q1238">
        <v>4.5</v>
      </c>
    </row>
    <row r="1239" spans="1:17" x14ac:dyDescent="0.3">
      <c r="A1239" s="4">
        <v>44645</v>
      </c>
      <c r="B1239" t="s">
        <v>4898</v>
      </c>
      <c r="C1239" t="s">
        <v>4888</v>
      </c>
      <c r="D1239" s="77">
        <v>0.6479166666666667</v>
      </c>
      <c r="E1239" t="s">
        <v>3314</v>
      </c>
      <c r="F1239">
        <v>66</v>
      </c>
      <c r="G1239" t="s">
        <v>3315</v>
      </c>
      <c r="H1239">
        <v>20000</v>
      </c>
      <c r="I1239" t="s">
        <v>3834</v>
      </c>
      <c r="J1239">
        <v>20000</v>
      </c>
      <c r="K1239">
        <v>80000</v>
      </c>
      <c r="L1239" t="s">
        <v>118</v>
      </c>
      <c r="M1239" t="s">
        <v>92</v>
      </c>
      <c r="N1239" t="s">
        <v>137</v>
      </c>
      <c r="O1239" t="s">
        <v>3476</v>
      </c>
      <c r="P1239" s="5" t="s">
        <v>3318</v>
      </c>
      <c r="Q1239">
        <v>4</v>
      </c>
    </row>
    <row r="1240" spans="1:17" x14ac:dyDescent="0.3">
      <c r="A1240" s="4">
        <v>44645</v>
      </c>
      <c r="B1240" t="s">
        <v>4899</v>
      </c>
      <c r="C1240" t="s">
        <v>3414</v>
      </c>
      <c r="D1240" s="77">
        <v>0.65138888888888891</v>
      </c>
      <c r="E1240" t="s">
        <v>3314</v>
      </c>
      <c r="F1240">
        <v>49</v>
      </c>
      <c r="G1240" t="s">
        <v>3315</v>
      </c>
      <c r="H1240">
        <v>20000</v>
      </c>
      <c r="I1240" t="s">
        <v>3834</v>
      </c>
      <c r="J1240">
        <v>20000</v>
      </c>
      <c r="K1240">
        <v>90000</v>
      </c>
      <c r="L1240" t="s">
        <v>116</v>
      </c>
      <c r="M1240" t="s">
        <v>84</v>
      </c>
      <c r="N1240" t="s">
        <v>108</v>
      </c>
      <c r="O1240" t="s">
        <v>3366</v>
      </c>
      <c r="P1240" s="5" t="s">
        <v>3318</v>
      </c>
      <c r="Q1240">
        <v>4.5</v>
      </c>
    </row>
    <row r="1241" spans="1:17" x14ac:dyDescent="0.3">
      <c r="A1241" s="4">
        <v>44645</v>
      </c>
      <c r="B1241" t="s">
        <v>4900</v>
      </c>
      <c r="C1241" t="s">
        <v>4855</v>
      </c>
      <c r="D1241" s="77">
        <v>0.65277777777777779</v>
      </c>
      <c r="E1241" t="s">
        <v>3314</v>
      </c>
      <c r="F1241">
        <v>54</v>
      </c>
      <c r="G1241" t="s">
        <v>3315</v>
      </c>
      <c r="H1241">
        <v>20000</v>
      </c>
      <c r="I1241" t="s">
        <v>3834</v>
      </c>
      <c r="J1241">
        <v>20000</v>
      </c>
      <c r="K1241">
        <v>80000</v>
      </c>
      <c r="L1241" t="s">
        <v>118</v>
      </c>
      <c r="M1241" t="s">
        <v>96</v>
      </c>
      <c r="N1241" t="s">
        <v>140</v>
      </c>
      <c r="O1241" t="s">
        <v>4105</v>
      </c>
      <c r="P1241" s="5" t="s">
        <v>3318</v>
      </c>
      <c r="Q1241">
        <v>4</v>
      </c>
    </row>
    <row r="1242" spans="1:17" x14ac:dyDescent="0.3">
      <c r="A1242" s="4">
        <v>44645</v>
      </c>
      <c r="B1242" t="s">
        <v>4901</v>
      </c>
      <c r="C1242" t="s">
        <v>4851</v>
      </c>
      <c r="D1242" s="77">
        <v>0.66111111111111109</v>
      </c>
      <c r="E1242" t="s">
        <v>3314</v>
      </c>
      <c r="F1242">
        <v>58</v>
      </c>
      <c r="G1242" t="s">
        <v>3315</v>
      </c>
      <c r="H1242">
        <v>20000</v>
      </c>
      <c r="I1242" t="s">
        <v>3834</v>
      </c>
      <c r="J1242">
        <v>20000</v>
      </c>
      <c r="K1242">
        <v>90000</v>
      </c>
      <c r="L1242" t="s">
        <v>119</v>
      </c>
      <c r="M1242" t="s">
        <v>27</v>
      </c>
      <c r="N1242" t="s">
        <v>101</v>
      </c>
      <c r="O1242" t="s">
        <v>3803</v>
      </c>
      <c r="P1242" s="5" t="s">
        <v>3318</v>
      </c>
      <c r="Q1242">
        <v>4.5</v>
      </c>
    </row>
    <row r="1243" spans="1:17" x14ac:dyDescent="0.3">
      <c r="A1243" s="4">
        <v>44645</v>
      </c>
      <c r="B1243" t="s">
        <v>4902</v>
      </c>
      <c r="C1243" t="s">
        <v>3414</v>
      </c>
      <c r="D1243" s="77">
        <v>0.6875</v>
      </c>
      <c r="E1243" t="s">
        <v>3314</v>
      </c>
      <c r="F1243">
        <v>55</v>
      </c>
      <c r="G1243" t="s">
        <v>3315</v>
      </c>
      <c r="H1243">
        <v>30000</v>
      </c>
      <c r="I1243" t="s">
        <v>3834</v>
      </c>
      <c r="J1243">
        <v>30000</v>
      </c>
      <c r="K1243">
        <v>120000</v>
      </c>
      <c r="L1243" t="s">
        <v>118</v>
      </c>
      <c r="M1243" t="s">
        <v>85</v>
      </c>
      <c r="N1243" t="s">
        <v>109</v>
      </c>
      <c r="O1243" t="s">
        <v>3342</v>
      </c>
      <c r="P1243" s="5" t="s">
        <v>3318</v>
      </c>
      <c r="Q1243">
        <v>4</v>
      </c>
    </row>
    <row r="1244" spans="1:17" x14ac:dyDescent="0.3">
      <c r="A1244" s="4">
        <v>44645</v>
      </c>
      <c r="B1244" t="s">
        <v>4903</v>
      </c>
      <c r="C1244" t="s">
        <v>4115</v>
      </c>
      <c r="D1244" s="77">
        <v>0.69236111111111109</v>
      </c>
      <c r="E1244" t="s">
        <v>3314</v>
      </c>
      <c r="F1244">
        <v>52</v>
      </c>
      <c r="G1244" t="s">
        <v>3315</v>
      </c>
      <c r="H1244">
        <v>20000</v>
      </c>
      <c r="I1244" t="s">
        <v>3834</v>
      </c>
      <c r="J1244">
        <v>20000</v>
      </c>
      <c r="K1244">
        <v>80000</v>
      </c>
      <c r="L1244" t="s">
        <v>118</v>
      </c>
      <c r="M1244" t="s">
        <v>91</v>
      </c>
      <c r="N1244" t="s">
        <v>136</v>
      </c>
      <c r="O1244" t="s">
        <v>3422</v>
      </c>
      <c r="P1244" s="5" t="s">
        <v>3318</v>
      </c>
      <c r="Q1244">
        <v>4</v>
      </c>
    </row>
    <row r="1245" spans="1:17" x14ac:dyDescent="0.3">
      <c r="A1245" s="4">
        <v>44645</v>
      </c>
      <c r="B1245" t="s">
        <v>4904</v>
      </c>
      <c r="C1245" t="s">
        <v>3454</v>
      </c>
      <c r="D1245" s="77">
        <v>0.69444444444444453</v>
      </c>
      <c r="E1245" t="s">
        <v>3314</v>
      </c>
      <c r="F1245">
        <v>41</v>
      </c>
      <c r="G1245" t="s">
        <v>3315</v>
      </c>
      <c r="H1245">
        <v>20000</v>
      </c>
      <c r="I1245" t="s">
        <v>3834</v>
      </c>
      <c r="J1245">
        <v>20000</v>
      </c>
      <c r="K1245">
        <v>80000</v>
      </c>
      <c r="L1245" t="s">
        <v>118</v>
      </c>
      <c r="M1245" t="s">
        <v>94</v>
      </c>
      <c r="N1245" t="s">
        <v>138</v>
      </c>
      <c r="O1245" t="s">
        <v>3775</v>
      </c>
      <c r="P1245" s="5" t="s">
        <v>3318</v>
      </c>
      <c r="Q1245">
        <v>4</v>
      </c>
    </row>
    <row r="1246" spans="1:17" x14ac:dyDescent="0.3">
      <c r="A1246" s="4">
        <v>44645</v>
      </c>
      <c r="B1246" t="s">
        <v>4905</v>
      </c>
      <c r="C1246" t="s">
        <v>3414</v>
      </c>
      <c r="D1246" s="77">
        <v>0.7006944444444444</v>
      </c>
      <c r="E1246" t="s">
        <v>3314</v>
      </c>
      <c r="F1246">
        <v>51</v>
      </c>
      <c r="G1246" t="s">
        <v>3315</v>
      </c>
      <c r="H1246">
        <v>100000</v>
      </c>
      <c r="I1246" t="s">
        <v>3834</v>
      </c>
      <c r="J1246">
        <v>100000</v>
      </c>
      <c r="K1246">
        <v>450000</v>
      </c>
      <c r="L1246" t="s">
        <v>116</v>
      </c>
      <c r="M1246" t="s">
        <v>84</v>
      </c>
      <c r="N1246" t="s">
        <v>108</v>
      </c>
      <c r="O1246" t="s">
        <v>3366</v>
      </c>
      <c r="P1246" s="5" t="s">
        <v>3318</v>
      </c>
      <c r="Q1246">
        <v>4.5</v>
      </c>
    </row>
    <row r="1247" spans="1:17" x14ac:dyDescent="0.3">
      <c r="A1247" s="4">
        <v>44645</v>
      </c>
      <c r="B1247" t="s">
        <v>4906</v>
      </c>
      <c r="C1247" t="s">
        <v>3414</v>
      </c>
      <c r="D1247" s="77">
        <v>0.70833333333333337</v>
      </c>
      <c r="E1247" t="s">
        <v>3314</v>
      </c>
      <c r="F1247">
        <v>39</v>
      </c>
      <c r="G1247" t="s">
        <v>3315</v>
      </c>
      <c r="H1247">
        <v>30000</v>
      </c>
      <c r="I1247" t="s">
        <v>3834</v>
      </c>
      <c r="J1247">
        <v>30000</v>
      </c>
      <c r="K1247">
        <v>90000</v>
      </c>
      <c r="L1247" t="s">
        <v>149</v>
      </c>
      <c r="M1247" t="s">
        <v>141</v>
      </c>
      <c r="N1247" t="s">
        <v>142</v>
      </c>
      <c r="O1247" t="s">
        <v>4707</v>
      </c>
      <c r="P1247" s="5" t="s">
        <v>3318</v>
      </c>
      <c r="Q1247">
        <v>3</v>
      </c>
    </row>
    <row r="1248" spans="1:17" x14ac:dyDescent="0.3">
      <c r="A1248" s="4">
        <v>44645</v>
      </c>
      <c r="B1248" t="s">
        <v>4907</v>
      </c>
      <c r="C1248" t="s">
        <v>4894</v>
      </c>
      <c r="D1248" s="77">
        <v>0.70833333333333337</v>
      </c>
      <c r="E1248" t="s">
        <v>3332</v>
      </c>
      <c r="F1248">
        <v>63</v>
      </c>
      <c r="G1248" t="s">
        <v>3315</v>
      </c>
      <c r="H1248">
        <v>20000</v>
      </c>
      <c r="I1248" t="s">
        <v>3834</v>
      </c>
      <c r="J1248">
        <v>20000</v>
      </c>
      <c r="K1248">
        <v>100000</v>
      </c>
      <c r="L1248" t="s">
        <v>114</v>
      </c>
      <c r="M1248" t="s">
        <v>23</v>
      </c>
      <c r="N1248" t="s">
        <v>99</v>
      </c>
      <c r="O1248" t="s">
        <v>3358</v>
      </c>
      <c r="P1248" s="5" t="s">
        <v>3318</v>
      </c>
      <c r="Q1248">
        <v>5</v>
      </c>
    </row>
    <row r="1249" spans="1:17" x14ac:dyDescent="0.3">
      <c r="A1249" s="4">
        <v>44645</v>
      </c>
      <c r="B1249" t="s">
        <v>4908</v>
      </c>
      <c r="C1249" t="s">
        <v>3414</v>
      </c>
      <c r="D1249" s="77">
        <v>0.71666666666666667</v>
      </c>
      <c r="E1249" t="s">
        <v>3314</v>
      </c>
      <c r="F1249">
        <v>52</v>
      </c>
      <c r="G1249" t="s">
        <v>3315</v>
      </c>
      <c r="H1249">
        <v>20000</v>
      </c>
      <c r="I1249" t="s">
        <v>3834</v>
      </c>
      <c r="J1249">
        <v>20000</v>
      </c>
      <c r="K1249">
        <v>90000</v>
      </c>
      <c r="L1249" t="s">
        <v>116</v>
      </c>
      <c r="M1249" t="s">
        <v>84</v>
      </c>
      <c r="N1249" t="s">
        <v>108</v>
      </c>
      <c r="O1249" t="s">
        <v>3366</v>
      </c>
      <c r="P1249" s="5" t="s">
        <v>3318</v>
      </c>
      <c r="Q1249">
        <v>4.5</v>
      </c>
    </row>
    <row r="1250" spans="1:17" x14ac:dyDescent="0.3">
      <c r="A1250" s="4">
        <v>44645</v>
      </c>
      <c r="B1250" t="s">
        <v>4909</v>
      </c>
      <c r="C1250" t="s">
        <v>4855</v>
      </c>
      <c r="D1250" s="77">
        <v>0.72569444444444453</v>
      </c>
      <c r="E1250" t="s">
        <v>3314</v>
      </c>
      <c r="F1250">
        <v>44</v>
      </c>
      <c r="G1250" t="s">
        <v>3315</v>
      </c>
      <c r="H1250">
        <v>20000</v>
      </c>
      <c r="I1250" t="s">
        <v>3834</v>
      </c>
      <c r="J1250">
        <v>20000</v>
      </c>
      <c r="K1250">
        <v>90000</v>
      </c>
      <c r="L1250" t="s">
        <v>114</v>
      </c>
      <c r="M1250" t="s">
        <v>31</v>
      </c>
      <c r="N1250" t="s">
        <v>105</v>
      </c>
      <c r="O1250" t="s">
        <v>3339</v>
      </c>
      <c r="P1250" s="5" t="s">
        <v>3318</v>
      </c>
      <c r="Q1250">
        <v>4.5</v>
      </c>
    </row>
    <row r="1251" spans="1:17" x14ac:dyDescent="0.3">
      <c r="A1251" s="4">
        <v>44645</v>
      </c>
      <c r="B1251" t="s">
        <v>4910</v>
      </c>
      <c r="C1251" t="s">
        <v>4516</v>
      </c>
      <c r="D1251" s="77">
        <v>0.72916666666666663</v>
      </c>
      <c r="E1251" t="s">
        <v>3314</v>
      </c>
      <c r="F1251">
        <v>44</v>
      </c>
      <c r="G1251" t="s">
        <v>3315</v>
      </c>
      <c r="H1251">
        <v>20000</v>
      </c>
      <c r="I1251" t="s">
        <v>3834</v>
      </c>
      <c r="J1251">
        <v>20000</v>
      </c>
      <c r="K1251">
        <v>80000</v>
      </c>
      <c r="L1251" t="s">
        <v>118</v>
      </c>
      <c r="M1251" t="s">
        <v>87</v>
      </c>
      <c r="N1251" t="s">
        <v>134</v>
      </c>
      <c r="O1251" t="s">
        <v>3528</v>
      </c>
      <c r="P1251" s="5" t="s">
        <v>3318</v>
      </c>
      <c r="Q1251">
        <v>4</v>
      </c>
    </row>
    <row r="1252" spans="1:17" x14ac:dyDescent="0.3">
      <c r="A1252" s="4">
        <v>44645</v>
      </c>
      <c r="B1252" t="s">
        <v>4911</v>
      </c>
      <c r="C1252" t="s">
        <v>3414</v>
      </c>
      <c r="D1252" s="77">
        <v>0.73611111111111116</v>
      </c>
      <c r="E1252" t="s">
        <v>3314</v>
      </c>
      <c r="F1252">
        <v>53</v>
      </c>
      <c r="G1252" t="s">
        <v>3315</v>
      </c>
      <c r="H1252">
        <v>20000</v>
      </c>
      <c r="I1252" t="s">
        <v>3834</v>
      </c>
      <c r="J1252">
        <v>20000</v>
      </c>
      <c r="K1252">
        <v>90000</v>
      </c>
      <c r="L1252" t="s">
        <v>114</v>
      </c>
      <c r="M1252" t="s">
        <v>30</v>
      </c>
      <c r="N1252" t="s">
        <v>106</v>
      </c>
      <c r="O1252" t="s">
        <v>3379</v>
      </c>
      <c r="P1252" s="5" t="s">
        <v>3318</v>
      </c>
      <c r="Q1252">
        <v>4.5</v>
      </c>
    </row>
    <row r="1253" spans="1:17" x14ac:dyDescent="0.3">
      <c r="A1253" s="4">
        <v>44645</v>
      </c>
      <c r="B1253" t="s">
        <v>4912</v>
      </c>
      <c r="C1253" t="s">
        <v>4851</v>
      </c>
      <c r="D1253" s="77">
        <v>0.74513888888888891</v>
      </c>
      <c r="E1253" t="s">
        <v>3314</v>
      </c>
      <c r="F1253">
        <v>51</v>
      </c>
      <c r="G1253" t="s">
        <v>3315</v>
      </c>
      <c r="H1253">
        <v>20000</v>
      </c>
      <c r="I1253" t="s">
        <v>3834</v>
      </c>
      <c r="J1253">
        <v>20000</v>
      </c>
      <c r="K1253">
        <v>80000</v>
      </c>
      <c r="L1253" t="s">
        <v>118</v>
      </c>
      <c r="M1253" t="s">
        <v>93</v>
      </c>
      <c r="N1253" t="s">
        <v>121</v>
      </c>
      <c r="O1253" t="s">
        <v>3781</v>
      </c>
      <c r="P1253" s="5" t="s">
        <v>3318</v>
      </c>
      <c r="Q1253">
        <v>4</v>
      </c>
    </row>
    <row r="1254" spans="1:17" x14ac:dyDescent="0.3">
      <c r="A1254" s="4">
        <v>44645</v>
      </c>
      <c r="B1254" t="s">
        <v>4913</v>
      </c>
      <c r="C1254" t="s">
        <v>4516</v>
      </c>
      <c r="D1254" s="77">
        <v>0.75624999999999998</v>
      </c>
      <c r="E1254" t="s">
        <v>3314</v>
      </c>
      <c r="F1254">
        <v>64</v>
      </c>
      <c r="G1254" t="s">
        <v>3336</v>
      </c>
      <c r="H1254">
        <v>20000</v>
      </c>
      <c r="I1254" t="s">
        <v>3336</v>
      </c>
      <c r="J1254">
        <v>20000</v>
      </c>
      <c r="K1254">
        <v>90000</v>
      </c>
      <c r="L1254" t="s">
        <v>116</v>
      </c>
      <c r="M1254" t="s">
        <v>76</v>
      </c>
      <c r="N1254" t="s">
        <v>107</v>
      </c>
      <c r="O1254" t="s">
        <v>3321</v>
      </c>
      <c r="P1254" s="5" t="s">
        <v>3318</v>
      </c>
      <c r="Q1254">
        <v>4.5</v>
      </c>
    </row>
    <row r="1255" spans="1:17" x14ac:dyDescent="0.3">
      <c r="A1255" s="4">
        <v>44645</v>
      </c>
      <c r="B1255" t="s">
        <v>4914</v>
      </c>
      <c r="C1255" t="s">
        <v>4712</v>
      </c>
      <c r="D1255" s="77">
        <v>0.76041666666666663</v>
      </c>
      <c r="E1255" t="s">
        <v>3314</v>
      </c>
      <c r="F1255">
        <v>52</v>
      </c>
      <c r="G1255" t="s">
        <v>3315</v>
      </c>
      <c r="H1255">
        <v>20000</v>
      </c>
      <c r="I1255" t="s">
        <v>3834</v>
      </c>
      <c r="J1255">
        <v>20000</v>
      </c>
      <c r="K1255">
        <v>20000</v>
      </c>
      <c r="L1255" t="s">
        <v>124</v>
      </c>
      <c r="M1255" t="s">
        <v>143</v>
      </c>
      <c r="N1255" t="s">
        <v>144</v>
      </c>
      <c r="O1255" t="s">
        <v>4803</v>
      </c>
      <c r="P1255" s="5" t="s">
        <v>3318</v>
      </c>
      <c r="Q1255">
        <v>1</v>
      </c>
    </row>
    <row r="1256" spans="1:17" x14ac:dyDescent="0.3">
      <c r="A1256" s="4">
        <v>44645</v>
      </c>
      <c r="B1256" t="s">
        <v>4915</v>
      </c>
      <c r="C1256" t="s">
        <v>4712</v>
      </c>
      <c r="D1256" s="77">
        <v>0.77083333333333337</v>
      </c>
      <c r="E1256" t="s">
        <v>3314</v>
      </c>
      <c r="F1256">
        <v>66</v>
      </c>
      <c r="G1256" t="s">
        <v>3315</v>
      </c>
      <c r="H1256">
        <v>20000</v>
      </c>
      <c r="I1256" t="s">
        <v>3834</v>
      </c>
      <c r="J1256">
        <v>20000</v>
      </c>
      <c r="K1256">
        <v>20000</v>
      </c>
      <c r="L1256" t="s">
        <v>124</v>
      </c>
      <c r="M1256" t="s">
        <v>143</v>
      </c>
      <c r="N1256" t="s">
        <v>144</v>
      </c>
      <c r="O1256" t="s">
        <v>4803</v>
      </c>
      <c r="P1256" s="5" t="s">
        <v>3318</v>
      </c>
      <c r="Q1256">
        <v>1</v>
      </c>
    </row>
    <row r="1257" spans="1:17" x14ac:dyDescent="0.3">
      <c r="A1257" s="4">
        <v>44645</v>
      </c>
      <c r="B1257" t="s">
        <v>4916</v>
      </c>
      <c r="C1257" t="s">
        <v>4712</v>
      </c>
      <c r="D1257" s="77">
        <v>0.77430555555555547</v>
      </c>
      <c r="E1257" t="s">
        <v>3314</v>
      </c>
      <c r="F1257">
        <v>68</v>
      </c>
      <c r="G1257" t="s">
        <v>3315</v>
      </c>
      <c r="H1257">
        <v>20000</v>
      </c>
      <c r="I1257" t="s">
        <v>3834</v>
      </c>
      <c r="J1257">
        <v>20000</v>
      </c>
      <c r="K1257">
        <v>80000</v>
      </c>
      <c r="L1257" t="s">
        <v>118</v>
      </c>
      <c r="M1257" t="s">
        <v>90</v>
      </c>
      <c r="N1257" t="s">
        <v>110</v>
      </c>
      <c r="O1257" t="s">
        <v>3455</v>
      </c>
      <c r="P1257" s="5" t="s">
        <v>3318</v>
      </c>
      <c r="Q1257">
        <v>4</v>
      </c>
    </row>
    <row r="1258" spans="1:17" x14ac:dyDescent="0.3">
      <c r="A1258" s="4">
        <v>44645</v>
      </c>
      <c r="B1258" t="s">
        <v>4917</v>
      </c>
      <c r="C1258" t="s">
        <v>4712</v>
      </c>
      <c r="D1258" s="77">
        <v>0.79861111111111116</v>
      </c>
      <c r="E1258" t="s">
        <v>3314</v>
      </c>
      <c r="F1258">
        <v>69</v>
      </c>
      <c r="G1258" t="s">
        <v>3315</v>
      </c>
      <c r="H1258">
        <v>20000</v>
      </c>
      <c r="I1258" t="s">
        <v>3834</v>
      </c>
      <c r="J1258">
        <v>20000</v>
      </c>
      <c r="K1258">
        <v>80000</v>
      </c>
      <c r="L1258" t="s">
        <v>118</v>
      </c>
      <c r="M1258" t="s">
        <v>90</v>
      </c>
      <c r="N1258" t="s">
        <v>110</v>
      </c>
      <c r="O1258" t="s">
        <v>3455</v>
      </c>
      <c r="P1258" s="5" t="s">
        <v>3318</v>
      </c>
      <c r="Q1258">
        <v>4</v>
      </c>
    </row>
    <row r="1259" spans="1:17" x14ac:dyDescent="0.3">
      <c r="A1259" s="4">
        <v>44645</v>
      </c>
      <c r="B1259" t="s">
        <v>4918</v>
      </c>
      <c r="C1259" t="s">
        <v>3414</v>
      </c>
      <c r="D1259" s="77">
        <v>0.80208333333333337</v>
      </c>
      <c r="E1259" t="s">
        <v>3314</v>
      </c>
      <c r="F1259">
        <v>49</v>
      </c>
      <c r="G1259" t="s">
        <v>3315</v>
      </c>
      <c r="H1259">
        <v>20000</v>
      </c>
      <c r="I1259" t="s">
        <v>3834</v>
      </c>
      <c r="J1259">
        <v>20000</v>
      </c>
      <c r="K1259">
        <v>60000</v>
      </c>
      <c r="L1259" t="s">
        <v>149</v>
      </c>
      <c r="M1259" t="s">
        <v>141</v>
      </c>
      <c r="N1259" t="s">
        <v>142</v>
      </c>
      <c r="O1259" t="s">
        <v>4707</v>
      </c>
      <c r="P1259" s="5" t="s">
        <v>3318</v>
      </c>
      <c r="Q1259">
        <v>3</v>
      </c>
    </row>
    <row r="1260" spans="1:17" x14ac:dyDescent="0.3">
      <c r="A1260" s="4">
        <v>44645</v>
      </c>
      <c r="B1260" t="s">
        <v>4919</v>
      </c>
      <c r="C1260" t="s">
        <v>4516</v>
      </c>
      <c r="D1260" s="77">
        <v>0.80347222222222225</v>
      </c>
      <c r="E1260" t="s">
        <v>3314</v>
      </c>
      <c r="F1260">
        <v>86</v>
      </c>
      <c r="G1260" t="s">
        <v>3889</v>
      </c>
      <c r="H1260">
        <v>20000</v>
      </c>
      <c r="I1260" t="s">
        <v>3889</v>
      </c>
      <c r="J1260">
        <v>20000</v>
      </c>
      <c r="K1260">
        <v>80000</v>
      </c>
      <c r="L1260" t="s">
        <v>118</v>
      </c>
      <c r="M1260" t="s">
        <v>87</v>
      </c>
      <c r="N1260" t="s">
        <v>134</v>
      </c>
      <c r="O1260" t="s">
        <v>3528</v>
      </c>
      <c r="P1260" s="5" t="s">
        <v>3318</v>
      </c>
      <c r="Q1260">
        <v>4</v>
      </c>
    </row>
    <row r="1261" spans="1:17" x14ac:dyDescent="0.3">
      <c r="A1261" s="4">
        <v>44645</v>
      </c>
      <c r="B1261" t="s">
        <v>4920</v>
      </c>
      <c r="C1261" t="s">
        <v>3414</v>
      </c>
      <c r="D1261" s="77">
        <v>0.8041666666666667</v>
      </c>
      <c r="E1261" t="s">
        <v>3314</v>
      </c>
      <c r="F1261">
        <v>43</v>
      </c>
      <c r="G1261" t="s">
        <v>3315</v>
      </c>
      <c r="H1261">
        <v>20000</v>
      </c>
      <c r="I1261" t="s">
        <v>3834</v>
      </c>
      <c r="J1261">
        <v>20000</v>
      </c>
      <c r="K1261">
        <v>60000</v>
      </c>
      <c r="L1261" t="s">
        <v>149</v>
      </c>
      <c r="M1261" t="s">
        <v>141</v>
      </c>
      <c r="N1261" t="s">
        <v>142</v>
      </c>
      <c r="O1261" t="s">
        <v>4707</v>
      </c>
      <c r="P1261" s="5" t="s">
        <v>3318</v>
      </c>
      <c r="Q1261">
        <v>3</v>
      </c>
    </row>
    <row r="1262" spans="1:17" x14ac:dyDescent="0.3">
      <c r="A1262" s="4">
        <v>44645</v>
      </c>
      <c r="B1262" t="s">
        <v>4921</v>
      </c>
      <c r="C1262" t="s">
        <v>3414</v>
      </c>
      <c r="D1262" s="77">
        <v>0.80555555555555547</v>
      </c>
      <c r="E1262" t="s">
        <v>3314</v>
      </c>
      <c r="F1262">
        <v>31</v>
      </c>
      <c r="G1262" t="s">
        <v>3315</v>
      </c>
      <c r="H1262">
        <v>20000</v>
      </c>
      <c r="I1262" t="s">
        <v>3834</v>
      </c>
      <c r="J1262">
        <v>20000</v>
      </c>
      <c r="K1262">
        <v>60000</v>
      </c>
      <c r="L1262" t="s">
        <v>149</v>
      </c>
      <c r="M1262" t="s">
        <v>141</v>
      </c>
      <c r="N1262" t="s">
        <v>142</v>
      </c>
      <c r="O1262" t="s">
        <v>4707</v>
      </c>
      <c r="P1262" s="5" t="s">
        <v>3318</v>
      </c>
      <c r="Q1262">
        <v>3</v>
      </c>
    </row>
    <row r="1263" spans="1:17" x14ac:dyDescent="0.3">
      <c r="A1263" s="4">
        <v>44645</v>
      </c>
      <c r="B1263" t="s">
        <v>4922</v>
      </c>
      <c r="C1263" t="s">
        <v>3454</v>
      </c>
      <c r="D1263" s="77">
        <v>0.81319444444444444</v>
      </c>
      <c r="E1263" t="s">
        <v>3314</v>
      </c>
      <c r="F1263">
        <v>25</v>
      </c>
      <c r="G1263" t="s">
        <v>3315</v>
      </c>
      <c r="H1263">
        <v>30000</v>
      </c>
      <c r="I1263" t="s">
        <v>3834</v>
      </c>
      <c r="J1263">
        <v>30000</v>
      </c>
      <c r="K1263">
        <v>120000</v>
      </c>
      <c r="L1263" t="s">
        <v>118</v>
      </c>
      <c r="M1263" t="s">
        <v>94</v>
      </c>
      <c r="N1263" t="s">
        <v>138</v>
      </c>
      <c r="O1263" t="s">
        <v>3775</v>
      </c>
      <c r="P1263" s="5" t="s">
        <v>3318</v>
      </c>
      <c r="Q1263">
        <v>4</v>
      </c>
    </row>
    <row r="1264" spans="1:17" x14ac:dyDescent="0.3">
      <c r="A1264" s="4">
        <v>44645</v>
      </c>
      <c r="B1264" t="s">
        <v>4923</v>
      </c>
      <c r="C1264" t="s">
        <v>3454</v>
      </c>
      <c r="D1264" s="77">
        <v>0.83611111111111114</v>
      </c>
      <c r="E1264" t="s">
        <v>3314</v>
      </c>
      <c r="F1264">
        <v>51</v>
      </c>
      <c r="G1264" t="s">
        <v>3315</v>
      </c>
      <c r="H1264">
        <v>30000</v>
      </c>
      <c r="I1264" t="s">
        <v>3834</v>
      </c>
      <c r="J1264">
        <v>30000</v>
      </c>
      <c r="K1264">
        <v>120000</v>
      </c>
      <c r="L1264" t="s">
        <v>118</v>
      </c>
      <c r="M1264" t="s">
        <v>94</v>
      </c>
      <c r="N1264" t="s">
        <v>138</v>
      </c>
      <c r="O1264" t="s">
        <v>3775</v>
      </c>
      <c r="P1264" s="5" t="s">
        <v>3318</v>
      </c>
      <c r="Q1264">
        <v>4</v>
      </c>
    </row>
    <row r="1265" spans="1:17" x14ac:dyDescent="0.3">
      <c r="A1265" s="4">
        <v>44645</v>
      </c>
      <c r="B1265" t="s">
        <v>4924</v>
      </c>
      <c r="C1265" t="s">
        <v>3454</v>
      </c>
      <c r="D1265" s="77">
        <v>0.83750000000000002</v>
      </c>
      <c r="E1265" t="s">
        <v>3314</v>
      </c>
      <c r="F1265">
        <v>29</v>
      </c>
      <c r="G1265" t="s">
        <v>3315</v>
      </c>
      <c r="H1265">
        <v>20000</v>
      </c>
      <c r="I1265" t="s">
        <v>3834</v>
      </c>
      <c r="J1265">
        <v>20000</v>
      </c>
      <c r="K1265">
        <v>90000</v>
      </c>
      <c r="L1265" t="s">
        <v>116</v>
      </c>
      <c r="M1265" t="s">
        <v>77</v>
      </c>
      <c r="N1265" t="s">
        <v>133</v>
      </c>
      <c r="O1265" t="s">
        <v>3376</v>
      </c>
      <c r="P1265" s="5" t="s">
        <v>3318</v>
      </c>
      <c r="Q1265">
        <v>4.5</v>
      </c>
    </row>
    <row r="1266" spans="1:17" x14ac:dyDescent="0.3">
      <c r="A1266" s="4">
        <v>44646</v>
      </c>
      <c r="B1266" t="s">
        <v>4925</v>
      </c>
      <c r="C1266" t="s">
        <v>4306</v>
      </c>
      <c r="D1266" s="77">
        <v>0.53888888888888886</v>
      </c>
      <c r="E1266" t="s">
        <v>3314</v>
      </c>
      <c r="F1266">
        <v>42</v>
      </c>
      <c r="G1266" t="s">
        <v>3315</v>
      </c>
      <c r="H1266">
        <v>20000</v>
      </c>
      <c r="I1266" t="s">
        <v>3834</v>
      </c>
      <c r="J1266">
        <v>20000</v>
      </c>
      <c r="K1266">
        <v>90000</v>
      </c>
      <c r="L1266" t="s">
        <v>116</v>
      </c>
      <c r="M1266" t="s">
        <v>78</v>
      </c>
      <c r="N1266" t="s">
        <v>100</v>
      </c>
      <c r="O1266" t="s">
        <v>4472</v>
      </c>
      <c r="P1266" s="5" t="s">
        <v>3318</v>
      </c>
      <c r="Q1266">
        <v>4.5</v>
      </c>
    </row>
    <row r="1267" spans="1:17" x14ac:dyDescent="0.3">
      <c r="A1267" s="4">
        <v>44646</v>
      </c>
      <c r="B1267" t="s">
        <v>4926</v>
      </c>
      <c r="C1267" t="s">
        <v>4306</v>
      </c>
      <c r="D1267" s="77">
        <v>0.54097222222222219</v>
      </c>
      <c r="E1267" t="s">
        <v>3314</v>
      </c>
      <c r="F1267">
        <v>61</v>
      </c>
      <c r="G1267" t="s">
        <v>3315</v>
      </c>
      <c r="H1267">
        <v>30000</v>
      </c>
      <c r="I1267" t="s">
        <v>3834</v>
      </c>
      <c r="J1267">
        <v>30000</v>
      </c>
      <c r="K1267">
        <v>120000</v>
      </c>
      <c r="L1267" t="s">
        <v>118</v>
      </c>
      <c r="M1267" t="s">
        <v>88</v>
      </c>
      <c r="N1267" t="s">
        <v>117</v>
      </c>
      <c r="O1267" t="s">
        <v>4475</v>
      </c>
      <c r="P1267" s="5" t="s">
        <v>3318</v>
      </c>
      <c r="Q1267">
        <v>4</v>
      </c>
    </row>
    <row r="1268" spans="1:17" x14ac:dyDescent="0.3">
      <c r="A1268" s="4">
        <v>44646</v>
      </c>
      <c r="B1268" t="s">
        <v>4927</v>
      </c>
      <c r="C1268" t="s">
        <v>4306</v>
      </c>
      <c r="D1268" s="77">
        <v>0.56111111111111112</v>
      </c>
      <c r="E1268" t="s">
        <v>3314</v>
      </c>
      <c r="F1268">
        <v>41</v>
      </c>
      <c r="G1268" t="s">
        <v>3315</v>
      </c>
      <c r="H1268">
        <v>30000</v>
      </c>
      <c r="I1268" t="s">
        <v>3834</v>
      </c>
      <c r="J1268">
        <v>30000</v>
      </c>
      <c r="K1268">
        <v>120000</v>
      </c>
      <c r="L1268" t="s">
        <v>118</v>
      </c>
      <c r="M1268" t="s">
        <v>88</v>
      </c>
      <c r="N1268" t="s">
        <v>117</v>
      </c>
      <c r="O1268" t="s">
        <v>4475</v>
      </c>
      <c r="P1268" s="5" t="s">
        <v>3318</v>
      </c>
      <c r="Q1268">
        <v>4</v>
      </c>
    </row>
    <row r="1269" spans="1:17" x14ac:dyDescent="0.3">
      <c r="A1269" s="4">
        <v>44646</v>
      </c>
      <c r="B1269" t="s">
        <v>4928</v>
      </c>
      <c r="C1269" t="s">
        <v>4306</v>
      </c>
      <c r="D1269" s="77">
        <v>0.60347222222222219</v>
      </c>
      <c r="E1269" t="s">
        <v>3314</v>
      </c>
      <c r="F1269">
        <v>77</v>
      </c>
      <c r="G1269" t="s">
        <v>3315</v>
      </c>
      <c r="H1269">
        <v>30000</v>
      </c>
      <c r="I1269" t="s">
        <v>3834</v>
      </c>
      <c r="J1269">
        <v>30000</v>
      </c>
      <c r="K1269">
        <v>135000</v>
      </c>
      <c r="L1269" t="s">
        <v>116</v>
      </c>
      <c r="M1269" t="s">
        <v>78</v>
      </c>
      <c r="N1269" t="s">
        <v>100</v>
      </c>
      <c r="O1269" t="s">
        <v>4472</v>
      </c>
      <c r="P1269" s="5" t="s">
        <v>3318</v>
      </c>
      <c r="Q1269">
        <v>4.5</v>
      </c>
    </row>
    <row r="1270" spans="1:17" x14ac:dyDescent="0.3">
      <c r="A1270" s="4">
        <v>44646</v>
      </c>
      <c r="B1270" t="s">
        <v>4929</v>
      </c>
      <c r="C1270" t="s">
        <v>3391</v>
      </c>
      <c r="D1270" s="77">
        <v>0.63750000000000007</v>
      </c>
      <c r="E1270" t="s">
        <v>3332</v>
      </c>
      <c r="F1270">
        <v>29</v>
      </c>
      <c r="G1270" t="s">
        <v>3315</v>
      </c>
      <c r="H1270">
        <v>20000</v>
      </c>
      <c r="I1270" t="s">
        <v>3834</v>
      </c>
      <c r="J1270">
        <v>20000</v>
      </c>
      <c r="K1270">
        <v>80000</v>
      </c>
      <c r="L1270" t="s">
        <v>118</v>
      </c>
      <c r="M1270" t="s">
        <v>147</v>
      </c>
      <c r="N1270" t="s">
        <v>148</v>
      </c>
      <c r="O1270" t="s">
        <v>3354</v>
      </c>
      <c r="P1270" s="5" t="s">
        <v>3318</v>
      </c>
      <c r="Q1270">
        <v>4</v>
      </c>
    </row>
    <row r="1271" spans="1:17" x14ac:dyDescent="0.3">
      <c r="A1271" s="4">
        <v>44647</v>
      </c>
      <c r="B1271" t="s">
        <v>4930</v>
      </c>
      <c r="C1271" t="s">
        <v>3368</v>
      </c>
      <c r="D1271" s="77">
        <v>0.52430555555555558</v>
      </c>
      <c r="E1271" t="s">
        <v>3314</v>
      </c>
      <c r="F1271">
        <v>58</v>
      </c>
      <c r="G1271" t="s">
        <v>3315</v>
      </c>
      <c r="H1271">
        <v>20000</v>
      </c>
      <c r="I1271" t="s">
        <v>3834</v>
      </c>
      <c r="J1271">
        <v>20000</v>
      </c>
      <c r="K1271">
        <v>80000</v>
      </c>
      <c r="L1271" t="s">
        <v>118</v>
      </c>
      <c r="M1271" t="s">
        <v>91</v>
      </c>
      <c r="N1271" t="s">
        <v>136</v>
      </c>
      <c r="O1271" t="s">
        <v>3422</v>
      </c>
      <c r="P1271" s="5" t="s">
        <v>3318</v>
      </c>
      <c r="Q1271">
        <v>4</v>
      </c>
    </row>
    <row r="1272" spans="1:17" x14ac:dyDescent="0.3">
      <c r="A1272" s="4">
        <v>44647</v>
      </c>
      <c r="B1272" t="s">
        <v>4931</v>
      </c>
      <c r="C1272" t="s">
        <v>3368</v>
      </c>
      <c r="D1272" s="77">
        <v>0.62847222222222221</v>
      </c>
      <c r="E1272" t="s">
        <v>3314</v>
      </c>
      <c r="F1272">
        <v>66</v>
      </c>
      <c r="G1272" t="s">
        <v>3315</v>
      </c>
      <c r="H1272">
        <v>20000</v>
      </c>
      <c r="I1272" t="s">
        <v>3834</v>
      </c>
      <c r="J1272">
        <v>20000</v>
      </c>
      <c r="K1272">
        <v>80000</v>
      </c>
      <c r="L1272" t="s">
        <v>118</v>
      </c>
      <c r="M1272" t="s">
        <v>85</v>
      </c>
      <c r="N1272" t="s">
        <v>109</v>
      </c>
      <c r="O1272" t="s">
        <v>3342</v>
      </c>
      <c r="P1272" s="5" t="s">
        <v>3318</v>
      </c>
      <c r="Q1272">
        <v>4</v>
      </c>
    </row>
    <row r="1273" spans="1:17" x14ac:dyDescent="0.3">
      <c r="A1273" s="4">
        <v>44647</v>
      </c>
      <c r="B1273" t="s">
        <v>4932</v>
      </c>
      <c r="C1273" t="s">
        <v>4015</v>
      </c>
      <c r="D1273" s="77">
        <v>0.6430555555555556</v>
      </c>
      <c r="E1273" t="s">
        <v>3314</v>
      </c>
      <c r="F1273">
        <v>40</v>
      </c>
      <c r="G1273" t="s">
        <v>3315</v>
      </c>
      <c r="H1273">
        <v>30000</v>
      </c>
      <c r="I1273" t="s">
        <v>3834</v>
      </c>
      <c r="J1273">
        <v>30000</v>
      </c>
      <c r="K1273">
        <v>135000</v>
      </c>
      <c r="L1273" t="s">
        <v>116</v>
      </c>
      <c r="M1273" t="s">
        <v>65</v>
      </c>
      <c r="N1273" t="s">
        <v>102</v>
      </c>
      <c r="O1273" t="s">
        <v>3506</v>
      </c>
      <c r="P1273" s="5" t="s">
        <v>3318</v>
      </c>
      <c r="Q1273">
        <v>4.5</v>
      </c>
    </row>
    <row r="1274" spans="1:17" x14ac:dyDescent="0.3">
      <c r="A1274" s="4">
        <v>44647</v>
      </c>
      <c r="B1274" t="s">
        <v>4933</v>
      </c>
      <c r="C1274" t="s">
        <v>3368</v>
      </c>
      <c r="D1274" s="77">
        <v>0.65625</v>
      </c>
      <c r="E1274" t="s">
        <v>3314</v>
      </c>
      <c r="F1274">
        <v>52</v>
      </c>
      <c r="G1274" t="s">
        <v>3315</v>
      </c>
      <c r="H1274">
        <v>20000</v>
      </c>
      <c r="I1274" t="s">
        <v>3834</v>
      </c>
      <c r="J1274">
        <v>20000</v>
      </c>
      <c r="K1274">
        <v>80000</v>
      </c>
      <c r="L1274" t="s">
        <v>118</v>
      </c>
      <c r="M1274" t="s">
        <v>85</v>
      </c>
      <c r="N1274" t="s">
        <v>109</v>
      </c>
      <c r="O1274" t="s">
        <v>3342</v>
      </c>
      <c r="P1274" s="5" t="s">
        <v>3318</v>
      </c>
      <c r="Q1274">
        <v>4</v>
      </c>
    </row>
    <row r="1275" spans="1:17" x14ac:dyDescent="0.3">
      <c r="A1275" s="4">
        <v>44647</v>
      </c>
      <c r="B1275" t="s">
        <v>4934</v>
      </c>
      <c r="C1275" t="s">
        <v>4015</v>
      </c>
      <c r="D1275" s="77">
        <v>0.66180555555555554</v>
      </c>
      <c r="E1275" t="s">
        <v>3314</v>
      </c>
      <c r="F1275">
        <v>68</v>
      </c>
      <c r="G1275" t="s">
        <v>3315</v>
      </c>
      <c r="H1275">
        <v>30000</v>
      </c>
      <c r="I1275" t="s">
        <v>3834</v>
      </c>
      <c r="J1275">
        <v>30000</v>
      </c>
      <c r="K1275">
        <v>120000</v>
      </c>
      <c r="L1275" t="s">
        <v>118</v>
      </c>
      <c r="M1275" t="s">
        <v>93</v>
      </c>
      <c r="N1275" t="s">
        <v>121</v>
      </c>
      <c r="O1275" t="s">
        <v>3781</v>
      </c>
      <c r="P1275" s="5" t="s">
        <v>3318</v>
      </c>
      <c r="Q1275">
        <v>4</v>
      </c>
    </row>
    <row r="1276" spans="1:17" x14ac:dyDescent="0.3">
      <c r="A1276" s="4">
        <v>44648</v>
      </c>
      <c r="B1276" t="s">
        <v>4935</v>
      </c>
      <c r="C1276" t="s">
        <v>4936</v>
      </c>
      <c r="D1276" s="77">
        <v>0.42499999999999999</v>
      </c>
      <c r="E1276" t="s">
        <v>3314</v>
      </c>
      <c r="F1276">
        <v>53</v>
      </c>
      <c r="G1276" t="s">
        <v>3315</v>
      </c>
      <c r="H1276">
        <v>30000</v>
      </c>
      <c r="I1276" t="s">
        <v>3834</v>
      </c>
      <c r="J1276">
        <v>30000</v>
      </c>
      <c r="K1276">
        <v>135000</v>
      </c>
      <c r="L1276" t="s">
        <v>114</v>
      </c>
      <c r="M1276" t="s">
        <v>79</v>
      </c>
      <c r="N1276" t="s">
        <v>131</v>
      </c>
      <c r="O1276" t="s">
        <v>3465</v>
      </c>
      <c r="P1276" s="5" t="s">
        <v>3318</v>
      </c>
      <c r="Q1276">
        <v>4.5</v>
      </c>
    </row>
    <row r="1277" spans="1:17" x14ac:dyDescent="0.3">
      <c r="A1277" s="4">
        <v>44648</v>
      </c>
      <c r="B1277" t="s">
        <v>4937</v>
      </c>
      <c r="C1277" t="s">
        <v>4936</v>
      </c>
      <c r="D1277" s="77">
        <v>0.43124999999999997</v>
      </c>
      <c r="E1277" t="s">
        <v>3314</v>
      </c>
      <c r="F1277">
        <v>44</v>
      </c>
      <c r="G1277" t="s">
        <v>3315</v>
      </c>
      <c r="H1277">
        <v>20000</v>
      </c>
      <c r="I1277" t="s">
        <v>3834</v>
      </c>
      <c r="J1277">
        <v>20000</v>
      </c>
      <c r="K1277">
        <v>90000</v>
      </c>
      <c r="L1277" t="s">
        <v>114</v>
      </c>
      <c r="M1277" t="s">
        <v>79</v>
      </c>
      <c r="N1277" t="s">
        <v>131</v>
      </c>
      <c r="O1277" t="s">
        <v>3465</v>
      </c>
      <c r="P1277" s="5" t="s">
        <v>3318</v>
      </c>
      <c r="Q1277">
        <v>4.5</v>
      </c>
    </row>
    <row r="1278" spans="1:17" x14ac:dyDescent="0.3">
      <c r="A1278" s="4">
        <v>44648</v>
      </c>
      <c r="B1278" t="s">
        <v>4938</v>
      </c>
      <c r="C1278" t="s">
        <v>4936</v>
      </c>
      <c r="D1278" s="77">
        <v>0.44513888888888892</v>
      </c>
      <c r="E1278" t="s">
        <v>3314</v>
      </c>
      <c r="F1278">
        <v>40</v>
      </c>
      <c r="G1278" t="s">
        <v>3315</v>
      </c>
      <c r="H1278">
        <v>20000</v>
      </c>
      <c r="I1278" t="s">
        <v>3834</v>
      </c>
      <c r="J1278">
        <v>20000</v>
      </c>
      <c r="K1278">
        <v>90000</v>
      </c>
      <c r="L1278" t="s">
        <v>114</v>
      </c>
      <c r="M1278" t="s">
        <v>79</v>
      </c>
      <c r="N1278" t="s">
        <v>131</v>
      </c>
      <c r="O1278" t="s">
        <v>3465</v>
      </c>
      <c r="P1278" s="5" t="s">
        <v>3318</v>
      </c>
      <c r="Q1278">
        <v>4.5</v>
      </c>
    </row>
    <row r="1279" spans="1:17" x14ac:dyDescent="0.3">
      <c r="A1279" s="4">
        <v>44648</v>
      </c>
      <c r="B1279" t="s">
        <v>4939</v>
      </c>
      <c r="C1279" t="s">
        <v>4940</v>
      </c>
      <c r="D1279" s="77">
        <v>0.4604166666666667</v>
      </c>
      <c r="E1279" t="s">
        <v>3314</v>
      </c>
      <c r="F1279">
        <v>55</v>
      </c>
      <c r="G1279" t="s">
        <v>3315</v>
      </c>
      <c r="H1279">
        <v>30000</v>
      </c>
      <c r="I1279" t="s">
        <v>3834</v>
      </c>
      <c r="J1279">
        <v>30000</v>
      </c>
      <c r="K1279">
        <v>120000</v>
      </c>
      <c r="L1279" t="s">
        <v>118</v>
      </c>
      <c r="M1279" t="s">
        <v>24</v>
      </c>
      <c r="N1279" t="s">
        <v>103</v>
      </c>
      <c r="O1279" t="s">
        <v>3585</v>
      </c>
      <c r="P1279" s="5" t="s">
        <v>3318</v>
      </c>
      <c r="Q1279">
        <v>4</v>
      </c>
    </row>
    <row r="1280" spans="1:17" x14ac:dyDescent="0.3">
      <c r="A1280" s="4">
        <v>44648</v>
      </c>
      <c r="B1280" t="s">
        <v>4941</v>
      </c>
      <c r="C1280" t="s">
        <v>4936</v>
      </c>
      <c r="D1280" s="77">
        <v>0.46875</v>
      </c>
      <c r="E1280" t="s">
        <v>3314</v>
      </c>
      <c r="F1280">
        <v>49</v>
      </c>
      <c r="G1280" t="s">
        <v>3315</v>
      </c>
      <c r="H1280">
        <v>20000</v>
      </c>
      <c r="I1280" t="s">
        <v>3834</v>
      </c>
      <c r="J1280">
        <v>20000</v>
      </c>
      <c r="K1280">
        <v>90000</v>
      </c>
      <c r="L1280" t="s">
        <v>114</v>
      </c>
      <c r="M1280" t="s">
        <v>79</v>
      </c>
      <c r="N1280" t="s">
        <v>131</v>
      </c>
      <c r="O1280" t="s">
        <v>3465</v>
      </c>
      <c r="P1280" s="5" t="s">
        <v>3318</v>
      </c>
      <c r="Q1280">
        <v>4.5</v>
      </c>
    </row>
    <row r="1281" spans="1:17" x14ac:dyDescent="0.3">
      <c r="A1281" s="4">
        <v>44648</v>
      </c>
      <c r="B1281" t="s">
        <v>4942</v>
      </c>
      <c r="C1281" t="s">
        <v>4936</v>
      </c>
      <c r="D1281" s="77">
        <v>0.47500000000000003</v>
      </c>
      <c r="E1281" t="s">
        <v>3314</v>
      </c>
      <c r="F1281">
        <v>53</v>
      </c>
      <c r="G1281" t="s">
        <v>3315</v>
      </c>
      <c r="H1281">
        <v>30000</v>
      </c>
      <c r="I1281" t="s">
        <v>3834</v>
      </c>
      <c r="J1281">
        <v>30000</v>
      </c>
      <c r="K1281">
        <v>135000</v>
      </c>
      <c r="L1281" t="s">
        <v>114</v>
      </c>
      <c r="M1281" t="s">
        <v>79</v>
      </c>
      <c r="N1281" t="s">
        <v>131</v>
      </c>
      <c r="O1281" t="s">
        <v>3465</v>
      </c>
      <c r="P1281" s="5" t="s">
        <v>3318</v>
      </c>
      <c r="Q1281">
        <v>4.5</v>
      </c>
    </row>
    <row r="1282" spans="1:17" x14ac:dyDescent="0.3">
      <c r="A1282" s="4">
        <v>44648</v>
      </c>
      <c r="B1282" t="s">
        <v>4943</v>
      </c>
      <c r="C1282" t="s">
        <v>3636</v>
      </c>
      <c r="D1282" s="77">
        <v>0.53472222222222221</v>
      </c>
      <c r="E1282" t="s">
        <v>3314</v>
      </c>
      <c r="F1282">
        <v>46</v>
      </c>
      <c r="G1282" t="s">
        <v>3315</v>
      </c>
      <c r="H1282">
        <v>20000</v>
      </c>
      <c r="I1282" t="s">
        <v>3834</v>
      </c>
      <c r="J1282">
        <v>20000</v>
      </c>
      <c r="K1282">
        <v>90000</v>
      </c>
      <c r="L1282" t="s">
        <v>116</v>
      </c>
      <c r="M1282" t="s">
        <v>65</v>
      </c>
      <c r="N1282" t="s">
        <v>102</v>
      </c>
      <c r="O1282" t="s">
        <v>3506</v>
      </c>
      <c r="P1282" s="5" t="s">
        <v>3318</v>
      </c>
      <c r="Q1282">
        <v>4.5</v>
      </c>
    </row>
    <row r="1283" spans="1:17" x14ac:dyDescent="0.3">
      <c r="A1283" s="4">
        <v>44648</v>
      </c>
      <c r="B1283" t="s">
        <v>4944</v>
      </c>
      <c r="C1283" t="s">
        <v>4945</v>
      </c>
      <c r="D1283" s="77">
        <v>0.54861111111111105</v>
      </c>
      <c r="E1283" t="s">
        <v>3314</v>
      </c>
      <c r="F1283">
        <v>63</v>
      </c>
      <c r="G1283" t="s">
        <v>3315</v>
      </c>
      <c r="H1283">
        <v>20000</v>
      </c>
      <c r="I1283" t="s">
        <v>3834</v>
      </c>
      <c r="J1283">
        <v>20000</v>
      </c>
      <c r="K1283">
        <v>60000</v>
      </c>
      <c r="L1283" t="s">
        <v>149</v>
      </c>
      <c r="M1283" t="s">
        <v>143</v>
      </c>
      <c r="N1283" t="s">
        <v>144</v>
      </c>
      <c r="O1283" t="s">
        <v>4946</v>
      </c>
      <c r="P1283" s="5" t="s">
        <v>3318</v>
      </c>
      <c r="Q1283">
        <v>3</v>
      </c>
    </row>
    <row r="1284" spans="1:17" x14ac:dyDescent="0.3">
      <c r="A1284" s="4">
        <v>44648</v>
      </c>
      <c r="B1284" t="s">
        <v>4947</v>
      </c>
      <c r="C1284" t="s">
        <v>4948</v>
      </c>
      <c r="D1284" s="77">
        <v>0.55347222222222225</v>
      </c>
      <c r="E1284" t="s">
        <v>3314</v>
      </c>
      <c r="F1284">
        <v>41</v>
      </c>
      <c r="G1284" t="s">
        <v>3315</v>
      </c>
      <c r="H1284">
        <v>20000</v>
      </c>
      <c r="I1284" t="s">
        <v>3834</v>
      </c>
      <c r="J1284">
        <v>20000</v>
      </c>
      <c r="K1284">
        <v>80000</v>
      </c>
      <c r="L1284" t="s">
        <v>118</v>
      </c>
      <c r="M1284" t="s">
        <v>88</v>
      </c>
      <c r="N1284" t="s">
        <v>117</v>
      </c>
      <c r="O1284" t="s">
        <v>4475</v>
      </c>
      <c r="P1284" s="5" t="s">
        <v>3318</v>
      </c>
      <c r="Q1284">
        <v>4</v>
      </c>
    </row>
    <row r="1285" spans="1:17" x14ac:dyDescent="0.3">
      <c r="A1285" s="4">
        <v>44648</v>
      </c>
      <c r="B1285" t="s">
        <v>4949</v>
      </c>
      <c r="C1285" t="s">
        <v>4950</v>
      </c>
      <c r="D1285" s="77">
        <v>0.56597222222222221</v>
      </c>
      <c r="E1285" t="s">
        <v>3314</v>
      </c>
      <c r="F1285">
        <v>54</v>
      </c>
      <c r="G1285" t="s">
        <v>3315</v>
      </c>
      <c r="H1285">
        <v>20000</v>
      </c>
      <c r="I1285" t="s">
        <v>3834</v>
      </c>
      <c r="J1285">
        <v>20000</v>
      </c>
      <c r="K1285">
        <v>80000</v>
      </c>
      <c r="L1285" t="s">
        <v>118</v>
      </c>
      <c r="M1285" t="s">
        <v>92</v>
      </c>
      <c r="N1285" t="s">
        <v>137</v>
      </c>
      <c r="O1285" t="s">
        <v>3476</v>
      </c>
      <c r="P1285" s="5" t="s">
        <v>3318</v>
      </c>
      <c r="Q1285">
        <v>4</v>
      </c>
    </row>
    <row r="1286" spans="1:17" x14ac:dyDescent="0.3">
      <c r="A1286" s="4">
        <v>44648</v>
      </c>
      <c r="B1286" t="s">
        <v>4951</v>
      </c>
      <c r="C1286" t="s">
        <v>4851</v>
      </c>
      <c r="D1286" s="77">
        <v>0.5708333333333333</v>
      </c>
      <c r="E1286" t="s">
        <v>3314</v>
      </c>
      <c r="F1286">
        <v>27</v>
      </c>
      <c r="G1286" t="s">
        <v>3315</v>
      </c>
      <c r="H1286">
        <v>20000</v>
      </c>
      <c r="I1286" t="s">
        <v>3834</v>
      </c>
      <c r="J1286">
        <v>20000</v>
      </c>
      <c r="K1286">
        <v>90000</v>
      </c>
      <c r="L1286" t="s">
        <v>119</v>
      </c>
      <c r="M1286" t="s">
        <v>27</v>
      </c>
      <c r="N1286" t="s">
        <v>101</v>
      </c>
      <c r="O1286" t="s">
        <v>3803</v>
      </c>
      <c r="P1286" s="5" t="s">
        <v>3318</v>
      </c>
      <c r="Q1286">
        <v>4.5</v>
      </c>
    </row>
    <row r="1287" spans="1:17" x14ac:dyDescent="0.3">
      <c r="A1287" s="4">
        <v>44648</v>
      </c>
      <c r="B1287" t="s">
        <v>4952</v>
      </c>
      <c r="C1287" t="s">
        <v>4950</v>
      </c>
      <c r="D1287" s="77">
        <v>0.57847222222222217</v>
      </c>
      <c r="E1287" t="s">
        <v>3314</v>
      </c>
      <c r="F1287">
        <v>65</v>
      </c>
      <c r="G1287" t="s">
        <v>3315</v>
      </c>
      <c r="H1287">
        <v>20000</v>
      </c>
      <c r="I1287" t="s">
        <v>3834</v>
      </c>
      <c r="J1287">
        <v>20000</v>
      </c>
      <c r="K1287">
        <v>80000</v>
      </c>
      <c r="L1287" t="s">
        <v>118</v>
      </c>
      <c r="M1287" t="s">
        <v>92</v>
      </c>
      <c r="N1287" t="s">
        <v>137</v>
      </c>
      <c r="O1287" t="s">
        <v>3476</v>
      </c>
      <c r="P1287" s="5" t="s">
        <v>3318</v>
      </c>
      <c r="Q1287">
        <v>4</v>
      </c>
    </row>
    <row r="1288" spans="1:17" x14ac:dyDescent="0.3">
      <c r="A1288" s="4">
        <v>44648</v>
      </c>
      <c r="B1288" t="s">
        <v>4953</v>
      </c>
      <c r="C1288" t="s">
        <v>4936</v>
      </c>
      <c r="D1288" s="77">
        <v>0.57916666666666672</v>
      </c>
      <c r="E1288" t="s">
        <v>3314</v>
      </c>
      <c r="F1288">
        <v>48</v>
      </c>
      <c r="G1288" t="s">
        <v>3315</v>
      </c>
      <c r="H1288">
        <v>20000</v>
      </c>
      <c r="I1288" t="s">
        <v>3834</v>
      </c>
      <c r="J1288">
        <v>20000</v>
      </c>
      <c r="K1288">
        <v>90000</v>
      </c>
      <c r="L1288" t="s">
        <v>114</v>
      </c>
      <c r="M1288" t="s">
        <v>79</v>
      </c>
      <c r="N1288" t="s">
        <v>131</v>
      </c>
      <c r="O1288" t="s">
        <v>3465</v>
      </c>
      <c r="P1288" s="5" t="s">
        <v>3318</v>
      </c>
      <c r="Q1288">
        <v>4.5</v>
      </c>
    </row>
    <row r="1289" spans="1:17" x14ac:dyDescent="0.3">
      <c r="A1289" s="4">
        <v>44648</v>
      </c>
      <c r="B1289" t="s">
        <v>4954</v>
      </c>
      <c r="C1289" t="s">
        <v>4936</v>
      </c>
      <c r="D1289" s="77">
        <v>0.59166666666666667</v>
      </c>
      <c r="E1289" t="s">
        <v>3314</v>
      </c>
      <c r="F1289">
        <v>42</v>
      </c>
      <c r="G1289" t="s">
        <v>3315</v>
      </c>
      <c r="H1289">
        <v>20000</v>
      </c>
      <c r="I1289" t="s">
        <v>3834</v>
      </c>
      <c r="J1289">
        <v>20000</v>
      </c>
      <c r="K1289">
        <v>90000</v>
      </c>
      <c r="L1289" t="s">
        <v>114</v>
      </c>
      <c r="M1289" t="s">
        <v>79</v>
      </c>
      <c r="N1289" t="s">
        <v>131</v>
      </c>
      <c r="O1289" t="s">
        <v>3465</v>
      </c>
      <c r="P1289" s="5" t="s">
        <v>3318</v>
      </c>
      <c r="Q1289">
        <v>4.5</v>
      </c>
    </row>
    <row r="1290" spans="1:17" x14ac:dyDescent="0.3">
      <c r="A1290" s="4">
        <v>44648</v>
      </c>
      <c r="B1290" t="s">
        <v>4955</v>
      </c>
      <c r="C1290" t="s">
        <v>4956</v>
      </c>
      <c r="D1290" s="77">
        <v>0.59722222222222221</v>
      </c>
      <c r="E1290" t="s">
        <v>3314</v>
      </c>
      <c r="F1290">
        <v>35</v>
      </c>
      <c r="G1290" t="s">
        <v>3336</v>
      </c>
      <c r="H1290">
        <v>20000</v>
      </c>
      <c r="I1290" t="s">
        <v>3336</v>
      </c>
      <c r="J1290">
        <v>20000</v>
      </c>
      <c r="K1290">
        <v>90000</v>
      </c>
      <c r="L1290" t="s">
        <v>116</v>
      </c>
      <c r="M1290" t="s">
        <v>76</v>
      </c>
      <c r="N1290" t="s">
        <v>107</v>
      </c>
      <c r="O1290" t="s">
        <v>3321</v>
      </c>
      <c r="P1290" s="5" t="s">
        <v>3318</v>
      </c>
      <c r="Q1290">
        <v>4.5</v>
      </c>
    </row>
    <row r="1291" spans="1:17" x14ac:dyDescent="0.3">
      <c r="A1291" s="4">
        <v>44648</v>
      </c>
      <c r="B1291" t="s">
        <v>4957</v>
      </c>
      <c r="C1291" t="s">
        <v>4956</v>
      </c>
      <c r="D1291" s="77">
        <v>0.59861111111111109</v>
      </c>
      <c r="E1291" t="s">
        <v>3314</v>
      </c>
      <c r="F1291">
        <v>40</v>
      </c>
      <c r="G1291" t="s">
        <v>3315</v>
      </c>
      <c r="H1291">
        <v>20000</v>
      </c>
      <c r="I1291" t="s">
        <v>3834</v>
      </c>
      <c r="J1291">
        <v>20000</v>
      </c>
      <c r="K1291">
        <v>80000</v>
      </c>
      <c r="L1291" t="s">
        <v>118</v>
      </c>
      <c r="M1291" t="s">
        <v>96</v>
      </c>
      <c r="N1291" t="s">
        <v>140</v>
      </c>
      <c r="O1291" t="s">
        <v>4105</v>
      </c>
      <c r="P1291" s="5" t="s">
        <v>3318</v>
      </c>
      <c r="Q1291">
        <v>4</v>
      </c>
    </row>
    <row r="1292" spans="1:17" x14ac:dyDescent="0.3">
      <c r="A1292" s="4">
        <v>44648</v>
      </c>
      <c r="B1292" t="s">
        <v>4958</v>
      </c>
      <c r="C1292" t="s">
        <v>4936</v>
      </c>
      <c r="D1292" s="77">
        <v>0.60069444444444442</v>
      </c>
      <c r="E1292" t="s">
        <v>3314</v>
      </c>
      <c r="F1292">
        <v>39</v>
      </c>
      <c r="G1292" t="s">
        <v>3315</v>
      </c>
      <c r="H1292">
        <v>20000</v>
      </c>
      <c r="I1292" t="s">
        <v>3834</v>
      </c>
      <c r="J1292">
        <v>20000</v>
      </c>
      <c r="K1292">
        <v>90000</v>
      </c>
      <c r="L1292" t="s">
        <v>114</v>
      </c>
      <c r="M1292" t="s">
        <v>79</v>
      </c>
      <c r="N1292" t="s">
        <v>131</v>
      </c>
      <c r="O1292" t="s">
        <v>3465</v>
      </c>
      <c r="P1292" s="5" t="s">
        <v>3318</v>
      </c>
      <c r="Q1292">
        <v>4.5</v>
      </c>
    </row>
    <row r="1293" spans="1:17" x14ac:dyDescent="0.3">
      <c r="A1293" s="4">
        <v>44648</v>
      </c>
      <c r="B1293" t="s">
        <v>4959</v>
      </c>
      <c r="C1293" t="s">
        <v>4945</v>
      </c>
      <c r="D1293" s="77">
        <v>0.625</v>
      </c>
      <c r="E1293" t="s">
        <v>3314</v>
      </c>
      <c r="F1293">
        <v>42</v>
      </c>
      <c r="G1293" t="s">
        <v>3889</v>
      </c>
      <c r="H1293">
        <v>20000</v>
      </c>
      <c r="I1293" t="s">
        <v>3889</v>
      </c>
      <c r="J1293">
        <v>20000</v>
      </c>
      <c r="K1293">
        <v>60000</v>
      </c>
      <c r="L1293" t="s">
        <v>149</v>
      </c>
      <c r="M1293" t="s">
        <v>143</v>
      </c>
      <c r="N1293" t="s">
        <v>144</v>
      </c>
      <c r="O1293" t="s">
        <v>4946</v>
      </c>
      <c r="P1293" s="5" t="s">
        <v>3318</v>
      </c>
      <c r="Q1293">
        <v>3</v>
      </c>
    </row>
    <row r="1294" spans="1:17" x14ac:dyDescent="0.3">
      <c r="A1294" s="4">
        <v>44648</v>
      </c>
      <c r="B1294" t="s">
        <v>4960</v>
      </c>
      <c r="C1294" t="s">
        <v>4961</v>
      </c>
      <c r="D1294" s="77">
        <v>0.62569444444444444</v>
      </c>
      <c r="E1294" t="s">
        <v>3314</v>
      </c>
      <c r="F1294">
        <v>49</v>
      </c>
      <c r="G1294" t="s">
        <v>3315</v>
      </c>
      <c r="H1294">
        <v>20000</v>
      </c>
      <c r="I1294" t="s">
        <v>3834</v>
      </c>
      <c r="J1294">
        <v>20000</v>
      </c>
      <c r="K1294">
        <v>90000</v>
      </c>
      <c r="L1294" t="s">
        <v>116</v>
      </c>
      <c r="M1294" t="s">
        <v>77</v>
      </c>
      <c r="N1294" t="s">
        <v>133</v>
      </c>
      <c r="O1294" t="s">
        <v>3376</v>
      </c>
      <c r="P1294" s="5" t="s">
        <v>3318</v>
      </c>
      <c r="Q1294">
        <v>4.5</v>
      </c>
    </row>
    <row r="1295" spans="1:17" x14ac:dyDescent="0.3">
      <c r="A1295" s="4">
        <v>44648</v>
      </c>
      <c r="B1295" t="s">
        <v>4962</v>
      </c>
      <c r="C1295" t="s">
        <v>4851</v>
      </c>
      <c r="D1295" s="77">
        <v>0.6333333333333333</v>
      </c>
      <c r="E1295" t="s">
        <v>3314</v>
      </c>
      <c r="F1295">
        <v>57</v>
      </c>
      <c r="G1295" t="s">
        <v>3315</v>
      </c>
      <c r="H1295">
        <v>20000</v>
      </c>
      <c r="I1295" t="s">
        <v>3834</v>
      </c>
      <c r="J1295">
        <v>20000</v>
      </c>
      <c r="K1295">
        <v>80000</v>
      </c>
      <c r="L1295" t="s">
        <v>118</v>
      </c>
      <c r="M1295" t="s">
        <v>93</v>
      </c>
      <c r="N1295" t="s">
        <v>121</v>
      </c>
      <c r="O1295" t="s">
        <v>3781</v>
      </c>
      <c r="P1295" s="5" t="s">
        <v>3318</v>
      </c>
      <c r="Q1295">
        <v>4</v>
      </c>
    </row>
    <row r="1296" spans="1:17" x14ac:dyDescent="0.3">
      <c r="A1296" s="4">
        <v>44648</v>
      </c>
      <c r="B1296" t="s">
        <v>4963</v>
      </c>
      <c r="C1296" t="s">
        <v>4948</v>
      </c>
      <c r="D1296" s="77">
        <v>0.63472222222222219</v>
      </c>
      <c r="E1296" t="s">
        <v>3314</v>
      </c>
      <c r="F1296">
        <v>40</v>
      </c>
      <c r="G1296" t="s">
        <v>3315</v>
      </c>
      <c r="H1296">
        <v>30000</v>
      </c>
      <c r="I1296" t="s">
        <v>3834</v>
      </c>
      <c r="J1296">
        <v>30000</v>
      </c>
      <c r="K1296">
        <v>135000</v>
      </c>
      <c r="L1296" t="s">
        <v>116</v>
      </c>
      <c r="M1296" t="s">
        <v>78</v>
      </c>
      <c r="N1296" t="s">
        <v>100</v>
      </c>
      <c r="O1296" t="s">
        <v>4472</v>
      </c>
      <c r="P1296" s="5" t="s">
        <v>3318</v>
      </c>
      <c r="Q1296">
        <v>4.5</v>
      </c>
    </row>
    <row r="1297" spans="1:17" x14ac:dyDescent="0.3">
      <c r="A1297" s="4">
        <v>44648</v>
      </c>
      <c r="B1297" t="s">
        <v>4964</v>
      </c>
      <c r="C1297" t="s">
        <v>3636</v>
      </c>
      <c r="D1297" s="77">
        <v>0.64097222222222217</v>
      </c>
      <c r="E1297" t="s">
        <v>3314</v>
      </c>
      <c r="F1297">
        <v>64</v>
      </c>
      <c r="G1297" t="s">
        <v>3315</v>
      </c>
      <c r="H1297">
        <v>20000</v>
      </c>
      <c r="I1297" t="s">
        <v>3834</v>
      </c>
      <c r="J1297">
        <v>20000</v>
      </c>
      <c r="K1297">
        <v>90000</v>
      </c>
      <c r="L1297" t="s">
        <v>116</v>
      </c>
      <c r="M1297" t="s">
        <v>65</v>
      </c>
      <c r="N1297" t="s">
        <v>102</v>
      </c>
      <c r="O1297" t="s">
        <v>3506</v>
      </c>
      <c r="P1297" s="5" t="s">
        <v>3318</v>
      </c>
      <c r="Q1297">
        <v>4.5</v>
      </c>
    </row>
    <row r="1298" spans="1:17" x14ac:dyDescent="0.3">
      <c r="A1298" s="4">
        <v>44648</v>
      </c>
      <c r="B1298" t="s">
        <v>4965</v>
      </c>
      <c r="C1298" t="s">
        <v>4851</v>
      </c>
      <c r="D1298" s="77">
        <v>0.64444444444444449</v>
      </c>
      <c r="E1298" t="s">
        <v>3314</v>
      </c>
      <c r="F1298">
        <v>50</v>
      </c>
      <c r="G1298" t="s">
        <v>3315</v>
      </c>
      <c r="H1298">
        <v>20000</v>
      </c>
      <c r="I1298" t="s">
        <v>3834</v>
      </c>
      <c r="J1298">
        <v>20000</v>
      </c>
      <c r="K1298">
        <v>90000</v>
      </c>
      <c r="L1298" t="s">
        <v>119</v>
      </c>
      <c r="M1298" t="s">
        <v>27</v>
      </c>
      <c r="N1298" t="s">
        <v>101</v>
      </c>
      <c r="O1298" t="s">
        <v>3803</v>
      </c>
      <c r="P1298" s="5" t="s">
        <v>3318</v>
      </c>
      <c r="Q1298">
        <v>4.5</v>
      </c>
    </row>
    <row r="1299" spans="1:17" x14ac:dyDescent="0.3">
      <c r="A1299" s="4">
        <v>44648</v>
      </c>
      <c r="B1299" t="s">
        <v>4966</v>
      </c>
      <c r="C1299" t="s">
        <v>4004</v>
      </c>
      <c r="D1299" s="77">
        <v>0.64722222222222225</v>
      </c>
      <c r="E1299" t="s">
        <v>3332</v>
      </c>
      <c r="F1299">
        <v>51</v>
      </c>
      <c r="G1299" t="s">
        <v>3315</v>
      </c>
      <c r="H1299">
        <v>20000</v>
      </c>
      <c r="I1299" t="s">
        <v>3834</v>
      </c>
      <c r="J1299">
        <v>20000</v>
      </c>
      <c r="K1299">
        <v>100000</v>
      </c>
      <c r="L1299" t="s">
        <v>116</v>
      </c>
      <c r="M1299" t="s">
        <v>111</v>
      </c>
      <c r="N1299" t="s">
        <v>112</v>
      </c>
      <c r="O1299" t="s">
        <v>4967</v>
      </c>
      <c r="P1299" s="5" t="s">
        <v>3318</v>
      </c>
      <c r="Q1299">
        <v>5</v>
      </c>
    </row>
    <row r="1300" spans="1:17" x14ac:dyDescent="0.3">
      <c r="A1300" s="4">
        <v>44648</v>
      </c>
      <c r="B1300" t="s">
        <v>4968</v>
      </c>
      <c r="C1300" t="s">
        <v>4961</v>
      </c>
      <c r="D1300" s="77">
        <v>0.65416666666666667</v>
      </c>
      <c r="E1300" t="s">
        <v>3314</v>
      </c>
      <c r="F1300">
        <v>29</v>
      </c>
      <c r="G1300" t="s">
        <v>3336</v>
      </c>
      <c r="H1300">
        <v>20000</v>
      </c>
      <c r="I1300" t="s">
        <v>3336</v>
      </c>
      <c r="J1300">
        <v>20000</v>
      </c>
      <c r="K1300">
        <v>90000</v>
      </c>
      <c r="L1300" t="s">
        <v>116</v>
      </c>
      <c r="M1300" t="s">
        <v>77</v>
      </c>
      <c r="N1300" t="s">
        <v>133</v>
      </c>
      <c r="O1300" t="s">
        <v>3376</v>
      </c>
      <c r="P1300" s="5" t="s">
        <v>3318</v>
      </c>
      <c r="Q1300">
        <v>4.5</v>
      </c>
    </row>
    <row r="1301" spans="1:17" x14ac:dyDescent="0.3">
      <c r="A1301" s="4">
        <v>44648</v>
      </c>
      <c r="B1301" t="s">
        <v>4969</v>
      </c>
      <c r="C1301" t="s">
        <v>4956</v>
      </c>
      <c r="D1301" s="77">
        <v>0.65625</v>
      </c>
      <c r="E1301" t="s">
        <v>3314</v>
      </c>
      <c r="F1301">
        <v>30</v>
      </c>
      <c r="G1301" t="s">
        <v>3315</v>
      </c>
      <c r="H1301">
        <v>30000</v>
      </c>
      <c r="I1301" t="s">
        <v>3834</v>
      </c>
      <c r="J1301">
        <v>30000</v>
      </c>
      <c r="K1301">
        <v>135000</v>
      </c>
      <c r="L1301" t="s">
        <v>116</v>
      </c>
      <c r="M1301" t="s">
        <v>76</v>
      </c>
      <c r="N1301" t="s">
        <v>107</v>
      </c>
      <c r="O1301" t="s">
        <v>3321</v>
      </c>
      <c r="P1301" s="5" t="s">
        <v>3318</v>
      </c>
      <c r="Q1301">
        <v>4.5</v>
      </c>
    </row>
    <row r="1302" spans="1:17" x14ac:dyDescent="0.3">
      <c r="A1302" s="4">
        <v>44648</v>
      </c>
      <c r="B1302" t="s">
        <v>4970</v>
      </c>
      <c r="C1302" t="s">
        <v>4971</v>
      </c>
      <c r="D1302" s="77">
        <v>0.65972222222222221</v>
      </c>
      <c r="E1302" t="s">
        <v>3332</v>
      </c>
      <c r="F1302">
        <v>48</v>
      </c>
      <c r="G1302" t="s">
        <v>3315</v>
      </c>
      <c r="H1302">
        <v>20000</v>
      </c>
      <c r="I1302" t="s">
        <v>3834</v>
      </c>
      <c r="J1302">
        <v>20000</v>
      </c>
      <c r="K1302">
        <v>100000</v>
      </c>
      <c r="L1302" t="s">
        <v>113</v>
      </c>
      <c r="M1302" t="s">
        <v>22</v>
      </c>
      <c r="N1302" t="s">
        <v>98</v>
      </c>
      <c r="O1302" t="s">
        <v>3437</v>
      </c>
      <c r="P1302" s="5" t="s">
        <v>3318</v>
      </c>
      <c r="Q1302">
        <v>5</v>
      </c>
    </row>
    <row r="1303" spans="1:17" x14ac:dyDescent="0.3">
      <c r="A1303" s="4">
        <v>44648</v>
      </c>
      <c r="B1303" t="s">
        <v>4972</v>
      </c>
      <c r="C1303" t="s">
        <v>4936</v>
      </c>
      <c r="D1303" s="77">
        <v>0.67638888888888893</v>
      </c>
      <c r="E1303" t="s">
        <v>3314</v>
      </c>
      <c r="F1303">
        <v>60</v>
      </c>
      <c r="G1303" t="s">
        <v>3315</v>
      </c>
      <c r="H1303">
        <v>20000</v>
      </c>
      <c r="I1303" t="s">
        <v>3834</v>
      </c>
      <c r="J1303">
        <v>20000</v>
      </c>
      <c r="K1303">
        <v>90000</v>
      </c>
      <c r="L1303" t="s">
        <v>114</v>
      </c>
      <c r="M1303" t="s">
        <v>79</v>
      </c>
      <c r="N1303" t="s">
        <v>131</v>
      </c>
      <c r="O1303" t="s">
        <v>3465</v>
      </c>
      <c r="P1303" s="5" t="s">
        <v>3318</v>
      </c>
      <c r="Q1303">
        <v>4.5</v>
      </c>
    </row>
    <row r="1304" spans="1:17" x14ac:dyDescent="0.3">
      <c r="A1304" s="4">
        <v>44648</v>
      </c>
      <c r="B1304" t="s">
        <v>4973</v>
      </c>
      <c r="C1304" t="s">
        <v>4004</v>
      </c>
      <c r="D1304" s="77">
        <v>0.67847222222222225</v>
      </c>
      <c r="E1304" t="s">
        <v>3332</v>
      </c>
      <c r="F1304">
        <v>56</v>
      </c>
      <c r="G1304" t="s">
        <v>3315</v>
      </c>
      <c r="H1304">
        <v>30000</v>
      </c>
      <c r="I1304" t="s">
        <v>3834</v>
      </c>
      <c r="J1304">
        <v>30000</v>
      </c>
      <c r="K1304">
        <v>120000</v>
      </c>
      <c r="L1304" t="s">
        <v>118</v>
      </c>
      <c r="M1304" t="s">
        <v>147</v>
      </c>
      <c r="N1304" t="s">
        <v>148</v>
      </c>
      <c r="O1304" t="s">
        <v>4974</v>
      </c>
      <c r="P1304" s="5" t="s">
        <v>3318</v>
      </c>
      <c r="Q1304">
        <v>4</v>
      </c>
    </row>
    <row r="1305" spans="1:17" x14ac:dyDescent="0.3">
      <c r="A1305" s="4">
        <v>44648</v>
      </c>
      <c r="B1305" t="s">
        <v>4975</v>
      </c>
      <c r="C1305" t="s">
        <v>4936</v>
      </c>
      <c r="D1305" s="77">
        <v>0.68263888888888891</v>
      </c>
      <c r="E1305" t="s">
        <v>3314</v>
      </c>
      <c r="F1305">
        <v>53</v>
      </c>
      <c r="G1305" t="s">
        <v>3315</v>
      </c>
      <c r="H1305">
        <v>20000</v>
      </c>
      <c r="I1305" t="s">
        <v>3834</v>
      </c>
      <c r="J1305">
        <v>20000</v>
      </c>
      <c r="K1305">
        <v>90000</v>
      </c>
      <c r="L1305" t="s">
        <v>114</v>
      </c>
      <c r="M1305" t="s">
        <v>79</v>
      </c>
      <c r="N1305" t="s">
        <v>131</v>
      </c>
      <c r="O1305" t="s">
        <v>3465</v>
      </c>
      <c r="P1305" s="5" t="s">
        <v>3318</v>
      </c>
      <c r="Q1305">
        <v>4.5</v>
      </c>
    </row>
    <row r="1306" spans="1:17" x14ac:dyDescent="0.3">
      <c r="A1306" s="4">
        <v>44648</v>
      </c>
      <c r="B1306" t="s">
        <v>4976</v>
      </c>
      <c r="C1306" t="s">
        <v>4977</v>
      </c>
      <c r="D1306" s="77">
        <v>0.68472222222222223</v>
      </c>
      <c r="E1306" t="s">
        <v>3314</v>
      </c>
      <c r="F1306">
        <v>56</v>
      </c>
      <c r="G1306" t="s">
        <v>3315</v>
      </c>
      <c r="H1306">
        <v>30000</v>
      </c>
      <c r="I1306" t="s">
        <v>3834</v>
      </c>
      <c r="J1306">
        <v>30000</v>
      </c>
      <c r="K1306">
        <v>120000</v>
      </c>
      <c r="L1306" t="s">
        <v>118</v>
      </c>
      <c r="M1306" t="s">
        <v>94</v>
      </c>
      <c r="N1306" t="s">
        <v>138</v>
      </c>
      <c r="O1306" t="s">
        <v>3775</v>
      </c>
      <c r="P1306" s="5" t="s">
        <v>3318</v>
      </c>
      <c r="Q1306">
        <v>4</v>
      </c>
    </row>
    <row r="1307" spans="1:17" x14ac:dyDescent="0.3">
      <c r="A1307" s="4">
        <v>44648</v>
      </c>
      <c r="B1307" t="s">
        <v>4978</v>
      </c>
      <c r="C1307" t="s">
        <v>4851</v>
      </c>
      <c r="D1307" s="77">
        <v>0.68680555555555556</v>
      </c>
      <c r="E1307" t="s">
        <v>3314</v>
      </c>
      <c r="F1307">
        <v>37</v>
      </c>
      <c r="G1307" t="s">
        <v>3315</v>
      </c>
      <c r="H1307">
        <v>20000</v>
      </c>
      <c r="I1307" t="s">
        <v>3834</v>
      </c>
      <c r="J1307">
        <v>20000</v>
      </c>
      <c r="K1307">
        <v>90000</v>
      </c>
      <c r="L1307" t="s">
        <v>119</v>
      </c>
      <c r="M1307" t="s">
        <v>27</v>
      </c>
      <c r="N1307" t="s">
        <v>101</v>
      </c>
      <c r="O1307" t="s">
        <v>3803</v>
      </c>
      <c r="P1307" s="5" t="s">
        <v>3318</v>
      </c>
      <c r="Q1307">
        <v>4.5</v>
      </c>
    </row>
    <row r="1308" spans="1:17" x14ac:dyDescent="0.3">
      <c r="A1308" s="4">
        <v>44648</v>
      </c>
      <c r="B1308" t="s">
        <v>4979</v>
      </c>
      <c r="C1308" t="s">
        <v>4956</v>
      </c>
      <c r="D1308" s="77">
        <v>0.6875</v>
      </c>
      <c r="E1308" t="s">
        <v>3314</v>
      </c>
      <c r="F1308">
        <v>54</v>
      </c>
      <c r="G1308" t="s">
        <v>3889</v>
      </c>
      <c r="H1308">
        <v>20000</v>
      </c>
      <c r="I1308" t="s">
        <v>3889</v>
      </c>
      <c r="J1308">
        <v>20000</v>
      </c>
      <c r="K1308">
        <v>80000</v>
      </c>
      <c r="L1308" t="s">
        <v>118</v>
      </c>
      <c r="M1308" t="s">
        <v>96</v>
      </c>
      <c r="N1308" t="s">
        <v>140</v>
      </c>
      <c r="O1308" t="s">
        <v>4105</v>
      </c>
      <c r="P1308" s="5" t="s">
        <v>3318</v>
      </c>
      <c r="Q1308">
        <v>4</v>
      </c>
    </row>
    <row r="1309" spans="1:17" x14ac:dyDescent="0.3">
      <c r="A1309" s="4">
        <v>44648</v>
      </c>
      <c r="B1309" t="s">
        <v>4980</v>
      </c>
      <c r="C1309" t="s">
        <v>3454</v>
      </c>
      <c r="D1309" s="77">
        <v>0.70138888888888884</v>
      </c>
      <c r="E1309" t="s">
        <v>3314</v>
      </c>
      <c r="F1309">
        <v>67</v>
      </c>
      <c r="G1309" t="s">
        <v>3315</v>
      </c>
      <c r="H1309">
        <v>20000</v>
      </c>
      <c r="I1309" t="s">
        <v>3834</v>
      </c>
      <c r="J1309">
        <v>20000</v>
      </c>
      <c r="K1309">
        <v>80000</v>
      </c>
      <c r="L1309" t="s">
        <v>118</v>
      </c>
      <c r="M1309" t="s">
        <v>85</v>
      </c>
      <c r="N1309" t="s">
        <v>109</v>
      </c>
      <c r="O1309" t="s">
        <v>3342</v>
      </c>
      <c r="P1309" s="5" t="s">
        <v>3318</v>
      </c>
      <c r="Q1309">
        <v>4</v>
      </c>
    </row>
    <row r="1310" spans="1:17" x14ac:dyDescent="0.3">
      <c r="A1310" s="4">
        <v>44648</v>
      </c>
      <c r="B1310" t="s">
        <v>4981</v>
      </c>
      <c r="C1310" t="s">
        <v>3454</v>
      </c>
      <c r="D1310" s="77">
        <v>0.70486111111111116</v>
      </c>
      <c r="E1310" t="s">
        <v>3314</v>
      </c>
      <c r="F1310">
        <v>52</v>
      </c>
      <c r="G1310" t="s">
        <v>3315</v>
      </c>
      <c r="H1310">
        <v>20000</v>
      </c>
      <c r="I1310" t="s">
        <v>3834</v>
      </c>
      <c r="J1310">
        <v>20000</v>
      </c>
      <c r="K1310">
        <v>80000</v>
      </c>
      <c r="L1310" t="s">
        <v>118</v>
      </c>
      <c r="M1310" t="s">
        <v>141</v>
      </c>
      <c r="N1310" t="s">
        <v>142</v>
      </c>
      <c r="O1310" t="s">
        <v>4707</v>
      </c>
      <c r="P1310" s="5" t="s">
        <v>3318</v>
      </c>
      <c r="Q1310">
        <v>4</v>
      </c>
    </row>
    <row r="1311" spans="1:17" x14ac:dyDescent="0.3">
      <c r="A1311" s="4">
        <v>44648</v>
      </c>
      <c r="B1311" t="s">
        <v>4982</v>
      </c>
      <c r="C1311" t="s">
        <v>4977</v>
      </c>
      <c r="D1311" s="77">
        <v>0.72638888888888886</v>
      </c>
      <c r="E1311" t="s">
        <v>3314</v>
      </c>
      <c r="F1311">
        <v>72</v>
      </c>
      <c r="G1311" t="s">
        <v>3315</v>
      </c>
      <c r="H1311">
        <v>20000</v>
      </c>
      <c r="I1311" t="s">
        <v>3834</v>
      </c>
      <c r="J1311">
        <v>20000</v>
      </c>
      <c r="K1311">
        <v>80000</v>
      </c>
      <c r="L1311" t="s">
        <v>118</v>
      </c>
      <c r="M1311" t="s">
        <v>94</v>
      </c>
      <c r="N1311" t="s">
        <v>138</v>
      </c>
      <c r="O1311" t="s">
        <v>3775</v>
      </c>
      <c r="P1311" s="5" t="s">
        <v>3318</v>
      </c>
      <c r="Q1311">
        <v>4</v>
      </c>
    </row>
    <row r="1312" spans="1:17" x14ac:dyDescent="0.3">
      <c r="A1312" s="4">
        <v>44648</v>
      </c>
      <c r="B1312" t="s">
        <v>4983</v>
      </c>
      <c r="C1312" t="s">
        <v>4004</v>
      </c>
      <c r="D1312" s="77">
        <v>0.73333333333333339</v>
      </c>
      <c r="E1312" t="s">
        <v>3332</v>
      </c>
      <c r="F1312">
        <v>64</v>
      </c>
      <c r="G1312" t="s">
        <v>3315</v>
      </c>
      <c r="H1312">
        <v>20000</v>
      </c>
      <c r="I1312" t="s">
        <v>3834</v>
      </c>
      <c r="J1312">
        <v>20000</v>
      </c>
      <c r="K1312">
        <v>100000</v>
      </c>
      <c r="L1312" t="s">
        <v>116</v>
      </c>
      <c r="M1312" t="s">
        <v>111</v>
      </c>
      <c r="N1312" t="s">
        <v>112</v>
      </c>
      <c r="O1312" t="s">
        <v>4967</v>
      </c>
      <c r="P1312" s="5" t="s">
        <v>3318</v>
      </c>
      <c r="Q1312">
        <v>5</v>
      </c>
    </row>
    <row r="1313" spans="1:17" x14ac:dyDescent="0.3">
      <c r="A1313" s="4">
        <v>44648</v>
      </c>
      <c r="B1313" t="s">
        <v>4984</v>
      </c>
      <c r="C1313" t="s">
        <v>4956</v>
      </c>
      <c r="D1313" s="77">
        <v>0.73958333333333337</v>
      </c>
      <c r="E1313" t="s">
        <v>3314</v>
      </c>
      <c r="F1313">
        <v>32</v>
      </c>
      <c r="G1313" t="s">
        <v>3315</v>
      </c>
      <c r="H1313">
        <v>20000</v>
      </c>
      <c r="I1313" t="s">
        <v>3834</v>
      </c>
      <c r="J1313">
        <v>20000</v>
      </c>
      <c r="K1313">
        <v>80000</v>
      </c>
      <c r="L1313" t="s">
        <v>118</v>
      </c>
      <c r="M1313" t="s">
        <v>96</v>
      </c>
      <c r="N1313" t="s">
        <v>140</v>
      </c>
      <c r="O1313" t="s">
        <v>4105</v>
      </c>
      <c r="P1313" s="5" t="s">
        <v>3318</v>
      </c>
      <c r="Q1313">
        <v>4</v>
      </c>
    </row>
    <row r="1314" spans="1:17" x14ac:dyDescent="0.3">
      <c r="A1314" s="4">
        <v>44648</v>
      </c>
      <c r="B1314" t="s">
        <v>4985</v>
      </c>
      <c r="C1314" t="s">
        <v>4971</v>
      </c>
      <c r="D1314" s="77">
        <v>0.75</v>
      </c>
      <c r="E1314" t="s">
        <v>3332</v>
      </c>
      <c r="F1314">
        <v>39</v>
      </c>
      <c r="G1314" t="s">
        <v>3315</v>
      </c>
      <c r="H1314">
        <v>30000</v>
      </c>
      <c r="I1314" t="s">
        <v>3834</v>
      </c>
      <c r="J1314">
        <v>30000</v>
      </c>
      <c r="K1314">
        <v>150000</v>
      </c>
      <c r="L1314" t="s">
        <v>113</v>
      </c>
      <c r="M1314" t="s">
        <v>22</v>
      </c>
      <c r="N1314" t="s">
        <v>98</v>
      </c>
      <c r="O1314" t="s">
        <v>3437</v>
      </c>
      <c r="P1314" s="5" t="s">
        <v>3318</v>
      </c>
      <c r="Q1314">
        <v>5</v>
      </c>
    </row>
    <row r="1315" spans="1:17" x14ac:dyDescent="0.3">
      <c r="A1315" s="4">
        <v>44648</v>
      </c>
      <c r="B1315" t="s">
        <v>4986</v>
      </c>
      <c r="C1315" t="s">
        <v>4004</v>
      </c>
      <c r="D1315" s="77">
        <v>0.75</v>
      </c>
      <c r="E1315" t="s">
        <v>3332</v>
      </c>
      <c r="F1315">
        <v>38</v>
      </c>
      <c r="G1315" t="s">
        <v>3315</v>
      </c>
      <c r="H1315">
        <v>20000</v>
      </c>
      <c r="I1315" t="s">
        <v>3834</v>
      </c>
      <c r="J1315">
        <v>20000</v>
      </c>
      <c r="K1315">
        <v>100000</v>
      </c>
      <c r="L1315" t="s">
        <v>119</v>
      </c>
      <c r="M1315" t="s">
        <v>29</v>
      </c>
      <c r="N1315" t="s">
        <v>104</v>
      </c>
      <c r="O1315" t="s">
        <v>3457</v>
      </c>
      <c r="P1315" s="5" t="s">
        <v>3318</v>
      </c>
      <c r="Q1315">
        <v>5</v>
      </c>
    </row>
    <row r="1316" spans="1:17" x14ac:dyDescent="0.3">
      <c r="A1316" s="4">
        <v>44648</v>
      </c>
      <c r="B1316" t="s">
        <v>4987</v>
      </c>
      <c r="C1316" t="s">
        <v>3480</v>
      </c>
      <c r="D1316" s="77">
        <v>0.75069444444444444</v>
      </c>
      <c r="E1316" t="s">
        <v>3314</v>
      </c>
      <c r="F1316">
        <v>70</v>
      </c>
      <c r="G1316" t="s">
        <v>3315</v>
      </c>
      <c r="H1316">
        <v>20000</v>
      </c>
      <c r="I1316" t="s">
        <v>3834</v>
      </c>
      <c r="J1316">
        <v>20000</v>
      </c>
      <c r="K1316">
        <v>80000</v>
      </c>
      <c r="L1316" t="s">
        <v>118</v>
      </c>
      <c r="M1316" t="s">
        <v>145</v>
      </c>
      <c r="N1316" t="s">
        <v>146</v>
      </c>
      <c r="O1316" t="s">
        <v>4988</v>
      </c>
      <c r="P1316" s="5" t="s">
        <v>3318</v>
      </c>
      <c r="Q1316">
        <v>4</v>
      </c>
    </row>
    <row r="1317" spans="1:17" x14ac:dyDescent="0.3">
      <c r="A1317" s="4">
        <v>44648</v>
      </c>
      <c r="B1317" t="s">
        <v>4989</v>
      </c>
      <c r="C1317" t="s">
        <v>4004</v>
      </c>
      <c r="D1317" s="77">
        <v>0.75208333333333333</v>
      </c>
      <c r="E1317" t="s">
        <v>3332</v>
      </c>
      <c r="F1317">
        <v>62</v>
      </c>
      <c r="G1317" t="s">
        <v>3315</v>
      </c>
      <c r="H1317">
        <v>30000</v>
      </c>
      <c r="I1317" t="s">
        <v>3834</v>
      </c>
      <c r="J1317">
        <v>30000</v>
      </c>
      <c r="K1317">
        <v>120000</v>
      </c>
      <c r="L1317" t="s">
        <v>118</v>
      </c>
      <c r="M1317" t="s">
        <v>147</v>
      </c>
      <c r="N1317" t="s">
        <v>148</v>
      </c>
      <c r="O1317" t="s">
        <v>4974</v>
      </c>
      <c r="P1317" s="5" t="s">
        <v>3318</v>
      </c>
      <c r="Q1317">
        <v>4</v>
      </c>
    </row>
    <row r="1318" spans="1:17" x14ac:dyDescent="0.3">
      <c r="A1318" s="4">
        <v>44648</v>
      </c>
      <c r="B1318" t="s">
        <v>4990</v>
      </c>
      <c r="C1318" t="s">
        <v>3454</v>
      </c>
      <c r="D1318" s="77">
        <v>0.75694444444444453</v>
      </c>
      <c r="E1318" t="s">
        <v>3314</v>
      </c>
      <c r="F1318">
        <v>44</v>
      </c>
      <c r="G1318" t="s">
        <v>3315</v>
      </c>
      <c r="H1318">
        <v>50000</v>
      </c>
      <c r="I1318" t="s">
        <v>3834</v>
      </c>
      <c r="J1318">
        <v>50000</v>
      </c>
      <c r="K1318">
        <v>200000</v>
      </c>
      <c r="L1318" t="s">
        <v>118</v>
      </c>
      <c r="M1318" t="s">
        <v>141</v>
      </c>
      <c r="N1318" t="s">
        <v>142</v>
      </c>
      <c r="O1318" t="s">
        <v>4707</v>
      </c>
      <c r="P1318" s="5" t="s">
        <v>3318</v>
      </c>
      <c r="Q1318">
        <v>4</v>
      </c>
    </row>
    <row r="1319" spans="1:17" x14ac:dyDescent="0.3">
      <c r="A1319" s="4">
        <v>44648</v>
      </c>
      <c r="B1319" t="s">
        <v>4991</v>
      </c>
      <c r="C1319" t="s">
        <v>3454</v>
      </c>
      <c r="D1319" s="77">
        <v>0.77777777777777779</v>
      </c>
      <c r="E1319" t="s">
        <v>3314</v>
      </c>
      <c r="F1319">
        <v>34</v>
      </c>
      <c r="G1319" t="s">
        <v>3315</v>
      </c>
      <c r="H1319">
        <v>20000</v>
      </c>
      <c r="I1319" t="s">
        <v>3834</v>
      </c>
      <c r="J1319">
        <v>20000</v>
      </c>
      <c r="K1319">
        <v>80000</v>
      </c>
      <c r="L1319" t="s">
        <v>118</v>
      </c>
      <c r="M1319" t="s">
        <v>85</v>
      </c>
      <c r="N1319" t="s">
        <v>109</v>
      </c>
      <c r="O1319" t="s">
        <v>3342</v>
      </c>
      <c r="P1319" s="5" t="s">
        <v>3318</v>
      </c>
      <c r="Q1319">
        <v>4</v>
      </c>
    </row>
    <row r="1320" spans="1:17" x14ac:dyDescent="0.3">
      <c r="A1320" s="4">
        <v>44648</v>
      </c>
      <c r="B1320" t="s">
        <v>4992</v>
      </c>
      <c r="C1320" t="s">
        <v>4004</v>
      </c>
      <c r="D1320" s="77">
        <v>0.79375000000000007</v>
      </c>
      <c r="E1320" t="s">
        <v>3332</v>
      </c>
      <c r="F1320">
        <v>30</v>
      </c>
      <c r="G1320" t="s">
        <v>3315</v>
      </c>
      <c r="H1320">
        <v>20000</v>
      </c>
      <c r="I1320" t="s">
        <v>3834</v>
      </c>
      <c r="J1320">
        <v>20000</v>
      </c>
      <c r="K1320">
        <v>80000</v>
      </c>
      <c r="L1320" t="s">
        <v>118</v>
      </c>
      <c r="M1320" t="s">
        <v>147</v>
      </c>
      <c r="N1320" t="s">
        <v>148</v>
      </c>
      <c r="O1320" t="s">
        <v>4974</v>
      </c>
      <c r="P1320" s="5" t="s">
        <v>3318</v>
      </c>
      <c r="Q1320">
        <v>4</v>
      </c>
    </row>
    <row r="1321" spans="1:17" x14ac:dyDescent="0.3">
      <c r="A1321" s="4">
        <v>44648</v>
      </c>
      <c r="B1321" t="s">
        <v>4993</v>
      </c>
      <c r="C1321" t="s">
        <v>4945</v>
      </c>
      <c r="D1321" s="77">
        <v>0.83680555555555547</v>
      </c>
      <c r="E1321" t="s">
        <v>3314</v>
      </c>
      <c r="F1321">
        <v>51</v>
      </c>
      <c r="G1321" t="s">
        <v>3315</v>
      </c>
      <c r="H1321">
        <v>20000</v>
      </c>
      <c r="I1321" t="s">
        <v>3834</v>
      </c>
      <c r="J1321">
        <v>20000</v>
      </c>
      <c r="K1321">
        <v>80000</v>
      </c>
      <c r="L1321" t="s">
        <v>118</v>
      </c>
      <c r="M1321" t="s">
        <v>90</v>
      </c>
      <c r="N1321" t="s">
        <v>110</v>
      </c>
      <c r="O1321" t="s">
        <v>3455</v>
      </c>
      <c r="P1321" s="5" t="s">
        <v>3318</v>
      </c>
      <c r="Q1321">
        <v>4</v>
      </c>
    </row>
    <row r="1322" spans="1:17" x14ac:dyDescent="0.3">
      <c r="A1322" s="4">
        <v>44649</v>
      </c>
      <c r="B1322" t="s">
        <v>4994</v>
      </c>
      <c r="C1322" t="s">
        <v>4995</v>
      </c>
      <c r="D1322" s="77">
        <v>0.52777777777777779</v>
      </c>
      <c r="E1322" t="s">
        <v>3332</v>
      </c>
      <c r="F1322">
        <v>30</v>
      </c>
      <c r="G1322" t="s">
        <v>3315</v>
      </c>
      <c r="H1322">
        <v>30000</v>
      </c>
      <c r="I1322" t="s">
        <v>3834</v>
      </c>
      <c r="J1322">
        <v>30000</v>
      </c>
      <c r="K1322">
        <v>150000</v>
      </c>
      <c r="L1322" t="s">
        <v>114</v>
      </c>
      <c r="M1322" t="s">
        <v>23</v>
      </c>
      <c r="N1322" t="s">
        <v>99</v>
      </c>
      <c r="O1322" t="s">
        <v>3358</v>
      </c>
      <c r="P1322" s="5" t="s">
        <v>3318</v>
      </c>
      <c r="Q1322">
        <v>5</v>
      </c>
    </row>
    <row r="1323" spans="1:17" x14ac:dyDescent="0.3">
      <c r="A1323" s="4">
        <v>44649</v>
      </c>
      <c r="B1323" t="s">
        <v>4996</v>
      </c>
      <c r="C1323" t="s">
        <v>4997</v>
      </c>
      <c r="D1323" s="77">
        <v>0.54027777777777775</v>
      </c>
      <c r="E1323" t="s">
        <v>3314</v>
      </c>
      <c r="F1323">
        <v>77</v>
      </c>
      <c r="G1323" t="s">
        <v>3315</v>
      </c>
      <c r="H1323">
        <v>30000</v>
      </c>
      <c r="I1323" t="s">
        <v>3834</v>
      </c>
      <c r="J1323">
        <v>30000</v>
      </c>
      <c r="K1323">
        <v>135000</v>
      </c>
      <c r="L1323" t="s">
        <v>116</v>
      </c>
      <c r="M1323" t="s">
        <v>78</v>
      </c>
      <c r="N1323" t="s">
        <v>100</v>
      </c>
      <c r="O1323" t="s">
        <v>4472</v>
      </c>
      <c r="P1323" s="5" t="s">
        <v>3318</v>
      </c>
      <c r="Q1323">
        <v>4.5</v>
      </c>
    </row>
    <row r="1324" spans="1:17" x14ac:dyDescent="0.3">
      <c r="A1324" s="4">
        <v>44649</v>
      </c>
      <c r="B1324" t="s">
        <v>4998</v>
      </c>
      <c r="C1324" t="s">
        <v>4997</v>
      </c>
      <c r="D1324" s="77">
        <v>0.54166666666666663</v>
      </c>
      <c r="E1324" t="s">
        <v>3314</v>
      </c>
      <c r="F1324">
        <v>40</v>
      </c>
      <c r="G1324" t="s">
        <v>3315</v>
      </c>
      <c r="H1324">
        <v>20000</v>
      </c>
      <c r="I1324" t="s">
        <v>3834</v>
      </c>
      <c r="J1324">
        <v>20000</v>
      </c>
      <c r="K1324">
        <v>80000</v>
      </c>
      <c r="L1324" t="s">
        <v>118</v>
      </c>
      <c r="M1324" t="s">
        <v>88</v>
      </c>
      <c r="N1324" t="s">
        <v>117</v>
      </c>
      <c r="O1324" t="s">
        <v>4475</v>
      </c>
      <c r="P1324" s="5" t="s">
        <v>3318</v>
      </c>
      <c r="Q1324">
        <v>4</v>
      </c>
    </row>
    <row r="1325" spans="1:17" x14ac:dyDescent="0.3">
      <c r="A1325" s="4">
        <v>44649</v>
      </c>
      <c r="B1325" t="s">
        <v>4999</v>
      </c>
      <c r="C1325" t="s">
        <v>5000</v>
      </c>
      <c r="D1325" s="77">
        <v>0.55625000000000002</v>
      </c>
      <c r="E1325" t="s">
        <v>3314</v>
      </c>
      <c r="F1325">
        <v>58</v>
      </c>
      <c r="G1325" t="s">
        <v>3315</v>
      </c>
      <c r="H1325">
        <v>20000</v>
      </c>
      <c r="I1325" t="s">
        <v>3834</v>
      </c>
      <c r="J1325">
        <v>20000</v>
      </c>
      <c r="K1325">
        <v>80000</v>
      </c>
      <c r="L1325" t="s">
        <v>118</v>
      </c>
      <c r="M1325" t="s">
        <v>92</v>
      </c>
      <c r="N1325" t="s">
        <v>137</v>
      </c>
      <c r="O1325" t="s">
        <v>3476</v>
      </c>
      <c r="P1325" s="5" t="s">
        <v>3318</v>
      </c>
      <c r="Q1325">
        <v>4</v>
      </c>
    </row>
    <row r="1326" spans="1:17" x14ac:dyDescent="0.3">
      <c r="A1326" s="4">
        <v>44649</v>
      </c>
      <c r="B1326" t="s">
        <v>5001</v>
      </c>
      <c r="C1326" t="s">
        <v>3636</v>
      </c>
      <c r="D1326" s="77">
        <v>0.58680555555555558</v>
      </c>
      <c r="E1326" t="s">
        <v>3314</v>
      </c>
      <c r="F1326">
        <v>50</v>
      </c>
      <c r="G1326" t="s">
        <v>3315</v>
      </c>
      <c r="H1326">
        <v>20000</v>
      </c>
      <c r="I1326" t="s">
        <v>3834</v>
      </c>
      <c r="J1326">
        <v>20000</v>
      </c>
      <c r="K1326">
        <v>90000</v>
      </c>
      <c r="L1326" t="s">
        <v>116</v>
      </c>
      <c r="M1326" t="s">
        <v>65</v>
      </c>
      <c r="N1326" t="s">
        <v>102</v>
      </c>
      <c r="O1326" t="s">
        <v>3506</v>
      </c>
      <c r="P1326" s="5" t="s">
        <v>3318</v>
      </c>
      <c r="Q1326">
        <v>4.5</v>
      </c>
    </row>
    <row r="1327" spans="1:17" x14ac:dyDescent="0.3">
      <c r="A1327" s="4">
        <v>44649</v>
      </c>
      <c r="B1327" t="s">
        <v>5002</v>
      </c>
      <c r="C1327" t="s">
        <v>3636</v>
      </c>
      <c r="D1327" s="77">
        <v>0.59444444444444444</v>
      </c>
      <c r="E1327" t="s">
        <v>3314</v>
      </c>
      <c r="F1327">
        <v>54</v>
      </c>
      <c r="G1327" t="s">
        <v>3315</v>
      </c>
      <c r="H1327">
        <v>30000</v>
      </c>
      <c r="I1327" t="s">
        <v>3834</v>
      </c>
      <c r="J1327">
        <v>30000</v>
      </c>
      <c r="K1327">
        <v>120000</v>
      </c>
      <c r="L1327" t="s">
        <v>118</v>
      </c>
      <c r="M1327" t="s">
        <v>93</v>
      </c>
      <c r="N1327" t="s">
        <v>121</v>
      </c>
      <c r="O1327" t="s">
        <v>3781</v>
      </c>
      <c r="P1327" s="5" t="s">
        <v>3318</v>
      </c>
      <c r="Q1327">
        <v>4</v>
      </c>
    </row>
    <row r="1328" spans="1:17" x14ac:dyDescent="0.3">
      <c r="A1328" s="4">
        <v>44649</v>
      </c>
      <c r="B1328" t="s">
        <v>5003</v>
      </c>
      <c r="C1328" t="s">
        <v>5000</v>
      </c>
      <c r="D1328" s="77">
        <v>0.59583333333333333</v>
      </c>
      <c r="E1328" t="s">
        <v>3314</v>
      </c>
      <c r="F1328">
        <v>59</v>
      </c>
      <c r="G1328" t="s">
        <v>3315</v>
      </c>
      <c r="H1328">
        <v>20000</v>
      </c>
      <c r="I1328" t="s">
        <v>3834</v>
      </c>
      <c r="J1328">
        <v>20000</v>
      </c>
      <c r="K1328">
        <v>80000</v>
      </c>
      <c r="L1328" t="s">
        <v>118</v>
      </c>
      <c r="M1328" t="s">
        <v>92</v>
      </c>
      <c r="N1328" t="s">
        <v>137</v>
      </c>
      <c r="O1328" t="s">
        <v>3476</v>
      </c>
      <c r="P1328" s="5" t="s">
        <v>3318</v>
      </c>
      <c r="Q1328">
        <v>4</v>
      </c>
    </row>
    <row r="1329" spans="1:17" x14ac:dyDescent="0.3">
      <c r="A1329" s="4">
        <v>44649</v>
      </c>
      <c r="B1329" t="s">
        <v>5004</v>
      </c>
      <c r="C1329" t="s">
        <v>5005</v>
      </c>
      <c r="D1329" s="77">
        <v>0.60069444444444442</v>
      </c>
      <c r="E1329" t="s">
        <v>3314</v>
      </c>
      <c r="F1329">
        <v>24</v>
      </c>
      <c r="G1329" t="s">
        <v>3575</v>
      </c>
      <c r="H1329">
        <v>30000</v>
      </c>
      <c r="I1329" t="s">
        <v>3575</v>
      </c>
      <c r="J1329">
        <v>30000</v>
      </c>
      <c r="K1329">
        <v>120000</v>
      </c>
      <c r="L1329" t="s">
        <v>118</v>
      </c>
      <c r="M1329" t="s">
        <v>145</v>
      </c>
      <c r="N1329" t="s">
        <v>146</v>
      </c>
      <c r="O1329" t="s">
        <v>4988</v>
      </c>
      <c r="P1329" s="5" t="s">
        <v>3318</v>
      </c>
      <c r="Q1329">
        <v>4</v>
      </c>
    </row>
    <row r="1330" spans="1:17" x14ac:dyDescent="0.3">
      <c r="A1330" s="4">
        <v>44649</v>
      </c>
      <c r="B1330" t="s">
        <v>5006</v>
      </c>
      <c r="C1330" t="s">
        <v>4997</v>
      </c>
      <c r="D1330" s="77">
        <v>0.6020833333333333</v>
      </c>
      <c r="E1330" t="s">
        <v>3314</v>
      </c>
      <c r="F1330">
        <v>46</v>
      </c>
      <c r="G1330" t="s">
        <v>3315</v>
      </c>
      <c r="H1330">
        <v>30000</v>
      </c>
      <c r="I1330" t="s">
        <v>3834</v>
      </c>
      <c r="J1330">
        <v>30000</v>
      </c>
      <c r="K1330">
        <v>135000</v>
      </c>
      <c r="L1330" t="s">
        <v>116</v>
      </c>
      <c r="M1330" t="s">
        <v>78</v>
      </c>
      <c r="N1330" t="s">
        <v>100</v>
      </c>
      <c r="O1330" t="s">
        <v>4472</v>
      </c>
      <c r="P1330" s="5" t="s">
        <v>3318</v>
      </c>
      <c r="Q1330">
        <v>4.5</v>
      </c>
    </row>
    <row r="1331" spans="1:17" x14ac:dyDescent="0.3">
      <c r="A1331" s="4">
        <v>44649</v>
      </c>
      <c r="B1331" t="s">
        <v>5007</v>
      </c>
      <c r="C1331" t="s">
        <v>3636</v>
      </c>
      <c r="D1331" s="77">
        <v>0.60416666666666663</v>
      </c>
      <c r="E1331" t="s">
        <v>3314</v>
      </c>
      <c r="F1331">
        <v>61</v>
      </c>
      <c r="G1331" t="s">
        <v>3315</v>
      </c>
      <c r="H1331">
        <v>20000</v>
      </c>
      <c r="I1331" t="s">
        <v>3834</v>
      </c>
      <c r="J1331">
        <v>20000</v>
      </c>
      <c r="K1331">
        <v>90000</v>
      </c>
      <c r="L1331" t="s">
        <v>116</v>
      </c>
      <c r="M1331" t="s">
        <v>65</v>
      </c>
      <c r="N1331" t="s">
        <v>102</v>
      </c>
      <c r="O1331" t="s">
        <v>3506</v>
      </c>
      <c r="P1331" s="5" t="s">
        <v>3318</v>
      </c>
      <c r="Q1331">
        <v>4.5</v>
      </c>
    </row>
    <row r="1332" spans="1:17" x14ac:dyDescent="0.3">
      <c r="A1332" s="4">
        <v>44649</v>
      </c>
      <c r="B1332" t="s">
        <v>5008</v>
      </c>
      <c r="C1332" t="s">
        <v>3724</v>
      </c>
      <c r="D1332" s="77">
        <v>0.60763888888888895</v>
      </c>
      <c r="E1332" t="s">
        <v>3314</v>
      </c>
      <c r="F1332">
        <v>50</v>
      </c>
      <c r="G1332" t="s">
        <v>3315</v>
      </c>
      <c r="H1332">
        <v>20000</v>
      </c>
      <c r="I1332" t="s">
        <v>3834</v>
      </c>
      <c r="J1332">
        <v>20000</v>
      </c>
      <c r="K1332">
        <v>80000</v>
      </c>
      <c r="L1332" t="s">
        <v>118</v>
      </c>
      <c r="M1332" t="s">
        <v>85</v>
      </c>
      <c r="N1332" t="s">
        <v>109</v>
      </c>
      <c r="O1332" t="s">
        <v>3342</v>
      </c>
      <c r="P1332" s="5" t="s">
        <v>3318</v>
      </c>
      <c r="Q1332">
        <v>4</v>
      </c>
    </row>
    <row r="1333" spans="1:17" x14ac:dyDescent="0.3">
      <c r="A1333" s="4">
        <v>44649</v>
      </c>
      <c r="B1333" t="s">
        <v>5009</v>
      </c>
      <c r="C1333" t="s">
        <v>4995</v>
      </c>
      <c r="D1333" s="77">
        <v>0.61805555555555558</v>
      </c>
      <c r="E1333" t="s">
        <v>3332</v>
      </c>
      <c r="F1333">
        <v>54</v>
      </c>
      <c r="G1333" t="s">
        <v>3315</v>
      </c>
      <c r="H1333">
        <v>30000</v>
      </c>
      <c r="I1333" t="s">
        <v>3834</v>
      </c>
      <c r="J1333">
        <v>30000</v>
      </c>
      <c r="K1333">
        <v>150000</v>
      </c>
      <c r="L1333" t="s">
        <v>114</v>
      </c>
      <c r="M1333" t="s">
        <v>23</v>
      </c>
      <c r="N1333" t="s">
        <v>99</v>
      </c>
      <c r="O1333" t="s">
        <v>3358</v>
      </c>
      <c r="P1333" s="5" t="s">
        <v>3318</v>
      </c>
      <c r="Q1333">
        <v>5</v>
      </c>
    </row>
    <row r="1334" spans="1:17" x14ac:dyDescent="0.3">
      <c r="A1334" s="4">
        <v>44649</v>
      </c>
      <c r="B1334" t="s">
        <v>5010</v>
      </c>
      <c r="C1334" t="s">
        <v>5011</v>
      </c>
      <c r="D1334" s="77">
        <v>0.61805555555555558</v>
      </c>
      <c r="E1334" t="s">
        <v>3314</v>
      </c>
      <c r="F1334">
        <v>38</v>
      </c>
      <c r="G1334" t="s">
        <v>3315</v>
      </c>
      <c r="H1334">
        <v>20000</v>
      </c>
      <c r="I1334" t="s">
        <v>3834</v>
      </c>
      <c r="J1334">
        <v>20000</v>
      </c>
      <c r="K1334">
        <v>80000</v>
      </c>
      <c r="L1334" t="s">
        <v>118</v>
      </c>
      <c r="M1334" t="s">
        <v>87</v>
      </c>
      <c r="N1334" t="s">
        <v>134</v>
      </c>
      <c r="O1334" t="s">
        <v>3528</v>
      </c>
      <c r="P1334" s="5" t="s">
        <v>3318</v>
      </c>
      <c r="Q1334">
        <v>4</v>
      </c>
    </row>
    <row r="1335" spans="1:17" x14ac:dyDescent="0.3">
      <c r="A1335" s="4">
        <v>44649</v>
      </c>
      <c r="B1335" t="s">
        <v>5012</v>
      </c>
      <c r="C1335" t="s">
        <v>3636</v>
      </c>
      <c r="D1335" s="77">
        <v>0.62638888888888888</v>
      </c>
      <c r="E1335" t="s">
        <v>3314</v>
      </c>
      <c r="F1335">
        <v>83</v>
      </c>
      <c r="G1335" t="s">
        <v>3315</v>
      </c>
      <c r="H1335">
        <v>20000</v>
      </c>
      <c r="I1335" t="s">
        <v>3834</v>
      </c>
      <c r="J1335">
        <v>20000</v>
      </c>
      <c r="K1335">
        <v>80000</v>
      </c>
      <c r="L1335" t="s">
        <v>118</v>
      </c>
      <c r="M1335" t="s">
        <v>93</v>
      </c>
      <c r="N1335" t="s">
        <v>121</v>
      </c>
      <c r="O1335" t="s">
        <v>3781</v>
      </c>
      <c r="P1335" s="5" t="s">
        <v>3318</v>
      </c>
      <c r="Q1335">
        <v>4</v>
      </c>
    </row>
    <row r="1336" spans="1:17" x14ac:dyDescent="0.3">
      <c r="A1336" s="4">
        <v>44649</v>
      </c>
      <c r="B1336" t="s">
        <v>5013</v>
      </c>
      <c r="C1336" t="s">
        <v>3724</v>
      </c>
      <c r="D1336" s="77">
        <v>0.63888888888888895</v>
      </c>
      <c r="E1336" t="s">
        <v>3314</v>
      </c>
      <c r="F1336">
        <v>42</v>
      </c>
      <c r="G1336" t="s">
        <v>3315</v>
      </c>
      <c r="H1336">
        <v>20000</v>
      </c>
      <c r="I1336" t="s">
        <v>3834</v>
      </c>
      <c r="J1336">
        <v>20000</v>
      </c>
      <c r="K1336">
        <v>80000</v>
      </c>
      <c r="L1336" t="s">
        <v>118</v>
      </c>
      <c r="M1336" t="s">
        <v>141</v>
      </c>
      <c r="N1336" t="s">
        <v>142</v>
      </c>
      <c r="O1336" t="s">
        <v>4707</v>
      </c>
      <c r="P1336" s="5" t="s">
        <v>3318</v>
      </c>
      <c r="Q1336">
        <v>4</v>
      </c>
    </row>
    <row r="1337" spans="1:17" x14ac:dyDescent="0.3">
      <c r="A1337" s="4">
        <v>44649</v>
      </c>
      <c r="B1337" t="s">
        <v>5014</v>
      </c>
      <c r="C1337" t="s">
        <v>4997</v>
      </c>
      <c r="D1337" s="77">
        <v>0.64861111111111114</v>
      </c>
      <c r="E1337" t="s">
        <v>3314</v>
      </c>
      <c r="F1337">
        <v>50</v>
      </c>
      <c r="G1337" t="s">
        <v>3315</v>
      </c>
      <c r="H1337">
        <v>30000</v>
      </c>
      <c r="I1337" t="s">
        <v>3834</v>
      </c>
      <c r="J1337">
        <v>30000</v>
      </c>
      <c r="K1337">
        <v>120000</v>
      </c>
      <c r="L1337" t="s">
        <v>118</v>
      </c>
      <c r="M1337" t="s">
        <v>88</v>
      </c>
      <c r="N1337" t="s">
        <v>117</v>
      </c>
      <c r="O1337" t="s">
        <v>4475</v>
      </c>
      <c r="P1337" s="5" t="s">
        <v>3318</v>
      </c>
      <c r="Q1337">
        <v>4</v>
      </c>
    </row>
    <row r="1338" spans="1:17" x14ac:dyDescent="0.3">
      <c r="A1338" s="4">
        <v>44649</v>
      </c>
      <c r="B1338" t="s">
        <v>5015</v>
      </c>
      <c r="C1338" t="s">
        <v>5016</v>
      </c>
      <c r="D1338" s="77">
        <v>0.65277777777777779</v>
      </c>
      <c r="E1338" t="s">
        <v>3314</v>
      </c>
      <c r="F1338">
        <v>61</v>
      </c>
      <c r="G1338" t="s">
        <v>3315</v>
      </c>
      <c r="H1338">
        <v>20000</v>
      </c>
      <c r="I1338" t="s">
        <v>3834</v>
      </c>
      <c r="J1338">
        <v>20000</v>
      </c>
      <c r="K1338">
        <v>80000</v>
      </c>
      <c r="L1338" t="s">
        <v>118</v>
      </c>
      <c r="M1338" t="s">
        <v>90</v>
      </c>
      <c r="N1338" t="s">
        <v>110</v>
      </c>
      <c r="O1338" t="s">
        <v>3455</v>
      </c>
      <c r="P1338" s="5" t="s">
        <v>3318</v>
      </c>
      <c r="Q1338">
        <v>4</v>
      </c>
    </row>
    <row r="1339" spans="1:17" x14ac:dyDescent="0.3">
      <c r="A1339" s="4">
        <v>44649</v>
      </c>
      <c r="B1339" t="s">
        <v>5017</v>
      </c>
      <c r="C1339" t="s">
        <v>5000</v>
      </c>
      <c r="D1339" s="77">
        <v>0.65416666666666667</v>
      </c>
      <c r="E1339" t="s">
        <v>3314</v>
      </c>
      <c r="F1339">
        <v>54</v>
      </c>
      <c r="G1339" t="s">
        <v>3315</v>
      </c>
      <c r="H1339">
        <v>20000</v>
      </c>
      <c r="I1339" t="s">
        <v>3834</v>
      </c>
      <c r="J1339">
        <v>20000</v>
      </c>
      <c r="K1339">
        <v>80000</v>
      </c>
      <c r="L1339" t="s">
        <v>118</v>
      </c>
      <c r="M1339" t="s">
        <v>92</v>
      </c>
      <c r="N1339" t="s">
        <v>137</v>
      </c>
      <c r="O1339" t="s">
        <v>3476</v>
      </c>
      <c r="P1339" s="5" t="s">
        <v>3318</v>
      </c>
      <c r="Q1339">
        <v>4</v>
      </c>
    </row>
    <row r="1340" spans="1:17" x14ac:dyDescent="0.3">
      <c r="A1340" s="4">
        <v>44649</v>
      </c>
      <c r="B1340" t="s">
        <v>5018</v>
      </c>
      <c r="C1340" t="s">
        <v>4997</v>
      </c>
      <c r="D1340" s="77">
        <v>0.66319444444444442</v>
      </c>
      <c r="E1340" t="s">
        <v>3314</v>
      </c>
      <c r="F1340">
        <v>43</v>
      </c>
      <c r="G1340" t="s">
        <v>3315</v>
      </c>
      <c r="H1340">
        <v>30000</v>
      </c>
      <c r="I1340" t="s">
        <v>3834</v>
      </c>
      <c r="J1340">
        <v>30000</v>
      </c>
      <c r="K1340">
        <v>120000</v>
      </c>
      <c r="L1340" t="s">
        <v>118</v>
      </c>
      <c r="M1340" t="s">
        <v>88</v>
      </c>
      <c r="N1340" t="s">
        <v>117</v>
      </c>
      <c r="O1340" t="s">
        <v>4475</v>
      </c>
      <c r="P1340" s="5" t="s">
        <v>3318</v>
      </c>
      <c r="Q1340">
        <v>4</v>
      </c>
    </row>
    <row r="1341" spans="1:17" x14ac:dyDescent="0.3">
      <c r="A1341" s="4">
        <v>44649</v>
      </c>
      <c r="B1341" t="s">
        <v>5019</v>
      </c>
      <c r="C1341" t="s">
        <v>3574</v>
      </c>
      <c r="D1341" s="77">
        <v>0.6694444444444444</v>
      </c>
      <c r="E1341" t="s">
        <v>3332</v>
      </c>
      <c r="F1341">
        <v>36</v>
      </c>
      <c r="G1341" t="s">
        <v>3344</v>
      </c>
      <c r="H1341">
        <v>30000</v>
      </c>
      <c r="I1341" t="s">
        <v>3344</v>
      </c>
      <c r="J1341">
        <v>30000</v>
      </c>
      <c r="K1341">
        <v>150000</v>
      </c>
      <c r="L1341" t="s">
        <v>116</v>
      </c>
      <c r="M1341" t="s">
        <v>111</v>
      </c>
      <c r="N1341" t="s">
        <v>112</v>
      </c>
      <c r="O1341" t="s">
        <v>4967</v>
      </c>
      <c r="P1341" s="5" t="s">
        <v>3318</v>
      </c>
      <c r="Q1341">
        <v>5</v>
      </c>
    </row>
    <row r="1342" spans="1:17" x14ac:dyDescent="0.3">
      <c r="A1342" s="4">
        <v>44649</v>
      </c>
      <c r="B1342" t="s">
        <v>5020</v>
      </c>
      <c r="C1342" t="s">
        <v>3636</v>
      </c>
      <c r="D1342" s="77">
        <v>0.67361111111111116</v>
      </c>
      <c r="E1342" t="s">
        <v>3314</v>
      </c>
      <c r="F1342">
        <v>60</v>
      </c>
      <c r="G1342" t="s">
        <v>3315</v>
      </c>
      <c r="H1342">
        <v>20000</v>
      </c>
      <c r="I1342" t="s">
        <v>3834</v>
      </c>
      <c r="J1342">
        <v>20000</v>
      </c>
      <c r="K1342">
        <v>80000</v>
      </c>
      <c r="L1342" t="s">
        <v>118</v>
      </c>
      <c r="M1342" t="s">
        <v>93</v>
      </c>
      <c r="N1342" t="s">
        <v>121</v>
      </c>
      <c r="O1342" t="s">
        <v>3781</v>
      </c>
      <c r="P1342" s="5" t="s">
        <v>3318</v>
      </c>
      <c r="Q1342">
        <v>4</v>
      </c>
    </row>
    <row r="1343" spans="1:17" x14ac:dyDescent="0.3">
      <c r="A1343" s="4">
        <v>44649</v>
      </c>
      <c r="B1343" t="s">
        <v>5021</v>
      </c>
      <c r="C1343" t="s">
        <v>5000</v>
      </c>
      <c r="D1343" s="77">
        <v>0.68333333333333324</v>
      </c>
      <c r="E1343" t="s">
        <v>3314</v>
      </c>
      <c r="F1343">
        <v>36</v>
      </c>
      <c r="G1343" t="s">
        <v>3315</v>
      </c>
      <c r="H1343">
        <v>20000</v>
      </c>
      <c r="I1343" t="s">
        <v>3834</v>
      </c>
      <c r="J1343">
        <v>20000</v>
      </c>
      <c r="K1343">
        <v>80000</v>
      </c>
      <c r="L1343" t="s">
        <v>118</v>
      </c>
      <c r="M1343" t="s">
        <v>92</v>
      </c>
      <c r="N1343" t="s">
        <v>137</v>
      </c>
      <c r="O1343" t="s">
        <v>3476</v>
      </c>
      <c r="P1343" s="5" t="s">
        <v>3318</v>
      </c>
      <c r="Q1343">
        <v>4</v>
      </c>
    </row>
    <row r="1344" spans="1:17" x14ac:dyDescent="0.3">
      <c r="A1344" s="4">
        <v>44649</v>
      </c>
      <c r="B1344" t="s">
        <v>5022</v>
      </c>
      <c r="C1344" t="s">
        <v>4997</v>
      </c>
      <c r="D1344" s="77">
        <v>0.68333333333333324</v>
      </c>
      <c r="E1344" t="s">
        <v>3314</v>
      </c>
      <c r="F1344">
        <v>41</v>
      </c>
      <c r="G1344" t="s">
        <v>3315</v>
      </c>
      <c r="H1344">
        <v>20000</v>
      </c>
      <c r="I1344" t="s">
        <v>3834</v>
      </c>
      <c r="J1344">
        <v>20000</v>
      </c>
      <c r="K1344">
        <v>90000</v>
      </c>
      <c r="L1344" t="s">
        <v>116</v>
      </c>
      <c r="M1344" t="s">
        <v>78</v>
      </c>
      <c r="N1344" t="s">
        <v>100</v>
      </c>
      <c r="O1344" t="s">
        <v>4472</v>
      </c>
      <c r="P1344" s="5" t="s">
        <v>3318</v>
      </c>
      <c r="Q1344">
        <v>4.5</v>
      </c>
    </row>
    <row r="1345" spans="1:17" x14ac:dyDescent="0.3">
      <c r="A1345" s="4">
        <v>44649</v>
      </c>
      <c r="B1345" t="s">
        <v>5023</v>
      </c>
      <c r="C1345" t="s">
        <v>5016</v>
      </c>
      <c r="D1345" s="77">
        <v>0.69652777777777775</v>
      </c>
      <c r="E1345" t="s">
        <v>3314</v>
      </c>
      <c r="F1345">
        <v>55</v>
      </c>
      <c r="G1345" t="s">
        <v>3315</v>
      </c>
      <c r="H1345">
        <v>20000</v>
      </c>
      <c r="I1345" t="s">
        <v>3834</v>
      </c>
      <c r="J1345">
        <v>20000</v>
      </c>
      <c r="K1345">
        <v>60000</v>
      </c>
      <c r="L1345" t="s">
        <v>149</v>
      </c>
      <c r="M1345" t="s">
        <v>143</v>
      </c>
      <c r="N1345" t="s">
        <v>144</v>
      </c>
      <c r="O1345" t="s">
        <v>4946</v>
      </c>
      <c r="P1345" s="5" t="s">
        <v>3318</v>
      </c>
      <c r="Q1345">
        <v>3</v>
      </c>
    </row>
    <row r="1346" spans="1:17" x14ac:dyDescent="0.3">
      <c r="A1346" s="4">
        <v>44649</v>
      </c>
      <c r="B1346" t="s">
        <v>5024</v>
      </c>
      <c r="C1346" t="s">
        <v>5000</v>
      </c>
      <c r="D1346" s="77">
        <v>0.70208333333333339</v>
      </c>
      <c r="E1346" t="s">
        <v>3314</v>
      </c>
      <c r="F1346">
        <v>28</v>
      </c>
      <c r="G1346" t="s">
        <v>3315</v>
      </c>
      <c r="H1346">
        <v>20000</v>
      </c>
      <c r="I1346" t="s">
        <v>3834</v>
      </c>
      <c r="J1346">
        <v>20000</v>
      </c>
      <c r="K1346">
        <v>80000</v>
      </c>
      <c r="L1346" t="s">
        <v>118</v>
      </c>
      <c r="M1346" t="s">
        <v>92</v>
      </c>
      <c r="N1346" t="s">
        <v>137</v>
      </c>
      <c r="O1346" t="s">
        <v>3476</v>
      </c>
      <c r="P1346" s="5" t="s">
        <v>3318</v>
      </c>
      <c r="Q1346">
        <v>4</v>
      </c>
    </row>
    <row r="1347" spans="1:17" x14ac:dyDescent="0.3">
      <c r="A1347" s="4">
        <v>44649</v>
      </c>
      <c r="B1347" t="s">
        <v>5025</v>
      </c>
      <c r="C1347" t="s">
        <v>4997</v>
      </c>
      <c r="D1347" s="77">
        <v>0.70486111111111116</v>
      </c>
      <c r="E1347" t="s">
        <v>3314</v>
      </c>
      <c r="F1347">
        <v>58</v>
      </c>
      <c r="G1347" t="s">
        <v>3315</v>
      </c>
      <c r="H1347">
        <v>20000</v>
      </c>
      <c r="I1347" t="s">
        <v>3834</v>
      </c>
      <c r="J1347">
        <v>20000</v>
      </c>
      <c r="K1347">
        <v>80000</v>
      </c>
      <c r="L1347" t="s">
        <v>118</v>
      </c>
      <c r="M1347" t="s">
        <v>88</v>
      </c>
      <c r="N1347" t="s">
        <v>117</v>
      </c>
      <c r="O1347" t="s">
        <v>4475</v>
      </c>
      <c r="P1347" s="5" t="s">
        <v>3318</v>
      </c>
      <c r="Q1347">
        <v>4</v>
      </c>
    </row>
    <row r="1348" spans="1:17" x14ac:dyDescent="0.3">
      <c r="A1348" s="4">
        <v>44649</v>
      </c>
      <c r="B1348" t="s">
        <v>5026</v>
      </c>
      <c r="C1348" t="s">
        <v>4997</v>
      </c>
      <c r="D1348" s="77">
        <v>0.70486111111111116</v>
      </c>
      <c r="E1348" t="s">
        <v>3314</v>
      </c>
      <c r="F1348">
        <v>49</v>
      </c>
      <c r="G1348" t="s">
        <v>3315</v>
      </c>
      <c r="H1348">
        <v>30000</v>
      </c>
      <c r="I1348" t="s">
        <v>3834</v>
      </c>
      <c r="J1348">
        <v>30000</v>
      </c>
      <c r="K1348">
        <v>135000</v>
      </c>
      <c r="L1348" t="s">
        <v>116</v>
      </c>
      <c r="M1348" t="s">
        <v>78</v>
      </c>
      <c r="N1348" t="s">
        <v>100</v>
      </c>
      <c r="O1348" t="s">
        <v>4472</v>
      </c>
      <c r="P1348" s="5" t="s">
        <v>3318</v>
      </c>
      <c r="Q1348">
        <v>4.5</v>
      </c>
    </row>
    <row r="1349" spans="1:17" x14ac:dyDescent="0.3">
      <c r="A1349" s="4">
        <v>44649</v>
      </c>
      <c r="B1349" t="s">
        <v>5027</v>
      </c>
      <c r="C1349" t="s">
        <v>5005</v>
      </c>
      <c r="D1349" s="77">
        <v>0.7104166666666667</v>
      </c>
      <c r="E1349" t="s">
        <v>3314</v>
      </c>
      <c r="F1349">
        <v>54</v>
      </c>
      <c r="G1349" t="s">
        <v>3315</v>
      </c>
      <c r="H1349">
        <v>30000</v>
      </c>
      <c r="I1349" t="s">
        <v>3834</v>
      </c>
      <c r="J1349">
        <v>30000</v>
      </c>
      <c r="K1349">
        <v>120000</v>
      </c>
      <c r="L1349" t="s">
        <v>118</v>
      </c>
      <c r="M1349" t="s">
        <v>145</v>
      </c>
      <c r="N1349" t="s">
        <v>146</v>
      </c>
      <c r="O1349" t="s">
        <v>4988</v>
      </c>
      <c r="P1349" s="5" t="s">
        <v>3318</v>
      </c>
      <c r="Q1349">
        <v>4</v>
      </c>
    </row>
    <row r="1350" spans="1:17" x14ac:dyDescent="0.3">
      <c r="A1350" s="4">
        <v>44649</v>
      </c>
      <c r="B1350" t="s">
        <v>5028</v>
      </c>
      <c r="C1350" t="s">
        <v>5005</v>
      </c>
      <c r="D1350" s="77">
        <v>0.71180555555555547</v>
      </c>
      <c r="E1350" t="s">
        <v>3314</v>
      </c>
      <c r="F1350">
        <v>70</v>
      </c>
      <c r="G1350" t="s">
        <v>3348</v>
      </c>
      <c r="H1350">
        <v>30000</v>
      </c>
      <c r="I1350" t="s">
        <v>3348</v>
      </c>
      <c r="J1350">
        <v>30000</v>
      </c>
      <c r="K1350">
        <v>120000</v>
      </c>
      <c r="L1350" t="s">
        <v>118</v>
      </c>
      <c r="M1350" t="s">
        <v>145</v>
      </c>
      <c r="N1350" t="s">
        <v>146</v>
      </c>
      <c r="O1350" t="s">
        <v>4988</v>
      </c>
      <c r="P1350" s="5" t="s">
        <v>3318</v>
      </c>
      <c r="Q1350">
        <v>4</v>
      </c>
    </row>
    <row r="1351" spans="1:17" x14ac:dyDescent="0.3">
      <c r="A1351" s="4">
        <v>44649</v>
      </c>
      <c r="B1351" t="s">
        <v>5029</v>
      </c>
      <c r="C1351" t="s">
        <v>3574</v>
      </c>
      <c r="D1351" s="77">
        <v>0.71319444444444446</v>
      </c>
      <c r="E1351" t="s">
        <v>3332</v>
      </c>
      <c r="F1351">
        <v>33</v>
      </c>
      <c r="G1351" t="s">
        <v>3344</v>
      </c>
      <c r="H1351">
        <v>20000</v>
      </c>
      <c r="I1351" t="s">
        <v>3344</v>
      </c>
      <c r="J1351">
        <v>20000</v>
      </c>
      <c r="K1351">
        <v>100000</v>
      </c>
      <c r="L1351" t="s">
        <v>116</v>
      </c>
      <c r="M1351" t="s">
        <v>111</v>
      </c>
      <c r="N1351" t="s">
        <v>112</v>
      </c>
      <c r="O1351" t="s">
        <v>4967</v>
      </c>
      <c r="P1351" s="5" t="s">
        <v>3318</v>
      </c>
      <c r="Q1351">
        <v>5</v>
      </c>
    </row>
    <row r="1352" spans="1:17" x14ac:dyDescent="0.3">
      <c r="A1352" s="4">
        <v>44649</v>
      </c>
      <c r="B1352" t="s">
        <v>5030</v>
      </c>
      <c r="C1352" t="s">
        <v>5031</v>
      </c>
      <c r="D1352" s="77">
        <v>0.71527777777777779</v>
      </c>
      <c r="E1352" t="s">
        <v>3314</v>
      </c>
      <c r="F1352">
        <v>56</v>
      </c>
      <c r="G1352" t="s">
        <v>3315</v>
      </c>
      <c r="H1352">
        <v>20000</v>
      </c>
      <c r="I1352" t="s">
        <v>3834</v>
      </c>
      <c r="J1352">
        <v>20000</v>
      </c>
      <c r="K1352">
        <v>90000</v>
      </c>
      <c r="L1352" t="s">
        <v>116</v>
      </c>
      <c r="M1352" t="s">
        <v>77</v>
      </c>
      <c r="N1352" t="s">
        <v>133</v>
      </c>
      <c r="O1352" t="s">
        <v>3376</v>
      </c>
      <c r="P1352" s="5" t="s">
        <v>3318</v>
      </c>
      <c r="Q1352">
        <v>4.5</v>
      </c>
    </row>
    <row r="1353" spans="1:17" x14ac:dyDescent="0.3">
      <c r="A1353" s="4">
        <v>44649</v>
      </c>
      <c r="B1353" t="s">
        <v>5032</v>
      </c>
      <c r="C1353" t="s">
        <v>4995</v>
      </c>
      <c r="D1353" s="77">
        <v>0.71527777777777779</v>
      </c>
      <c r="E1353" t="s">
        <v>3332</v>
      </c>
      <c r="F1353">
        <v>76</v>
      </c>
      <c r="G1353" t="s">
        <v>3315</v>
      </c>
      <c r="H1353">
        <v>20000</v>
      </c>
      <c r="I1353" t="s">
        <v>3834</v>
      </c>
      <c r="J1353">
        <v>20000</v>
      </c>
      <c r="K1353">
        <v>100000</v>
      </c>
      <c r="L1353" t="s">
        <v>114</v>
      </c>
      <c r="M1353" t="s">
        <v>23</v>
      </c>
      <c r="N1353" t="s">
        <v>99</v>
      </c>
      <c r="O1353" t="s">
        <v>3358</v>
      </c>
      <c r="P1353" s="5" t="s">
        <v>3318</v>
      </c>
      <c r="Q1353">
        <v>5</v>
      </c>
    </row>
    <row r="1354" spans="1:17" x14ac:dyDescent="0.3">
      <c r="A1354" s="4">
        <v>44649</v>
      </c>
      <c r="B1354" t="s">
        <v>5033</v>
      </c>
      <c r="C1354" t="s">
        <v>5005</v>
      </c>
      <c r="D1354" s="77">
        <v>0.71527777777777779</v>
      </c>
      <c r="E1354" t="s">
        <v>3314</v>
      </c>
      <c r="F1354">
        <v>44</v>
      </c>
      <c r="G1354" t="s">
        <v>3315</v>
      </c>
      <c r="H1354">
        <v>20000</v>
      </c>
      <c r="I1354" t="s">
        <v>3834</v>
      </c>
      <c r="J1354">
        <v>20000</v>
      </c>
      <c r="K1354">
        <v>90000</v>
      </c>
      <c r="L1354" t="s">
        <v>114</v>
      </c>
      <c r="M1354" t="s">
        <v>31</v>
      </c>
      <c r="N1354" t="s">
        <v>105</v>
      </c>
      <c r="O1354" t="s">
        <v>3339</v>
      </c>
      <c r="P1354" s="5" t="s">
        <v>3318</v>
      </c>
      <c r="Q1354">
        <v>4.5</v>
      </c>
    </row>
    <row r="1355" spans="1:17" x14ac:dyDescent="0.3">
      <c r="A1355" s="4">
        <v>44649</v>
      </c>
      <c r="B1355" t="s">
        <v>5034</v>
      </c>
      <c r="C1355" t="s">
        <v>4995</v>
      </c>
      <c r="D1355" s="77">
        <v>0.72638888888888886</v>
      </c>
      <c r="E1355" t="s">
        <v>3332</v>
      </c>
      <c r="F1355">
        <v>62</v>
      </c>
      <c r="G1355" t="s">
        <v>3315</v>
      </c>
      <c r="H1355">
        <v>20000</v>
      </c>
      <c r="I1355" t="s">
        <v>3834</v>
      </c>
      <c r="J1355">
        <v>20000</v>
      </c>
      <c r="K1355">
        <v>100000</v>
      </c>
      <c r="L1355" t="s">
        <v>113</v>
      </c>
      <c r="M1355" t="s">
        <v>22</v>
      </c>
      <c r="N1355" t="s">
        <v>98</v>
      </c>
      <c r="O1355" t="s">
        <v>3437</v>
      </c>
      <c r="P1355" s="5" t="s">
        <v>3318</v>
      </c>
      <c r="Q1355">
        <v>5</v>
      </c>
    </row>
    <row r="1356" spans="1:17" x14ac:dyDescent="0.3">
      <c r="A1356" s="4">
        <v>44649</v>
      </c>
      <c r="B1356" t="s">
        <v>5035</v>
      </c>
      <c r="C1356" t="s">
        <v>5031</v>
      </c>
      <c r="D1356" s="77">
        <v>0.73333333333333339</v>
      </c>
      <c r="E1356" t="s">
        <v>3314</v>
      </c>
      <c r="F1356">
        <v>47</v>
      </c>
      <c r="G1356" t="s">
        <v>3315</v>
      </c>
      <c r="H1356">
        <v>30000</v>
      </c>
      <c r="I1356" t="s">
        <v>3834</v>
      </c>
      <c r="J1356">
        <v>30000</v>
      </c>
      <c r="K1356">
        <v>135000</v>
      </c>
      <c r="L1356" t="s">
        <v>116</v>
      </c>
      <c r="M1356" t="s">
        <v>77</v>
      </c>
      <c r="N1356" t="s">
        <v>133</v>
      </c>
      <c r="O1356" t="s">
        <v>3376</v>
      </c>
      <c r="P1356" s="5" t="s">
        <v>3318</v>
      </c>
      <c r="Q1356">
        <v>4.5</v>
      </c>
    </row>
    <row r="1357" spans="1:17" x14ac:dyDescent="0.3">
      <c r="A1357" s="4">
        <v>44649</v>
      </c>
      <c r="B1357" t="s">
        <v>5036</v>
      </c>
      <c r="C1357" t="s">
        <v>5016</v>
      </c>
      <c r="D1357" s="77">
        <v>0.73611111111111116</v>
      </c>
      <c r="E1357" t="s">
        <v>3314</v>
      </c>
      <c r="F1357">
        <v>61</v>
      </c>
      <c r="G1357" t="s">
        <v>3315</v>
      </c>
      <c r="H1357">
        <v>20000</v>
      </c>
      <c r="I1357" t="s">
        <v>3834</v>
      </c>
      <c r="J1357">
        <v>20000</v>
      </c>
      <c r="K1357">
        <v>80000</v>
      </c>
      <c r="L1357" t="s">
        <v>118</v>
      </c>
      <c r="M1357" t="s">
        <v>90</v>
      </c>
      <c r="N1357" t="s">
        <v>110</v>
      </c>
      <c r="O1357" t="s">
        <v>3455</v>
      </c>
      <c r="P1357" s="5" t="s">
        <v>3318</v>
      </c>
      <c r="Q1357">
        <v>4</v>
      </c>
    </row>
    <row r="1358" spans="1:17" x14ac:dyDescent="0.3">
      <c r="A1358" s="4">
        <v>44649</v>
      </c>
      <c r="B1358" t="s">
        <v>5037</v>
      </c>
      <c r="C1358" t="s">
        <v>3784</v>
      </c>
      <c r="D1358" s="77">
        <v>0.73958333333333337</v>
      </c>
      <c r="E1358" t="s">
        <v>3314</v>
      </c>
      <c r="F1358">
        <v>28</v>
      </c>
      <c r="G1358" t="s">
        <v>3889</v>
      </c>
      <c r="H1358">
        <v>30000</v>
      </c>
      <c r="I1358" t="s">
        <v>3889</v>
      </c>
      <c r="J1358">
        <v>30000</v>
      </c>
      <c r="K1358">
        <v>120000</v>
      </c>
      <c r="L1358" t="s">
        <v>118</v>
      </c>
      <c r="M1358" t="s">
        <v>96</v>
      </c>
      <c r="N1358" t="s">
        <v>140</v>
      </c>
      <c r="O1358" t="s">
        <v>4105</v>
      </c>
      <c r="P1358" s="5" t="s">
        <v>3318</v>
      </c>
      <c r="Q1358">
        <v>4</v>
      </c>
    </row>
    <row r="1359" spans="1:17" x14ac:dyDescent="0.3">
      <c r="A1359" s="4">
        <v>44649</v>
      </c>
      <c r="B1359" t="s">
        <v>5038</v>
      </c>
      <c r="C1359" t="s">
        <v>5005</v>
      </c>
      <c r="D1359" s="77">
        <v>0.7402777777777777</v>
      </c>
      <c r="E1359" t="s">
        <v>3314</v>
      </c>
      <c r="F1359">
        <v>39</v>
      </c>
      <c r="G1359" t="s">
        <v>3315</v>
      </c>
      <c r="H1359">
        <v>20000</v>
      </c>
      <c r="I1359" t="s">
        <v>3834</v>
      </c>
      <c r="J1359">
        <v>20000</v>
      </c>
      <c r="K1359">
        <v>80000</v>
      </c>
      <c r="L1359" t="s">
        <v>118</v>
      </c>
      <c r="M1359" t="s">
        <v>145</v>
      </c>
      <c r="N1359" t="s">
        <v>146</v>
      </c>
      <c r="O1359" t="s">
        <v>4988</v>
      </c>
      <c r="P1359" s="5" t="s">
        <v>3318</v>
      </c>
      <c r="Q1359">
        <v>4</v>
      </c>
    </row>
    <row r="1360" spans="1:17" x14ac:dyDescent="0.3">
      <c r="A1360" s="4">
        <v>44649</v>
      </c>
      <c r="B1360" t="s">
        <v>5039</v>
      </c>
      <c r="C1360" t="s">
        <v>3368</v>
      </c>
      <c r="D1360" s="77">
        <v>0.74652777777777779</v>
      </c>
      <c r="E1360" t="s">
        <v>3314</v>
      </c>
      <c r="F1360">
        <v>42</v>
      </c>
      <c r="G1360" t="s">
        <v>3315</v>
      </c>
      <c r="H1360">
        <v>20000</v>
      </c>
      <c r="I1360" t="s">
        <v>3834</v>
      </c>
      <c r="J1360">
        <v>20000</v>
      </c>
      <c r="K1360">
        <v>80000</v>
      </c>
      <c r="L1360" t="s">
        <v>118</v>
      </c>
      <c r="M1360" t="s">
        <v>94</v>
      </c>
      <c r="N1360" t="s">
        <v>138</v>
      </c>
      <c r="O1360" t="s">
        <v>3775</v>
      </c>
      <c r="P1360" s="5" t="s">
        <v>3318</v>
      </c>
      <c r="Q1360">
        <v>4</v>
      </c>
    </row>
    <row r="1361" spans="1:17" x14ac:dyDescent="0.3">
      <c r="A1361" s="4">
        <v>44649</v>
      </c>
      <c r="B1361" t="s">
        <v>5040</v>
      </c>
      <c r="C1361" t="s">
        <v>5005</v>
      </c>
      <c r="D1361" s="77">
        <v>0.75</v>
      </c>
      <c r="E1361" t="s">
        <v>3314</v>
      </c>
      <c r="F1361">
        <v>48</v>
      </c>
      <c r="G1361" t="s">
        <v>3315</v>
      </c>
      <c r="H1361">
        <v>30000</v>
      </c>
      <c r="I1361" t="s">
        <v>3834</v>
      </c>
      <c r="J1361">
        <v>30000</v>
      </c>
      <c r="K1361">
        <v>135000</v>
      </c>
      <c r="L1361" t="s">
        <v>114</v>
      </c>
      <c r="M1361" t="s">
        <v>31</v>
      </c>
      <c r="N1361" t="s">
        <v>105</v>
      </c>
      <c r="O1361" t="s">
        <v>3339</v>
      </c>
      <c r="P1361" s="5" t="s">
        <v>3318</v>
      </c>
      <c r="Q1361">
        <v>4.5</v>
      </c>
    </row>
    <row r="1362" spans="1:17" x14ac:dyDescent="0.3">
      <c r="A1362" s="4">
        <v>44649</v>
      </c>
      <c r="B1362" t="s">
        <v>5041</v>
      </c>
      <c r="C1362" t="s">
        <v>5016</v>
      </c>
      <c r="D1362" s="77">
        <v>0.75347222222222221</v>
      </c>
      <c r="E1362" t="s">
        <v>3314</v>
      </c>
      <c r="F1362">
        <v>28</v>
      </c>
      <c r="G1362" t="s">
        <v>3315</v>
      </c>
      <c r="H1362">
        <v>20000</v>
      </c>
      <c r="I1362" t="s">
        <v>3834</v>
      </c>
      <c r="J1362">
        <v>20000</v>
      </c>
      <c r="K1362">
        <v>60000</v>
      </c>
      <c r="L1362" t="s">
        <v>149</v>
      </c>
      <c r="M1362" t="s">
        <v>143</v>
      </c>
      <c r="N1362" t="s">
        <v>144</v>
      </c>
      <c r="O1362" t="s">
        <v>4946</v>
      </c>
      <c r="P1362" s="5" t="s">
        <v>3318</v>
      </c>
      <c r="Q1362">
        <v>3</v>
      </c>
    </row>
    <row r="1363" spans="1:17" x14ac:dyDescent="0.3">
      <c r="A1363" s="4">
        <v>44649</v>
      </c>
      <c r="B1363" t="s">
        <v>5042</v>
      </c>
      <c r="C1363" t="s">
        <v>4997</v>
      </c>
      <c r="D1363" s="77">
        <v>0.75416666666666676</v>
      </c>
      <c r="E1363" t="s">
        <v>3314</v>
      </c>
      <c r="F1363">
        <v>50</v>
      </c>
      <c r="G1363" t="s">
        <v>3315</v>
      </c>
      <c r="H1363">
        <v>20000</v>
      </c>
      <c r="I1363" t="s">
        <v>3834</v>
      </c>
      <c r="J1363">
        <v>20000</v>
      </c>
      <c r="K1363">
        <v>90000</v>
      </c>
      <c r="L1363" t="s">
        <v>116</v>
      </c>
      <c r="M1363" t="s">
        <v>78</v>
      </c>
      <c r="N1363" t="s">
        <v>100</v>
      </c>
      <c r="O1363" t="s">
        <v>4472</v>
      </c>
      <c r="P1363" s="5" t="s">
        <v>3318</v>
      </c>
      <c r="Q1363">
        <v>4.5</v>
      </c>
    </row>
    <row r="1364" spans="1:17" x14ac:dyDescent="0.3">
      <c r="A1364" s="4">
        <v>44649</v>
      </c>
      <c r="B1364" t="s">
        <v>5043</v>
      </c>
      <c r="C1364" t="s">
        <v>5016</v>
      </c>
      <c r="D1364" s="77">
        <v>0.76041666666666663</v>
      </c>
      <c r="E1364" t="s">
        <v>3314</v>
      </c>
      <c r="F1364">
        <v>36</v>
      </c>
      <c r="G1364" t="s">
        <v>3315</v>
      </c>
      <c r="H1364">
        <v>30000</v>
      </c>
      <c r="I1364" t="s">
        <v>3834</v>
      </c>
      <c r="J1364">
        <v>30000</v>
      </c>
      <c r="K1364">
        <v>120000</v>
      </c>
      <c r="L1364" t="s">
        <v>118</v>
      </c>
      <c r="M1364" t="s">
        <v>90</v>
      </c>
      <c r="N1364" t="s">
        <v>110</v>
      </c>
      <c r="O1364" t="s">
        <v>3455</v>
      </c>
      <c r="P1364" s="5" t="s">
        <v>3318</v>
      </c>
      <c r="Q1364">
        <v>4</v>
      </c>
    </row>
    <row r="1365" spans="1:17" x14ac:dyDescent="0.3">
      <c r="A1365" s="4">
        <v>44649</v>
      </c>
      <c r="B1365" t="s">
        <v>5044</v>
      </c>
      <c r="C1365" t="s">
        <v>3784</v>
      </c>
      <c r="D1365" s="77">
        <v>0.77083333333333337</v>
      </c>
      <c r="E1365" t="s">
        <v>3314</v>
      </c>
      <c r="F1365">
        <v>48</v>
      </c>
      <c r="G1365" t="s">
        <v>3315</v>
      </c>
      <c r="H1365">
        <v>20000</v>
      </c>
      <c r="I1365" t="s">
        <v>3834</v>
      </c>
      <c r="J1365">
        <v>20000</v>
      </c>
      <c r="K1365">
        <v>80000</v>
      </c>
      <c r="L1365" t="s">
        <v>118</v>
      </c>
      <c r="M1365" t="s">
        <v>96</v>
      </c>
      <c r="N1365" t="s">
        <v>140</v>
      </c>
      <c r="O1365" t="s">
        <v>4105</v>
      </c>
      <c r="P1365" s="5" t="s">
        <v>3318</v>
      </c>
      <c r="Q1365">
        <v>4</v>
      </c>
    </row>
    <row r="1366" spans="1:17" x14ac:dyDescent="0.3">
      <c r="A1366" s="4">
        <v>44649</v>
      </c>
      <c r="B1366" t="s">
        <v>5045</v>
      </c>
      <c r="C1366" t="s">
        <v>4995</v>
      </c>
      <c r="D1366" s="77">
        <v>0.77083333333333337</v>
      </c>
      <c r="E1366" t="s">
        <v>3332</v>
      </c>
      <c r="F1366">
        <v>60</v>
      </c>
      <c r="G1366" t="s">
        <v>3315</v>
      </c>
      <c r="H1366">
        <v>20000</v>
      </c>
      <c r="I1366" t="s">
        <v>3834</v>
      </c>
      <c r="J1366">
        <v>20000</v>
      </c>
      <c r="K1366">
        <v>100000</v>
      </c>
      <c r="L1366" t="s">
        <v>114</v>
      </c>
      <c r="M1366" t="s">
        <v>23</v>
      </c>
      <c r="N1366" t="s">
        <v>99</v>
      </c>
      <c r="O1366" t="s">
        <v>3358</v>
      </c>
      <c r="P1366" s="5" t="s">
        <v>3318</v>
      </c>
      <c r="Q1366">
        <v>5</v>
      </c>
    </row>
    <row r="1367" spans="1:17" x14ac:dyDescent="0.3">
      <c r="A1367" s="4">
        <v>44649</v>
      </c>
      <c r="B1367" t="s">
        <v>5046</v>
      </c>
      <c r="C1367" t="s">
        <v>5005</v>
      </c>
      <c r="D1367" s="77">
        <v>0.77500000000000002</v>
      </c>
      <c r="E1367" t="s">
        <v>3314</v>
      </c>
      <c r="F1367">
        <v>60</v>
      </c>
      <c r="G1367" t="s">
        <v>3315</v>
      </c>
      <c r="H1367">
        <v>20000</v>
      </c>
      <c r="I1367" t="s">
        <v>3834</v>
      </c>
      <c r="J1367">
        <v>20000</v>
      </c>
      <c r="K1367">
        <v>80000</v>
      </c>
      <c r="L1367" t="s">
        <v>118</v>
      </c>
      <c r="M1367" t="s">
        <v>145</v>
      </c>
      <c r="N1367" t="s">
        <v>146</v>
      </c>
      <c r="O1367" t="s">
        <v>4988</v>
      </c>
      <c r="P1367" s="5" t="s">
        <v>3318</v>
      </c>
      <c r="Q1367">
        <v>4</v>
      </c>
    </row>
    <row r="1368" spans="1:17" x14ac:dyDescent="0.3">
      <c r="A1368" s="4">
        <v>44649</v>
      </c>
      <c r="B1368" t="s">
        <v>5047</v>
      </c>
      <c r="C1368" t="s">
        <v>4995</v>
      </c>
      <c r="D1368" s="77">
        <v>0.77708333333333324</v>
      </c>
      <c r="E1368" t="s">
        <v>3332</v>
      </c>
      <c r="F1368">
        <v>46</v>
      </c>
      <c r="G1368" t="s">
        <v>3315</v>
      </c>
      <c r="H1368">
        <v>30000</v>
      </c>
      <c r="I1368" t="s">
        <v>3834</v>
      </c>
      <c r="J1368">
        <v>30000</v>
      </c>
      <c r="K1368">
        <v>150000</v>
      </c>
      <c r="L1368" t="s">
        <v>113</v>
      </c>
      <c r="M1368" t="s">
        <v>22</v>
      </c>
      <c r="N1368" t="s">
        <v>98</v>
      </c>
      <c r="O1368" t="s">
        <v>3437</v>
      </c>
      <c r="P1368" s="5" t="s">
        <v>3318</v>
      </c>
      <c r="Q1368">
        <v>5</v>
      </c>
    </row>
    <row r="1369" spans="1:17" x14ac:dyDescent="0.3">
      <c r="A1369" s="4">
        <v>44649</v>
      </c>
      <c r="B1369" t="s">
        <v>5048</v>
      </c>
      <c r="C1369" t="s">
        <v>5005</v>
      </c>
      <c r="D1369" s="77">
        <v>0.77777777777777779</v>
      </c>
      <c r="E1369" t="s">
        <v>3314</v>
      </c>
      <c r="F1369">
        <v>45</v>
      </c>
      <c r="G1369" t="s">
        <v>3315</v>
      </c>
      <c r="H1369">
        <v>20000</v>
      </c>
      <c r="I1369" t="s">
        <v>3834</v>
      </c>
      <c r="J1369">
        <v>20000</v>
      </c>
      <c r="K1369">
        <v>90000</v>
      </c>
      <c r="L1369" t="s">
        <v>114</v>
      </c>
      <c r="M1369" t="s">
        <v>31</v>
      </c>
      <c r="N1369" t="s">
        <v>105</v>
      </c>
      <c r="O1369" t="s">
        <v>3339</v>
      </c>
      <c r="P1369" s="5" t="s">
        <v>3318</v>
      </c>
      <c r="Q1369">
        <v>4.5</v>
      </c>
    </row>
    <row r="1370" spans="1:17" x14ac:dyDescent="0.3">
      <c r="A1370" s="4">
        <v>44649</v>
      </c>
      <c r="B1370" t="s">
        <v>5049</v>
      </c>
      <c r="C1370" t="s">
        <v>3368</v>
      </c>
      <c r="D1370" s="77">
        <v>0.77986111111111101</v>
      </c>
      <c r="E1370" t="s">
        <v>3314</v>
      </c>
      <c r="F1370">
        <v>25</v>
      </c>
      <c r="G1370" t="s">
        <v>3315</v>
      </c>
      <c r="H1370">
        <v>20000</v>
      </c>
      <c r="I1370" t="s">
        <v>3834</v>
      </c>
      <c r="J1370">
        <v>20000</v>
      </c>
      <c r="K1370">
        <v>90000</v>
      </c>
      <c r="L1370" t="s">
        <v>116</v>
      </c>
      <c r="M1370" t="s">
        <v>84</v>
      </c>
      <c r="N1370" t="s">
        <v>108</v>
      </c>
      <c r="O1370" t="s">
        <v>3366</v>
      </c>
      <c r="P1370" s="5" t="s">
        <v>3318</v>
      </c>
      <c r="Q1370">
        <v>4.5</v>
      </c>
    </row>
    <row r="1371" spans="1:17" x14ac:dyDescent="0.3">
      <c r="A1371" s="4">
        <v>44649</v>
      </c>
      <c r="B1371" t="s">
        <v>5050</v>
      </c>
      <c r="C1371" t="s">
        <v>3368</v>
      </c>
      <c r="D1371" s="77">
        <v>0.78472222222222221</v>
      </c>
      <c r="E1371" t="s">
        <v>3314</v>
      </c>
      <c r="F1371">
        <v>63</v>
      </c>
      <c r="G1371" t="s">
        <v>3315</v>
      </c>
      <c r="H1371">
        <v>20000</v>
      </c>
      <c r="I1371" t="s">
        <v>3834</v>
      </c>
      <c r="J1371">
        <v>20000</v>
      </c>
      <c r="K1371">
        <v>90000</v>
      </c>
      <c r="L1371" t="s">
        <v>116</v>
      </c>
      <c r="M1371" t="s">
        <v>84</v>
      </c>
      <c r="N1371" t="s">
        <v>108</v>
      </c>
      <c r="O1371" t="s">
        <v>3366</v>
      </c>
      <c r="P1371" s="5" t="s">
        <v>3318</v>
      </c>
      <c r="Q1371">
        <v>4.5</v>
      </c>
    </row>
    <row r="1372" spans="1:17" x14ac:dyDescent="0.3">
      <c r="A1372" s="4">
        <v>44649</v>
      </c>
      <c r="B1372" t="s">
        <v>5051</v>
      </c>
      <c r="C1372" t="s">
        <v>5005</v>
      </c>
      <c r="D1372" s="77">
        <v>0.78472222222222221</v>
      </c>
      <c r="E1372" t="s">
        <v>3314</v>
      </c>
      <c r="F1372">
        <v>39</v>
      </c>
      <c r="G1372" t="s">
        <v>3336</v>
      </c>
      <c r="H1372">
        <v>20000</v>
      </c>
      <c r="I1372" t="s">
        <v>3336</v>
      </c>
      <c r="J1372">
        <v>20000</v>
      </c>
      <c r="K1372">
        <v>90000</v>
      </c>
      <c r="L1372" t="s">
        <v>114</v>
      </c>
      <c r="M1372" t="s">
        <v>31</v>
      </c>
      <c r="N1372" t="s">
        <v>105</v>
      </c>
      <c r="O1372" t="s">
        <v>3339</v>
      </c>
      <c r="P1372" s="5" t="s">
        <v>3318</v>
      </c>
      <c r="Q1372">
        <v>4.5</v>
      </c>
    </row>
    <row r="1373" spans="1:17" x14ac:dyDescent="0.3">
      <c r="A1373" s="4">
        <v>44649</v>
      </c>
      <c r="B1373" t="s">
        <v>5052</v>
      </c>
      <c r="C1373" t="s">
        <v>5011</v>
      </c>
      <c r="D1373" s="77">
        <v>0.78819444444444453</v>
      </c>
      <c r="E1373" t="s">
        <v>3314</v>
      </c>
      <c r="F1373">
        <v>53</v>
      </c>
      <c r="G1373" t="s">
        <v>3336</v>
      </c>
      <c r="H1373">
        <v>30000</v>
      </c>
      <c r="I1373" t="s">
        <v>3336</v>
      </c>
      <c r="J1373">
        <v>30000</v>
      </c>
      <c r="K1373">
        <v>120000</v>
      </c>
      <c r="L1373" t="s">
        <v>118</v>
      </c>
      <c r="M1373" t="s">
        <v>87</v>
      </c>
      <c r="N1373" t="s">
        <v>134</v>
      </c>
      <c r="O1373" t="s">
        <v>3528</v>
      </c>
      <c r="P1373" s="5" t="s">
        <v>3318</v>
      </c>
      <c r="Q1373">
        <v>4</v>
      </c>
    </row>
    <row r="1374" spans="1:17" x14ac:dyDescent="0.3">
      <c r="A1374" s="4">
        <v>44649</v>
      </c>
      <c r="B1374" t="s">
        <v>5053</v>
      </c>
      <c r="C1374" t="s">
        <v>4997</v>
      </c>
      <c r="D1374" s="77">
        <v>0.7909722222222223</v>
      </c>
      <c r="E1374" t="s">
        <v>3314</v>
      </c>
      <c r="F1374">
        <v>49</v>
      </c>
      <c r="G1374" t="s">
        <v>3315</v>
      </c>
      <c r="H1374">
        <v>30000</v>
      </c>
      <c r="I1374" t="s">
        <v>3834</v>
      </c>
      <c r="J1374">
        <v>30000</v>
      </c>
      <c r="K1374">
        <v>120000</v>
      </c>
      <c r="L1374" t="s">
        <v>118</v>
      </c>
      <c r="M1374" t="s">
        <v>88</v>
      </c>
      <c r="N1374" t="s">
        <v>117</v>
      </c>
      <c r="O1374" t="s">
        <v>4475</v>
      </c>
      <c r="P1374" s="5" t="s">
        <v>3318</v>
      </c>
      <c r="Q1374">
        <v>4</v>
      </c>
    </row>
    <row r="1375" spans="1:17" x14ac:dyDescent="0.3">
      <c r="A1375" s="4">
        <v>44649</v>
      </c>
      <c r="B1375" t="s">
        <v>5054</v>
      </c>
      <c r="C1375" t="s">
        <v>5016</v>
      </c>
      <c r="D1375" s="77">
        <v>0.80555555555555547</v>
      </c>
      <c r="E1375" t="s">
        <v>3314</v>
      </c>
      <c r="F1375">
        <v>55</v>
      </c>
      <c r="G1375" t="s">
        <v>3315</v>
      </c>
      <c r="H1375">
        <v>20000</v>
      </c>
      <c r="I1375" t="s">
        <v>3834</v>
      </c>
      <c r="J1375">
        <v>20000</v>
      </c>
      <c r="K1375">
        <v>60000</v>
      </c>
      <c r="L1375" t="s">
        <v>149</v>
      </c>
      <c r="M1375" t="s">
        <v>143</v>
      </c>
      <c r="N1375" t="s">
        <v>144</v>
      </c>
      <c r="O1375" t="s">
        <v>4946</v>
      </c>
      <c r="P1375" s="5" t="s">
        <v>3318</v>
      </c>
      <c r="Q1375">
        <v>3</v>
      </c>
    </row>
    <row r="1376" spans="1:17" x14ac:dyDescent="0.3">
      <c r="A1376" s="4">
        <v>44649</v>
      </c>
      <c r="B1376" t="s">
        <v>5055</v>
      </c>
      <c r="C1376" t="s">
        <v>3724</v>
      </c>
      <c r="D1376" s="77">
        <v>0.80902777777777779</v>
      </c>
      <c r="E1376" t="s">
        <v>3314</v>
      </c>
      <c r="F1376">
        <v>40</v>
      </c>
      <c r="G1376" t="s">
        <v>3315</v>
      </c>
      <c r="H1376">
        <v>20000</v>
      </c>
      <c r="I1376" t="s">
        <v>3834</v>
      </c>
      <c r="J1376">
        <v>20000</v>
      </c>
      <c r="K1376">
        <v>80000</v>
      </c>
      <c r="L1376" t="s">
        <v>118</v>
      </c>
      <c r="M1376" t="s">
        <v>141</v>
      </c>
      <c r="N1376" t="s">
        <v>142</v>
      </c>
      <c r="O1376" t="s">
        <v>4707</v>
      </c>
      <c r="P1376" s="5" t="s">
        <v>3318</v>
      </c>
      <c r="Q1376">
        <v>4</v>
      </c>
    </row>
    <row r="1377" spans="1:17" x14ac:dyDescent="0.3">
      <c r="A1377" s="4">
        <v>44649</v>
      </c>
      <c r="B1377" t="s">
        <v>5056</v>
      </c>
      <c r="C1377" t="s">
        <v>5016</v>
      </c>
      <c r="D1377" s="77">
        <v>0.8125</v>
      </c>
      <c r="E1377" t="s">
        <v>3314</v>
      </c>
      <c r="F1377">
        <v>45</v>
      </c>
      <c r="G1377" t="s">
        <v>3315</v>
      </c>
      <c r="H1377">
        <v>30000</v>
      </c>
      <c r="I1377" t="s">
        <v>3834</v>
      </c>
      <c r="J1377">
        <v>30000</v>
      </c>
      <c r="K1377">
        <v>90000</v>
      </c>
      <c r="L1377" t="s">
        <v>149</v>
      </c>
      <c r="M1377" t="s">
        <v>143</v>
      </c>
      <c r="N1377" t="s">
        <v>144</v>
      </c>
      <c r="O1377" t="s">
        <v>4946</v>
      </c>
      <c r="P1377" s="5" t="s">
        <v>3318</v>
      </c>
      <c r="Q1377">
        <v>3</v>
      </c>
    </row>
    <row r="1378" spans="1:17" x14ac:dyDescent="0.3">
      <c r="A1378" s="4">
        <v>44649</v>
      </c>
      <c r="B1378" t="s">
        <v>5057</v>
      </c>
      <c r="C1378" t="s">
        <v>5011</v>
      </c>
      <c r="D1378" s="77">
        <v>0.81597222222222221</v>
      </c>
      <c r="E1378" t="s">
        <v>3314</v>
      </c>
      <c r="F1378">
        <v>53</v>
      </c>
      <c r="G1378" t="s">
        <v>3315</v>
      </c>
      <c r="H1378">
        <v>30000</v>
      </c>
      <c r="I1378" t="s">
        <v>3834</v>
      </c>
      <c r="J1378">
        <v>30000</v>
      </c>
      <c r="K1378">
        <v>135000</v>
      </c>
      <c r="L1378" t="s">
        <v>116</v>
      </c>
      <c r="M1378" t="s">
        <v>76</v>
      </c>
      <c r="N1378" t="s">
        <v>107</v>
      </c>
      <c r="O1378" t="s">
        <v>3321</v>
      </c>
      <c r="P1378" s="5" t="s">
        <v>3318</v>
      </c>
      <c r="Q1378">
        <v>4.5</v>
      </c>
    </row>
    <row r="1379" spans="1:17" x14ac:dyDescent="0.3">
      <c r="A1379" s="4">
        <v>44649</v>
      </c>
      <c r="B1379" t="s">
        <v>5058</v>
      </c>
      <c r="C1379" t="s">
        <v>3368</v>
      </c>
      <c r="D1379" s="77">
        <v>0.86111111111111116</v>
      </c>
      <c r="E1379" t="s">
        <v>3314</v>
      </c>
      <c r="F1379">
        <v>44</v>
      </c>
      <c r="G1379" t="s">
        <v>3315</v>
      </c>
      <c r="H1379">
        <v>20000</v>
      </c>
      <c r="I1379" t="s">
        <v>3834</v>
      </c>
      <c r="J1379">
        <v>20000</v>
      </c>
      <c r="K1379">
        <v>80000</v>
      </c>
      <c r="L1379" t="s">
        <v>118</v>
      </c>
      <c r="M1379" t="s">
        <v>94</v>
      </c>
      <c r="N1379" t="s">
        <v>138</v>
      </c>
      <c r="O1379" t="s">
        <v>3775</v>
      </c>
      <c r="P1379" s="5" t="s">
        <v>3318</v>
      </c>
      <c r="Q1379">
        <v>4</v>
      </c>
    </row>
    <row r="1380" spans="1:17" x14ac:dyDescent="0.3">
      <c r="A1380" s="4">
        <v>44650</v>
      </c>
      <c r="B1380" t="s">
        <v>5059</v>
      </c>
      <c r="C1380" t="s">
        <v>4936</v>
      </c>
      <c r="D1380" s="77">
        <v>0.43263888888888885</v>
      </c>
      <c r="E1380" t="s">
        <v>3314</v>
      </c>
      <c r="F1380">
        <v>25</v>
      </c>
      <c r="G1380" t="s">
        <v>3315</v>
      </c>
      <c r="H1380">
        <v>20000</v>
      </c>
      <c r="I1380" t="s">
        <v>3834</v>
      </c>
      <c r="J1380">
        <v>20000</v>
      </c>
      <c r="K1380">
        <v>90000</v>
      </c>
      <c r="L1380" t="s">
        <v>114</v>
      </c>
      <c r="M1380" t="s">
        <v>79</v>
      </c>
      <c r="N1380" t="s">
        <v>131</v>
      </c>
      <c r="O1380" t="s">
        <v>3465</v>
      </c>
      <c r="P1380" s="5" t="s">
        <v>3318</v>
      </c>
      <c r="Q1380">
        <v>4.5</v>
      </c>
    </row>
    <row r="1381" spans="1:17" x14ac:dyDescent="0.3">
      <c r="A1381" s="4">
        <v>44650</v>
      </c>
      <c r="B1381" t="s">
        <v>5060</v>
      </c>
      <c r="C1381" t="s">
        <v>4936</v>
      </c>
      <c r="D1381" s="77">
        <v>0.4465277777777778</v>
      </c>
      <c r="E1381" t="s">
        <v>3314</v>
      </c>
      <c r="F1381">
        <v>57</v>
      </c>
      <c r="G1381" t="s">
        <v>3315</v>
      </c>
      <c r="H1381">
        <v>20000</v>
      </c>
      <c r="I1381" t="s">
        <v>3834</v>
      </c>
      <c r="J1381">
        <v>20000</v>
      </c>
      <c r="K1381">
        <v>90000</v>
      </c>
      <c r="L1381" t="s">
        <v>114</v>
      </c>
      <c r="M1381" t="s">
        <v>79</v>
      </c>
      <c r="N1381" t="s">
        <v>131</v>
      </c>
      <c r="O1381" t="s">
        <v>3465</v>
      </c>
      <c r="P1381" s="5" t="s">
        <v>3318</v>
      </c>
      <c r="Q1381">
        <v>4.5</v>
      </c>
    </row>
    <row r="1382" spans="1:17" x14ac:dyDescent="0.3">
      <c r="A1382" s="4">
        <v>44650</v>
      </c>
      <c r="B1382" t="s">
        <v>5061</v>
      </c>
      <c r="C1382" t="s">
        <v>3440</v>
      </c>
      <c r="D1382" s="77">
        <v>0.46527777777777773</v>
      </c>
      <c r="E1382" t="s">
        <v>3314</v>
      </c>
      <c r="F1382">
        <v>43</v>
      </c>
      <c r="G1382" t="s">
        <v>3315</v>
      </c>
      <c r="H1382">
        <v>20000</v>
      </c>
      <c r="I1382" t="s">
        <v>3834</v>
      </c>
      <c r="J1382">
        <v>20000</v>
      </c>
      <c r="K1382">
        <v>80000</v>
      </c>
      <c r="L1382" t="s">
        <v>118</v>
      </c>
      <c r="M1382" t="s">
        <v>91</v>
      </c>
      <c r="N1382" t="s">
        <v>136</v>
      </c>
      <c r="O1382" t="s">
        <v>3422</v>
      </c>
      <c r="P1382" s="5" t="s">
        <v>3318</v>
      </c>
      <c r="Q1382">
        <v>4</v>
      </c>
    </row>
    <row r="1383" spans="1:17" x14ac:dyDescent="0.3">
      <c r="A1383" s="4">
        <v>44650</v>
      </c>
      <c r="B1383" t="s">
        <v>5062</v>
      </c>
      <c r="C1383" t="s">
        <v>4936</v>
      </c>
      <c r="D1383" s="77">
        <v>0.47152777777777777</v>
      </c>
      <c r="E1383" t="s">
        <v>3314</v>
      </c>
      <c r="F1383">
        <v>43</v>
      </c>
      <c r="G1383" t="s">
        <v>3315</v>
      </c>
      <c r="H1383">
        <v>20000</v>
      </c>
      <c r="I1383" t="s">
        <v>3834</v>
      </c>
      <c r="J1383">
        <v>20000</v>
      </c>
      <c r="K1383">
        <v>90000</v>
      </c>
      <c r="L1383" t="s">
        <v>114</v>
      </c>
      <c r="M1383" t="s">
        <v>79</v>
      </c>
      <c r="N1383" t="s">
        <v>131</v>
      </c>
      <c r="O1383" t="s">
        <v>3465</v>
      </c>
      <c r="P1383" s="5" t="s">
        <v>3318</v>
      </c>
      <c r="Q1383">
        <v>4.5</v>
      </c>
    </row>
    <row r="1384" spans="1:17" x14ac:dyDescent="0.3">
      <c r="A1384" s="4">
        <v>44650</v>
      </c>
      <c r="B1384" t="s">
        <v>5063</v>
      </c>
      <c r="C1384" t="s">
        <v>3695</v>
      </c>
      <c r="D1384" s="77">
        <v>0.47916666666666669</v>
      </c>
      <c r="E1384" t="s">
        <v>3314</v>
      </c>
      <c r="F1384">
        <v>62</v>
      </c>
      <c r="G1384" t="s">
        <v>3315</v>
      </c>
      <c r="H1384">
        <v>20000</v>
      </c>
      <c r="I1384" t="s">
        <v>3834</v>
      </c>
      <c r="J1384">
        <v>20000</v>
      </c>
      <c r="K1384">
        <v>80000</v>
      </c>
      <c r="L1384" t="s">
        <v>118</v>
      </c>
      <c r="M1384" t="s">
        <v>96</v>
      </c>
      <c r="N1384" t="s">
        <v>140</v>
      </c>
      <c r="O1384" t="s">
        <v>4105</v>
      </c>
      <c r="P1384" s="5" t="s">
        <v>3318</v>
      </c>
      <c r="Q1384">
        <v>4</v>
      </c>
    </row>
    <row r="1385" spans="1:17" x14ac:dyDescent="0.3">
      <c r="A1385" s="4">
        <v>44650</v>
      </c>
      <c r="B1385" t="s">
        <v>5064</v>
      </c>
      <c r="C1385" t="s">
        <v>3664</v>
      </c>
      <c r="D1385" s="77">
        <v>0.4826388888888889</v>
      </c>
      <c r="E1385" t="s">
        <v>3314</v>
      </c>
      <c r="F1385">
        <v>41</v>
      </c>
      <c r="G1385" t="s">
        <v>3315</v>
      </c>
      <c r="H1385">
        <v>30000</v>
      </c>
      <c r="I1385" t="s">
        <v>3834</v>
      </c>
      <c r="J1385">
        <v>30000</v>
      </c>
      <c r="K1385">
        <v>120000</v>
      </c>
      <c r="L1385" t="s">
        <v>118</v>
      </c>
      <c r="M1385" t="s">
        <v>24</v>
      </c>
      <c r="N1385" t="s">
        <v>103</v>
      </c>
      <c r="O1385" t="s">
        <v>3585</v>
      </c>
      <c r="P1385" s="5" t="s">
        <v>3318</v>
      </c>
      <c r="Q1385">
        <v>4</v>
      </c>
    </row>
    <row r="1386" spans="1:17" x14ac:dyDescent="0.3">
      <c r="A1386" s="4">
        <v>44650</v>
      </c>
      <c r="B1386" t="s">
        <v>5065</v>
      </c>
      <c r="C1386" t="s">
        <v>5066</v>
      </c>
      <c r="D1386" s="77">
        <v>0.50347222222222221</v>
      </c>
      <c r="E1386" t="s">
        <v>3314</v>
      </c>
      <c r="F1386">
        <v>57</v>
      </c>
      <c r="G1386" t="s">
        <v>3315</v>
      </c>
      <c r="H1386">
        <v>20000</v>
      </c>
      <c r="I1386" t="s">
        <v>3834</v>
      </c>
      <c r="J1386">
        <v>20000</v>
      </c>
      <c r="K1386">
        <v>90000</v>
      </c>
      <c r="L1386" t="s">
        <v>116</v>
      </c>
      <c r="M1386" t="s">
        <v>65</v>
      </c>
      <c r="N1386" t="s">
        <v>102</v>
      </c>
      <c r="O1386" t="s">
        <v>3506</v>
      </c>
      <c r="P1386" s="5" t="s">
        <v>3318</v>
      </c>
      <c r="Q1386">
        <v>4.5</v>
      </c>
    </row>
    <row r="1387" spans="1:17" x14ac:dyDescent="0.3">
      <c r="A1387" s="4">
        <v>44650</v>
      </c>
      <c r="B1387" t="s">
        <v>5067</v>
      </c>
      <c r="C1387" t="s">
        <v>4851</v>
      </c>
      <c r="D1387" s="77">
        <v>0.50555555555555554</v>
      </c>
      <c r="E1387" t="s">
        <v>3314</v>
      </c>
      <c r="F1387">
        <v>55</v>
      </c>
      <c r="G1387" t="s">
        <v>3315</v>
      </c>
      <c r="H1387">
        <v>20000</v>
      </c>
      <c r="I1387" t="s">
        <v>3834</v>
      </c>
      <c r="J1387">
        <v>20000</v>
      </c>
      <c r="K1387">
        <v>90000</v>
      </c>
      <c r="L1387" t="s">
        <v>119</v>
      </c>
      <c r="M1387" t="s">
        <v>27</v>
      </c>
      <c r="N1387" t="s">
        <v>101</v>
      </c>
      <c r="O1387" t="s">
        <v>3803</v>
      </c>
      <c r="P1387" s="5" t="s">
        <v>3318</v>
      </c>
      <c r="Q1387">
        <v>4.5</v>
      </c>
    </row>
    <row r="1388" spans="1:17" x14ac:dyDescent="0.3">
      <c r="A1388" s="4">
        <v>44650</v>
      </c>
      <c r="B1388" t="s">
        <v>5068</v>
      </c>
      <c r="C1388" t="s">
        <v>5069</v>
      </c>
      <c r="D1388" s="77">
        <v>0.5180555555555556</v>
      </c>
      <c r="E1388" t="s">
        <v>3314</v>
      </c>
      <c r="F1388">
        <v>35</v>
      </c>
      <c r="G1388" t="s">
        <v>3315</v>
      </c>
      <c r="H1388">
        <v>20000</v>
      </c>
      <c r="I1388" t="s">
        <v>3834</v>
      </c>
      <c r="J1388">
        <v>20000</v>
      </c>
      <c r="K1388">
        <v>80000</v>
      </c>
      <c r="L1388" t="s">
        <v>118</v>
      </c>
      <c r="M1388" t="s">
        <v>93</v>
      </c>
      <c r="N1388" t="s">
        <v>121</v>
      </c>
      <c r="O1388" t="s">
        <v>3781</v>
      </c>
      <c r="P1388" s="5" t="s">
        <v>3318</v>
      </c>
      <c r="Q1388">
        <v>4</v>
      </c>
    </row>
    <row r="1389" spans="1:17" x14ac:dyDescent="0.3">
      <c r="A1389" s="4">
        <v>44650</v>
      </c>
      <c r="B1389" t="s">
        <v>5070</v>
      </c>
      <c r="C1389" t="s">
        <v>5071</v>
      </c>
      <c r="D1389" s="77">
        <v>0.52013888888888882</v>
      </c>
      <c r="E1389" t="s">
        <v>3332</v>
      </c>
      <c r="F1389">
        <v>29</v>
      </c>
      <c r="G1389" t="s">
        <v>3315</v>
      </c>
      <c r="H1389">
        <v>30000</v>
      </c>
      <c r="I1389" t="s">
        <v>3834</v>
      </c>
      <c r="J1389">
        <v>30000</v>
      </c>
      <c r="K1389">
        <v>150000</v>
      </c>
      <c r="L1389" t="s">
        <v>116</v>
      </c>
      <c r="M1389" t="s">
        <v>111</v>
      </c>
      <c r="N1389" t="s">
        <v>112</v>
      </c>
      <c r="O1389" t="s">
        <v>4967</v>
      </c>
      <c r="P1389" s="5" t="s">
        <v>3318</v>
      </c>
      <c r="Q1389">
        <v>5</v>
      </c>
    </row>
    <row r="1390" spans="1:17" x14ac:dyDescent="0.3">
      <c r="A1390" s="4">
        <v>44650</v>
      </c>
      <c r="B1390" t="s">
        <v>5072</v>
      </c>
      <c r="C1390" t="s">
        <v>3664</v>
      </c>
      <c r="D1390" s="77">
        <v>0.52430555555555558</v>
      </c>
      <c r="E1390" t="s">
        <v>3314</v>
      </c>
      <c r="F1390">
        <v>73</v>
      </c>
      <c r="G1390" t="s">
        <v>3315</v>
      </c>
      <c r="H1390">
        <v>30000</v>
      </c>
      <c r="I1390" t="s">
        <v>3834</v>
      </c>
      <c r="J1390">
        <v>30000</v>
      </c>
      <c r="K1390">
        <v>120000</v>
      </c>
      <c r="L1390" t="s">
        <v>118</v>
      </c>
      <c r="M1390" t="s">
        <v>24</v>
      </c>
      <c r="N1390" t="s">
        <v>103</v>
      </c>
      <c r="O1390" t="s">
        <v>3585</v>
      </c>
      <c r="P1390" s="5" t="s">
        <v>3318</v>
      </c>
      <c r="Q1390">
        <v>4</v>
      </c>
    </row>
    <row r="1391" spans="1:17" x14ac:dyDescent="0.3">
      <c r="A1391" s="4">
        <v>44650</v>
      </c>
      <c r="B1391" t="s">
        <v>5073</v>
      </c>
      <c r="C1391" t="s">
        <v>5074</v>
      </c>
      <c r="D1391" s="77">
        <v>0.53819444444444442</v>
      </c>
      <c r="E1391" t="s">
        <v>3314</v>
      </c>
      <c r="F1391">
        <v>59</v>
      </c>
      <c r="G1391" t="s">
        <v>3315</v>
      </c>
      <c r="H1391">
        <v>20000</v>
      </c>
      <c r="I1391" t="s">
        <v>3834</v>
      </c>
      <c r="J1391">
        <v>20000</v>
      </c>
      <c r="K1391">
        <v>80000</v>
      </c>
      <c r="L1391" t="s">
        <v>118</v>
      </c>
      <c r="M1391" t="s">
        <v>92</v>
      </c>
      <c r="N1391" t="s">
        <v>137</v>
      </c>
      <c r="O1391" t="s">
        <v>3476</v>
      </c>
      <c r="P1391" s="5" t="s">
        <v>3318</v>
      </c>
      <c r="Q1391">
        <v>4</v>
      </c>
    </row>
    <row r="1392" spans="1:17" x14ac:dyDescent="0.3">
      <c r="A1392" s="4">
        <v>44650</v>
      </c>
      <c r="B1392" t="s">
        <v>5075</v>
      </c>
      <c r="C1392" t="s">
        <v>5076</v>
      </c>
      <c r="D1392" s="77">
        <v>0.5395833333333333</v>
      </c>
      <c r="E1392" t="s">
        <v>3314</v>
      </c>
      <c r="F1392">
        <v>40</v>
      </c>
      <c r="G1392" t="s">
        <v>3348</v>
      </c>
      <c r="H1392">
        <v>20000</v>
      </c>
      <c r="I1392" t="s">
        <v>3348</v>
      </c>
      <c r="J1392">
        <v>20000</v>
      </c>
      <c r="K1392">
        <v>80000</v>
      </c>
      <c r="L1392" t="s">
        <v>118</v>
      </c>
      <c r="M1392" t="s">
        <v>88</v>
      </c>
      <c r="N1392" t="s">
        <v>117</v>
      </c>
      <c r="O1392" t="s">
        <v>4475</v>
      </c>
      <c r="P1392" s="5" t="s">
        <v>3318</v>
      </c>
      <c r="Q1392">
        <v>4</v>
      </c>
    </row>
    <row r="1393" spans="1:17" x14ac:dyDescent="0.3">
      <c r="A1393" s="4">
        <v>44650</v>
      </c>
      <c r="B1393" t="s">
        <v>5077</v>
      </c>
      <c r="C1393" t="s">
        <v>5074</v>
      </c>
      <c r="D1393" s="77">
        <v>0.56180555555555556</v>
      </c>
      <c r="E1393" t="s">
        <v>3314</v>
      </c>
      <c r="F1393">
        <v>59</v>
      </c>
      <c r="G1393" t="s">
        <v>3315</v>
      </c>
      <c r="H1393">
        <v>20000</v>
      </c>
      <c r="I1393" t="s">
        <v>3834</v>
      </c>
      <c r="J1393">
        <v>20000</v>
      </c>
      <c r="K1393">
        <v>80000</v>
      </c>
      <c r="L1393" t="s">
        <v>118</v>
      </c>
      <c r="M1393" t="s">
        <v>92</v>
      </c>
      <c r="N1393" t="s">
        <v>137</v>
      </c>
      <c r="O1393" t="s">
        <v>3476</v>
      </c>
      <c r="P1393" s="5" t="s">
        <v>3318</v>
      </c>
      <c r="Q1393">
        <v>4</v>
      </c>
    </row>
    <row r="1394" spans="1:17" x14ac:dyDescent="0.3">
      <c r="A1394" s="4">
        <v>44650</v>
      </c>
      <c r="B1394" t="s">
        <v>5078</v>
      </c>
      <c r="C1394" t="s">
        <v>4855</v>
      </c>
      <c r="D1394" s="77">
        <v>0.5625</v>
      </c>
      <c r="E1394" t="s">
        <v>3314</v>
      </c>
      <c r="F1394">
        <v>35</v>
      </c>
      <c r="G1394" t="s">
        <v>3315</v>
      </c>
      <c r="H1394">
        <v>20000</v>
      </c>
      <c r="I1394" t="s">
        <v>3834</v>
      </c>
      <c r="J1394">
        <v>20000</v>
      </c>
      <c r="K1394">
        <v>20000</v>
      </c>
      <c r="L1394" t="s">
        <v>124</v>
      </c>
      <c r="M1394" t="s">
        <v>156</v>
      </c>
      <c r="N1394" t="s">
        <v>157</v>
      </c>
      <c r="O1394" t="s">
        <v>5079</v>
      </c>
      <c r="P1394" s="5" t="s">
        <v>3318</v>
      </c>
      <c r="Q1394">
        <v>1</v>
      </c>
    </row>
    <row r="1395" spans="1:17" x14ac:dyDescent="0.3">
      <c r="A1395" s="4">
        <v>44650</v>
      </c>
      <c r="B1395" t="s">
        <v>5080</v>
      </c>
      <c r="C1395" t="s">
        <v>5076</v>
      </c>
      <c r="D1395" s="77">
        <v>0.5625</v>
      </c>
      <c r="E1395" t="s">
        <v>3314</v>
      </c>
      <c r="F1395">
        <v>68</v>
      </c>
      <c r="G1395" t="s">
        <v>3315</v>
      </c>
      <c r="H1395">
        <v>30000</v>
      </c>
      <c r="I1395" t="s">
        <v>3834</v>
      </c>
      <c r="J1395">
        <v>30000</v>
      </c>
      <c r="K1395">
        <v>135000</v>
      </c>
      <c r="L1395" t="s">
        <v>116</v>
      </c>
      <c r="M1395" t="s">
        <v>78</v>
      </c>
      <c r="N1395" t="s">
        <v>100</v>
      </c>
      <c r="O1395" t="s">
        <v>4472</v>
      </c>
      <c r="P1395" s="5" t="s">
        <v>3318</v>
      </c>
      <c r="Q1395">
        <v>4.5</v>
      </c>
    </row>
    <row r="1396" spans="1:17" x14ac:dyDescent="0.3">
      <c r="A1396" s="4">
        <v>44650</v>
      </c>
      <c r="B1396" t="s">
        <v>5081</v>
      </c>
      <c r="C1396" t="s">
        <v>5082</v>
      </c>
      <c r="D1396" s="77">
        <v>0.56944444444444442</v>
      </c>
      <c r="E1396" t="s">
        <v>3314</v>
      </c>
      <c r="F1396">
        <v>55</v>
      </c>
      <c r="G1396" t="s">
        <v>3315</v>
      </c>
      <c r="H1396">
        <v>20000</v>
      </c>
      <c r="I1396" t="s">
        <v>3834</v>
      </c>
      <c r="J1396">
        <v>20000</v>
      </c>
      <c r="K1396">
        <v>60000</v>
      </c>
      <c r="L1396" t="s">
        <v>149</v>
      </c>
      <c r="M1396" t="s">
        <v>143</v>
      </c>
      <c r="N1396" t="s">
        <v>144</v>
      </c>
      <c r="O1396" t="s">
        <v>4946</v>
      </c>
      <c r="P1396" s="5" t="s">
        <v>3318</v>
      </c>
      <c r="Q1396">
        <v>3</v>
      </c>
    </row>
    <row r="1397" spans="1:17" x14ac:dyDescent="0.3">
      <c r="A1397" s="4">
        <v>44650</v>
      </c>
      <c r="B1397" t="s">
        <v>5083</v>
      </c>
      <c r="C1397" t="s">
        <v>3664</v>
      </c>
      <c r="D1397" s="77">
        <v>0.57291666666666663</v>
      </c>
      <c r="E1397" t="s">
        <v>3314</v>
      </c>
      <c r="F1397">
        <v>60</v>
      </c>
      <c r="G1397" t="s">
        <v>3315</v>
      </c>
      <c r="H1397">
        <v>30000</v>
      </c>
      <c r="I1397" t="s">
        <v>3834</v>
      </c>
      <c r="J1397">
        <v>30000</v>
      </c>
      <c r="K1397">
        <v>120000</v>
      </c>
      <c r="L1397" t="s">
        <v>118</v>
      </c>
      <c r="M1397" t="s">
        <v>24</v>
      </c>
      <c r="N1397" t="s">
        <v>103</v>
      </c>
      <c r="O1397" t="s">
        <v>3585</v>
      </c>
      <c r="P1397" s="5" t="s">
        <v>3318</v>
      </c>
      <c r="Q1397">
        <v>4</v>
      </c>
    </row>
    <row r="1398" spans="1:17" x14ac:dyDescent="0.3">
      <c r="A1398" s="4">
        <v>44650</v>
      </c>
      <c r="B1398" t="s">
        <v>5084</v>
      </c>
      <c r="C1398" t="s">
        <v>4855</v>
      </c>
      <c r="D1398" s="77">
        <v>0.57638888888888895</v>
      </c>
      <c r="E1398" t="s">
        <v>3314</v>
      </c>
      <c r="F1398">
        <v>48</v>
      </c>
      <c r="G1398" t="s">
        <v>3315</v>
      </c>
      <c r="H1398">
        <v>30000</v>
      </c>
      <c r="I1398" t="s">
        <v>3834</v>
      </c>
      <c r="J1398">
        <v>30000</v>
      </c>
      <c r="K1398">
        <v>135000</v>
      </c>
      <c r="L1398" t="s">
        <v>114</v>
      </c>
      <c r="M1398" t="s">
        <v>31</v>
      </c>
      <c r="N1398" t="s">
        <v>105</v>
      </c>
      <c r="O1398" t="s">
        <v>3339</v>
      </c>
      <c r="P1398" s="5" t="s">
        <v>3318</v>
      </c>
      <c r="Q1398">
        <v>4.5</v>
      </c>
    </row>
    <row r="1399" spans="1:17" x14ac:dyDescent="0.3">
      <c r="A1399" s="4">
        <v>44650</v>
      </c>
      <c r="B1399" t="s">
        <v>5085</v>
      </c>
      <c r="C1399" t="s">
        <v>5082</v>
      </c>
      <c r="D1399" s="77">
        <v>0.57986111111111105</v>
      </c>
      <c r="E1399" t="s">
        <v>3314</v>
      </c>
      <c r="F1399">
        <v>61</v>
      </c>
      <c r="G1399" t="s">
        <v>3315</v>
      </c>
      <c r="H1399">
        <v>20000</v>
      </c>
      <c r="I1399" t="s">
        <v>3834</v>
      </c>
      <c r="J1399">
        <v>20000</v>
      </c>
      <c r="K1399">
        <v>80000</v>
      </c>
      <c r="L1399" t="s">
        <v>118</v>
      </c>
      <c r="M1399" t="s">
        <v>90</v>
      </c>
      <c r="N1399" t="s">
        <v>110</v>
      </c>
      <c r="O1399" t="s">
        <v>3455</v>
      </c>
      <c r="P1399" s="5" t="s">
        <v>3318</v>
      </c>
      <c r="Q1399">
        <v>4</v>
      </c>
    </row>
    <row r="1400" spans="1:17" x14ac:dyDescent="0.3">
      <c r="A1400" s="4">
        <v>44650</v>
      </c>
      <c r="B1400" t="s">
        <v>5086</v>
      </c>
      <c r="C1400" t="s">
        <v>5071</v>
      </c>
      <c r="D1400" s="77">
        <v>0.59652777777777777</v>
      </c>
      <c r="E1400" t="s">
        <v>3332</v>
      </c>
      <c r="F1400">
        <v>67</v>
      </c>
      <c r="G1400" t="s">
        <v>3315</v>
      </c>
      <c r="H1400">
        <v>20000</v>
      </c>
      <c r="I1400" t="s">
        <v>3834</v>
      </c>
      <c r="J1400">
        <v>20000</v>
      </c>
      <c r="K1400">
        <v>80000</v>
      </c>
      <c r="L1400" t="s">
        <v>118</v>
      </c>
      <c r="M1400" t="s">
        <v>147</v>
      </c>
      <c r="N1400" t="s">
        <v>148</v>
      </c>
      <c r="O1400" t="s">
        <v>4974</v>
      </c>
      <c r="P1400" s="5" t="s">
        <v>3318</v>
      </c>
      <c r="Q1400">
        <v>4</v>
      </c>
    </row>
    <row r="1401" spans="1:17" x14ac:dyDescent="0.3">
      <c r="A1401" s="4">
        <v>44650</v>
      </c>
      <c r="B1401" t="s">
        <v>5087</v>
      </c>
      <c r="C1401" t="s">
        <v>3695</v>
      </c>
      <c r="D1401" s="77">
        <v>0.59722222222222221</v>
      </c>
      <c r="E1401" t="s">
        <v>3314</v>
      </c>
      <c r="F1401">
        <v>64</v>
      </c>
      <c r="G1401" t="s">
        <v>3315</v>
      </c>
      <c r="H1401">
        <v>20000</v>
      </c>
      <c r="I1401" t="s">
        <v>3834</v>
      </c>
      <c r="J1401">
        <v>20000</v>
      </c>
      <c r="K1401">
        <v>80000</v>
      </c>
      <c r="L1401" t="s">
        <v>118</v>
      </c>
      <c r="M1401" t="s">
        <v>87</v>
      </c>
      <c r="N1401" t="s">
        <v>134</v>
      </c>
      <c r="O1401" t="s">
        <v>3528</v>
      </c>
      <c r="P1401" s="5" t="s">
        <v>3318</v>
      </c>
      <c r="Q1401">
        <v>4</v>
      </c>
    </row>
    <row r="1402" spans="1:17" x14ac:dyDescent="0.3">
      <c r="A1402" s="4">
        <v>44650</v>
      </c>
      <c r="B1402" t="s">
        <v>5088</v>
      </c>
      <c r="C1402" t="s">
        <v>5082</v>
      </c>
      <c r="D1402" s="77">
        <v>0.60416666666666663</v>
      </c>
      <c r="E1402" t="s">
        <v>3314</v>
      </c>
      <c r="F1402">
        <v>40</v>
      </c>
      <c r="G1402" t="s">
        <v>3344</v>
      </c>
      <c r="H1402">
        <v>20000</v>
      </c>
      <c r="I1402" t="s">
        <v>3344</v>
      </c>
      <c r="J1402">
        <v>20000</v>
      </c>
      <c r="K1402">
        <v>60000</v>
      </c>
      <c r="L1402" t="s">
        <v>149</v>
      </c>
      <c r="M1402" t="s">
        <v>143</v>
      </c>
      <c r="N1402" t="s">
        <v>144</v>
      </c>
      <c r="O1402" t="s">
        <v>4946</v>
      </c>
      <c r="P1402" s="5" t="s">
        <v>3318</v>
      </c>
      <c r="Q1402">
        <v>3</v>
      </c>
    </row>
    <row r="1403" spans="1:17" x14ac:dyDescent="0.3">
      <c r="A1403" s="4">
        <v>44650</v>
      </c>
      <c r="B1403" t="s">
        <v>5089</v>
      </c>
      <c r="C1403" t="s">
        <v>4936</v>
      </c>
      <c r="D1403" s="77">
        <v>0.61458333333333337</v>
      </c>
      <c r="E1403" t="s">
        <v>3314</v>
      </c>
      <c r="F1403">
        <v>26</v>
      </c>
      <c r="G1403" t="s">
        <v>3315</v>
      </c>
      <c r="H1403">
        <v>20000</v>
      </c>
      <c r="I1403" t="s">
        <v>3834</v>
      </c>
      <c r="J1403">
        <v>20000</v>
      </c>
      <c r="K1403">
        <v>90000</v>
      </c>
      <c r="L1403" t="s">
        <v>114</v>
      </c>
      <c r="M1403" t="s">
        <v>79</v>
      </c>
      <c r="N1403" t="s">
        <v>131</v>
      </c>
      <c r="O1403" t="s">
        <v>3465</v>
      </c>
      <c r="P1403" s="5" t="s">
        <v>3318</v>
      </c>
      <c r="Q1403">
        <v>4.5</v>
      </c>
    </row>
    <row r="1404" spans="1:17" x14ac:dyDescent="0.3">
      <c r="A1404" s="4">
        <v>44650</v>
      </c>
      <c r="B1404" t="s">
        <v>5090</v>
      </c>
      <c r="C1404" t="s">
        <v>5091</v>
      </c>
      <c r="D1404" s="77">
        <v>0.61458333333333337</v>
      </c>
      <c r="E1404" t="s">
        <v>3314</v>
      </c>
      <c r="F1404">
        <v>54</v>
      </c>
      <c r="G1404" t="s">
        <v>3315</v>
      </c>
      <c r="H1404">
        <v>20000</v>
      </c>
      <c r="I1404" t="s">
        <v>3834</v>
      </c>
      <c r="J1404">
        <v>20000</v>
      </c>
      <c r="K1404">
        <v>90000</v>
      </c>
      <c r="L1404" t="s">
        <v>116</v>
      </c>
      <c r="M1404" t="s">
        <v>77</v>
      </c>
      <c r="N1404" t="s">
        <v>133</v>
      </c>
      <c r="O1404" t="s">
        <v>3376</v>
      </c>
      <c r="P1404" s="5" t="s">
        <v>3318</v>
      </c>
      <c r="Q1404">
        <v>4.5</v>
      </c>
    </row>
    <row r="1405" spans="1:17" x14ac:dyDescent="0.3">
      <c r="A1405" s="4">
        <v>44650</v>
      </c>
      <c r="B1405" t="s">
        <v>5092</v>
      </c>
      <c r="C1405" t="s">
        <v>5074</v>
      </c>
      <c r="D1405" s="77">
        <v>0.62291666666666667</v>
      </c>
      <c r="E1405" t="s">
        <v>3314</v>
      </c>
      <c r="F1405">
        <v>33</v>
      </c>
      <c r="G1405" t="s">
        <v>3315</v>
      </c>
      <c r="H1405">
        <v>20000</v>
      </c>
      <c r="I1405" t="s">
        <v>3834</v>
      </c>
      <c r="J1405">
        <v>20000</v>
      </c>
      <c r="K1405">
        <v>80000</v>
      </c>
      <c r="L1405" t="s">
        <v>118</v>
      </c>
      <c r="M1405" t="s">
        <v>92</v>
      </c>
      <c r="N1405" t="s">
        <v>137</v>
      </c>
      <c r="O1405" t="s">
        <v>3476</v>
      </c>
      <c r="P1405" s="5" t="s">
        <v>3318</v>
      </c>
      <c r="Q1405">
        <v>4</v>
      </c>
    </row>
    <row r="1406" spans="1:17" x14ac:dyDescent="0.3">
      <c r="A1406" s="4">
        <v>44650</v>
      </c>
      <c r="B1406" t="s">
        <v>5093</v>
      </c>
      <c r="C1406" t="s">
        <v>3695</v>
      </c>
      <c r="D1406" s="77">
        <v>0.62847222222222221</v>
      </c>
      <c r="E1406" t="s">
        <v>3314</v>
      </c>
      <c r="F1406">
        <v>64</v>
      </c>
      <c r="G1406" t="s">
        <v>3889</v>
      </c>
      <c r="H1406">
        <v>20000</v>
      </c>
      <c r="I1406" t="s">
        <v>3889</v>
      </c>
      <c r="J1406">
        <v>20000</v>
      </c>
      <c r="K1406">
        <v>80000</v>
      </c>
      <c r="L1406" t="s">
        <v>118</v>
      </c>
      <c r="M1406" t="s">
        <v>96</v>
      </c>
      <c r="N1406" t="s">
        <v>140</v>
      </c>
      <c r="O1406" t="s">
        <v>4105</v>
      </c>
      <c r="P1406" s="5" t="s">
        <v>3318</v>
      </c>
      <c r="Q1406">
        <v>4</v>
      </c>
    </row>
    <row r="1407" spans="1:17" x14ac:dyDescent="0.3">
      <c r="A1407" s="4">
        <v>44650</v>
      </c>
      <c r="B1407" t="s">
        <v>5094</v>
      </c>
      <c r="C1407" t="s">
        <v>3664</v>
      </c>
      <c r="D1407" s="77">
        <v>0.63541666666666663</v>
      </c>
      <c r="E1407" t="s">
        <v>3314</v>
      </c>
      <c r="F1407">
        <v>51</v>
      </c>
      <c r="G1407" t="s">
        <v>3315</v>
      </c>
      <c r="H1407">
        <v>100000</v>
      </c>
      <c r="I1407" t="s">
        <v>3834</v>
      </c>
      <c r="J1407">
        <v>100000</v>
      </c>
      <c r="K1407">
        <v>400000</v>
      </c>
      <c r="L1407" t="s">
        <v>118</v>
      </c>
      <c r="M1407" t="s">
        <v>24</v>
      </c>
      <c r="N1407" t="s">
        <v>103</v>
      </c>
      <c r="O1407" t="s">
        <v>3585</v>
      </c>
      <c r="P1407" s="5" t="s">
        <v>3318</v>
      </c>
      <c r="Q1407">
        <v>4</v>
      </c>
    </row>
    <row r="1408" spans="1:17" x14ac:dyDescent="0.3">
      <c r="A1408" s="4">
        <v>44650</v>
      </c>
      <c r="B1408" t="s">
        <v>5095</v>
      </c>
      <c r="C1408" t="s">
        <v>5069</v>
      </c>
      <c r="D1408" s="77">
        <v>0.64097222222222217</v>
      </c>
      <c r="E1408" t="s">
        <v>3314</v>
      </c>
      <c r="F1408">
        <v>46</v>
      </c>
      <c r="G1408" t="s">
        <v>3315</v>
      </c>
      <c r="H1408">
        <v>30000</v>
      </c>
      <c r="I1408" t="s">
        <v>3834</v>
      </c>
      <c r="J1408">
        <v>30000</v>
      </c>
      <c r="K1408">
        <v>135000</v>
      </c>
      <c r="L1408" t="s">
        <v>116</v>
      </c>
      <c r="M1408" t="s">
        <v>65</v>
      </c>
      <c r="N1408" t="s">
        <v>102</v>
      </c>
      <c r="O1408" t="s">
        <v>3506</v>
      </c>
      <c r="P1408" s="5" t="s">
        <v>3318</v>
      </c>
      <c r="Q1408">
        <v>4.5</v>
      </c>
    </row>
    <row r="1409" spans="1:17" x14ac:dyDescent="0.3">
      <c r="A1409" s="4">
        <v>44650</v>
      </c>
      <c r="B1409" t="s">
        <v>5096</v>
      </c>
      <c r="C1409" t="s">
        <v>5097</v>
      </c>
      <c r="D1409" s="77">
        <v>0.65555555555555556</v>
      </c>
      <c r="E1409" t="s">
        <v>3314</v>
      </c>
      <c r="F1409">
        <v>49</v>
      </c>
      <c r="G1409" t="s">
        <v>3315</v>
      </c>
      <c r="H1409">
        <v>20000</v>
      </c>
      <c r="I1409" t="s">
        <v>3834</v>
      </c>
      <c r="J1409">
        <v>20000</v>
      </c>
      <c r="K1409">
        <v>80000</v>
      </c>
      <c r="L1409" t="s">
        <v>118</v>
      </c>
      <c r="M1409" t="s">
        <v>145</v>
      </c>
      <c r="N1409" t="s">
        <v>146</v>
      </c>
      <c r="O1409" t="s">
        <v>4988</v>
      </c>
      <c r="P1409" s="5" t="s">
        <v>3318</v>
      </c>
      <c r="Q1409">
        <v>4</v>
      </c>
    </row>
    <row r="1410" spans="1:17" x14ac:dyDescent="0.3">
      <c r="A1410" s="4">
        <v>44650</v>
      </c>
      <c r="B1410" t="s">
        <v>5098</v>
      </c>
      <c r="C1410" t="s">
        <v>5082</v>
      </c>
      <c r="D1410" s="77">
        <v>0.66666666666666663</v>
      </c>
      <c r="E1410" t="s">
        <v>3314</v>
      </c>
      <c r="F1410">
        <v>79</v>
      </c>
      <c r="G1410" t="s">
        <v>3315</v>
      </c>
      <c r="H1410">
        <v>30000</v>
      </c>
      <c r="I1410" t="s">
        <v>3834</v>
      </c>
      <c r="J1410">
        <v>30000</v>
      </c>
      <c r="K1410">
        <v>90000</v>
      </c>
      <c r="L1410" t="s">
        <v>149</v>
      </c>
      <c r="M1410" t="s">
        <v>143</v>
      </c>
      <c r="N1410" t="s">
        <v>144</v>
      </c>
      <c r="O1410" t="s">
        <v>4946</v>
      </c>
      <c r="P1410" s="5" t="s">
        <v>3318</v>
      </c>
      <c r="Q1410">
        <v>3</v>
      </c>
    </row>
    <row r="1411" spans="1:17" x14ac:dyDescent="0.3">
      <c r="A1411" s="4">
        <v>44650</v>
      </c>
      <c r="B1411" t="s">
        <v>5099</v>
      </c>
      <c r="C1411" t="s">
        <v>5071</v>
      </c>
      <c r="D1411" s="77">
        <v>0.67291666666666661</v>
      </c>
      <c r="E1411" t="s">
        <v>3332</v>
      </c>
      <c r="F1411">
        <v>25</v>
      </c>
      <c r="G1411" t="s">
        <v>3315</v>
      </c>
      <c r="H1411">
        <v>20000</v>
      </c>
      <c r="I1411" t="s">
        <v>3834</v>
      </c>
      <c r="J1411">
        <v>20000</v>
      </c>
      <c r="K1411">
        <v>80000</v>
      </c>
      <c r="L1411" t="s">
        <v>118</v>
      </c>
      <c r="M1411" t="s">
        <v>147</v>
      </c>
      <c r="N1411" t="s">
        <v>148</v>
      </c>
      <c r="O1411" t="s">
        <v>4974</v>
      </c>
      <c r="P1411" s="5" t="s">
        <v>3318</v>
      </c>
      <c r="Q1411">
        <v>4</v>
      </c>
    </row>
    <row r="1412" spans="1:17" x14ac:dyDescent="0.3">
      <c r="A1412" s="4">
        <v>44650</v>
      </c>
      <c r="B1412" t="s">
        <v>5100</v>
      </c>
      <c r="C1412" t="s">
        <v>3695</v>
      </c>
      <c r="D1412" s="77">
        <v>0.67361111111111116</v>
      </c>
      <c r="E1412" t="s">
        <v>3314</v>
      </c>
      <c r="F1412">
        <v>50</v>
      </c>
      <c r="G1412" t="s">
        <v>3315</v>
      </c>
      <c r="H1412">
        <v>20000</v>
      </c>
      <c r="I1412" t="s">
        <v>3834</v>
      </c>
      <c r="J1412">
        <v>20000</v>
      </c>
      <c r="K1412">
        <v>80000</v>
      </c>
      <c r="L1412" t="s">
        <v>118</v>
      </c>
      <c r="M1412" t="s">
        <v>87</v>
      </c>
      <c r="N1412" t="s">
        <v>134</v>
      </c>
      <c r="O1412" t="s">
        <v>3528</v>
      </c>
      <c r="P1412" s="5" t="s">
        <v>3318</v>
      </c>
      <c r="Q1412">
        <v>4</v>
      </c>
    </row>
    <row r="1413" spans="1:17" x14ac:dyDescent="0.3">
      <c r="A1413" s="4">
        <v>44650</v>
      </c>
      <c r="B1413" t="s">
        <v>5101</v>
      </c>
      <c r="C1413" t="s">
        <v>5082</v>
      </c>
      <c r="D1413" s="77">
        <v>0.67361111111111116</v>
      </c>
      <c r="E1413" t="s">
        <v>3314</v>
      </c>
      <c r="F1413">
        <v>84</v>
      </c>
      <c r="G1413" t="s">
        <v>3315</v>
      </c>
      <c r="H1413">
        <v>20000</v>
      </c>
      <c r="I1413" t="s">
        <v>3834</v>
      </c>
      <c r="J1413">
        <v>20000</v>
      </c>
      <c r="K1413">
        <v>80000</v>
      </c>
      <c r="L1413" t="s">
        <v>118</v>
      </c>
      <c r="M1413" t="s">
        <v>90</v>
      </c>
      <c r="N1413" t="s">
        <v>110</v>
      </c>
      <c r="O1413" t="s">
        <v>3455</v>
      </c>
      <c r="P1413" s="5" t="s">
        <v>3318</v>
      </c>
      <c r="Q1413">
        <v>4</v>
      </c>
    </row>
    <row r="1414" spans="1:17" x14ac:dyDescent="0.3">
      <c r="A1414" s="4">
        <v>44650</v>
      </c>
      <c r="B1414" t="s">
        <v>5102</v>
      </c>
      <c r="C1414" t="s">
        <v>5082</v>
      </c>
      <c r="D1414" s="77">
        <v>0.6875</v>
      </c>
      <c r="E1414" t="s">
        <v>3314</v>
      </c>
      <c r="F1414">
        <v>73</v>
      </c>
      <c r="G1414" t="s">
        <v>3315</v>
      </c>
      <c r="H1414">
        <v>20000</v>
      </c>
      <c r="I1414" t="s">
        <v>3834</v>
      </c>
      <c r="J1414">
        <v>20000</v>
      </c>
      <c r="K1414">
        <v>60000</v>
      </c>
      <c r="L1414" t="s">
        <v>149</v>
      </c>
      <c r="M1414" t="s">
        <v>143</v>
      </c>
      <c r="N1414" t="s">
        <v>144</v>
      </c>
      <c r="O1414" t="s">
        <v>4946</v>
      </c>
      <c r="P1414" s="5" t="s">
        <v>3318</v>
      </c>
      <c r="Q1414">
        <v>3</v>
      </c>
    </row>
    <row r="1415" spans="1:17" x14ac:dyDescent="0.3">
      <c r="A1415" s="4">
        <v>44650</v>
      </c>
      <c r="B1415" t="s">
        <v>5103</v>
      </c>
      <c r="C1415" t="s">
        <v>5097</v>
      </c>
      <c r="D1415" s="77">
        <v>0.68888888888888899</v>
      </c>
      <c r="E1415" t="s">
        <v>3314</v>
      </c>
      <c r="F1415">
        <v>64</v>
      </c>
      <c r="G1415" t="s">
        <v>3336</v>
      </c>
      <c r="H1415">
        <v>20000</v>
      </c>
      <c r="I1415" t="s">
        <v>3336</v>
      </c>
      <c r="J1415">
        <v>20000</v>
      </c>
      <c r="K1415">
        <v>80000</v>
      </c>
      <c r="L1415" t="s">
        <v>118</v>
      </c>
      <c r="M1415" t="s">
        <v>145</v>
      </c>
      <c r="N1415" t="s">
        <v>146</v>
      </c>
      <c r="O1415" t="s">
        <v>4988</v>
      </c>
      <c r="P1415" s="5" t="s">
        <v>3318</v>
      </c>
      <c r="Q1415">
        <v>4</v>
      </c>
    </row>
    <row r="1416" spans="1:17" x14ac:dyDescent="0.3">
      <c r="A1416" s="4">
        <v>44650</v>
      </c>
      <c r="B1416" t="s">
        <v>5104</v>
      </c>
      <c r="C1416" t="s">
        <v>5074</v>
      </c>
      <c r="D1416" s="77">
        <v>0.69166666666666676</v>
      </c>
      <c r="E1416" t="s">
        <v>3314</v>
      </c>
      <c r="F1416">
        <v>47</v>
      </c>
      <c r="G1416" t="s">
        <v>3315</v>
      </c>
      <c r="H1416">
        <v>20000</v>
      </c>
      <c r="I1416" t="s">
        <v>3834</v>
      </c>
      <c r="J1416">
        <v>20000</v>
      </c>
      <c r="K1416">
        <v>80000</v>
      </c>
      <c r="L1416" t="s">
        <v>118</v>
      </c>
      <c r="M1416" t="s">
        <v>92</v>
      </c>
      <c r="N1416" t="s">
        <v>137</v>
      </c>
      <c r="O1416" t="s">
        <v>3476</v>
      </c>
      <c r="P1416" s="5" t="s">
        <v>3318</v>
      </c>
      <c r="Q1416">
        <v>4</v>
      </c>
    </row>
    <row r="1417" spans="1:17" x14ac:dyDescent="0.3">
      <c r="A1417" s="4">
        <v>44650</v>
      </c>
      <c r="B1417" t="s">
        <v>5105</v>
      </c>
      <c r="C1417" t="s">
        <v>5069</v>
      </c>
      <c r="D1417" s="77">
        <v>0.69444444444444453</v>
      </c>
      <c r="E1417" t="s">
        <v>3314</v>
      </c>
      <c r="F1417">
        <v>57</v>
      </c>
      <c r="G1417" t="s">
        <v>3315</v>
      </c>
      <c r="H1417">
        <v>30000</v>
      </c>
      <c r="I1417" t="s">
        <v>3834</v>
      </c>
      <c r="J1417">
        <v>30000</v>
      </c>
      <c r="K1417">
        <v>120000</v>
      </c>
      <c r="L1417" t="s">
        <v>118</v>
      </c>
      <c r="M1417" t="s">
        <v>93</v>
      </c>
      <c r="N1417" t="s">
        <v>121</v>
      </c>
      <c r="O1417" t="s">
        <v>3781</v>
      </c>
      <c r="P1417" s="5" t="s">
        <v>3318</v>
      </c>
      <c r="Q1417">
        <v>4</v>
      </c>
    </row>
    <row r="1418" spans="1:17" x14ac:dyDescent="0.3">
      <c r="A1418" s="4">
        <v>44650</v>
      </c>
      <c r="B1418" t="s">
        <v>5106</v>
      </c>
      <c r="C1418" t="s">
        <v>4936</v>
      </c>
      <c r="D1418" s="77">
        <v>0.70277777777777783</v>
      </c>
      <c r="E1418" t="s">
        <v>3314</v>
      </c>
      <c r="F1418">
        <v>52</v>
      </c>
      <c r="G1418" t="s">
        <v>3315</v>
      </c>
      <c r="H1418">
        <v>20000</v>
      </c>
      <c r="I1418" t="s">
        <v>3834</v>
      </c>
      <c r="J1418">
        <v>20000</v>
      </c>
      <c r="K1418">
        <v>90000</v>
      </c>
      <c r="L1418" t="s">
        <v>114</v>
      </c>
      <c r="M1418" t="s">
        <v>79</v>
      </c>
      <c r="N1418" t="s">
        <v>131</v>
      </c>
      <c r="O1418" t="s">
        <v>3465</v>
      </c>
      <c r="P1418" s="5" t="s">
        <v>3318</v>
      </c>
      <c r="Q1418">
        <v>4.5</v>
      </c>
    </row>
    <row r="1419" spans="1:17" x14ac:dyDescent="0.3">
      <c r="A1419" s="4">
        <v>44650</v>
      </c>
      <c r="B1419" t="s">
        <v>5107</v>
      </c>
      <c r="C1419" t="s">
        <v>4851</v>
      </c>
      <c r="D1419" s="77">
        <v>0.70833333333333337</v>
      </c>
      <c r="E1419" t="s">
        <v>3314</v>
      </c>
      <c r="F1419">
        <v>34</v>
      </c>
      <c r="G1419" t="s">
        <v>3344</v>
      </c>
      <c r="H1419">
        <v>20000</v>
      </c>
      <c r="I1419" t="s">
        <v>3344</v>
      </c>
      <c r="J1419">
        <v>20000</v>
      </c>
      <c r="K1419">
        <v>90000</v>
      </c>
      <c r="L1419" t="s">
        <v>113</v>
      </c>
      <c r="M1419" t="s">
        <v>22</v>
      </c>
      <c r="N1419" t="s">
        <v>98</v>
      </c>
      <c r="O1419" t="s">
        <v>3437</v>
      </c>
      <c r="P1419" s="5" t="s">
        <v>3318</v>
      </c>
      <c r="Q1419">
        <v>4.5</v>
      </c>
    </row>
    <row r="1420" spans="1:17" x14ac:dyDescent="0.3">
      <c r="A1420" s="4">
        <v>44650</v>
      </c>
      <c r="B1420" t="s">
        <v>5108</v>
      </c>
      <c r="C1420" t="s">
        <v>3440</v>
      </c>
      <c r="D1420" s="77">
        <v>0.70833333333333337</v>
      </c>
      <c r="E1420" t="s">
        <v>3314</v>
      </c>
      <c r="F1420">
        <v>53</v>
      </c>
      <c r="G1420" t="s">
        <v>3315</v>
      </c>
      <c r="H1420">
        <v>20000</v>
      </c>
      <c r="I1420" t="s">
        <v>3834</v>
      </c>
      <c r="J1420">
        <v>20000</v>
      </c>
      <c r="K1420">
        <v>90000</v>
      </c>
      <c r="L1420" t="s">
        <v>114</v>
      </c>
      <c r="M1420" t="s">
        <v>30</v>
      </c>
      <c r="N1420" t="s">
        <v>106</v>
      </c>
      <c r="O1420" t="s">
        <v>3379</v>
      </c>
      <c r="P1420" s="5" t="s">
        <v>3318</v>
      </c>
      <c r="Q1420">
        <v>4.5</v>
      </c>
    </row>
    <row r="1421" spans="1:17" x14ac:dyDescent="0.3">
      <c r="A1421" s="4">
        <v>44650</v>
      </c>
      <c r="B1421" t="s">
        <v>5109</v>
      </c>
      <c r="C1421" t="s">
        <v>5082</v>
      </c>
      <c r="D1421" s="77">
        <v>0.71875</v>
      </c>
      <c r="E1421" t="s">
        <v>3314</v>
      </c>
      <c r="F1421">
        <v>27</v>
      </c>
      <c r="G1421" t="s">
        <v>3336</v>
      </c>
      <c r="H1421">
        <v>20000</v>
      </c>
      <c r="I1421" t="s">
        <v>3336</v>
      </c>
      <c r="J1421">
        <v>20000</v>
      </c>
      <c r="K1421">
        <v>80000</v>
      </c>
      <c r="L1421" t="s">
        <v>118</v>
      </c>
      <c r="M1421" t="s">
        <v>90</v>
      </c>
      <c r="N1421" t="s">
        <v>110</v>
      </c>
      <c r="O1421" t="s">
        <v>3455</v>
      </c>
      <c r="P1421" s="5" t="s">
        <v>3318</v>
      </c>
      <c r="Q1421">
        <v>4</v>
      </c>
    </row>
    <row r="1422" spans="1:17" x14ac:dyDescent="0.3">
      <c r="A1422" s="4">
        <v>44650</v>
      </c>
      <c r="B1422" t="s">
        <v>5110</v>
      </c>
      <c r="C1422" t="s">
        <v>3384</v>
      </c>
      <c r="D1422" s="77">
        <v>0.72569444444444453</v>
      </c>
      <c r="E1422" t="s">
        <v>3314</v>
      </c>
      <c r="F1422">
        <v>28</v>
      </c>
      <c r="G1422" t="s">
        <v>3344</v>
      </c>
      <c r="H1422">
        <v>30000</v>
      </c>
      <c r="I1422" t="s">
        <v>3344</v>
      </c>
      <c r="J1422">
        <v>30000</v>
      </c>
      <c r="K1422">
        <v>120000</v>
      </c>
      <c r="L1422" t="s">
        <v>118</v>
      </c>
      <c r="M1422" t="s">
        <v>85</v>
      </c>
      <c r="N1422" t="s">
        <v>109</v>
      </c>
      <c r="O1422" t="s">
        <v>3342</v>
      </c>
      <c r="P1422" s="5" t="s">
        <v>3318</v>
      </c>
      <c r="Q1422">
        <v>4</v>
      </c>
    </row>
    <row r="1423" spans="1:17" x14ac:dyDescent="0.3">
      <c r="A1423" s="4">
        <v>44650</v>
      </c>
      <c r="B1423" t="s">
        <v>5111</v>
      </c>
      <c r="C1423" t="s">
        <v>3440</v>
      </c>
      <c r="D1423" s="77">
        <v>0.72638888888888886</v>
      </c>
      <c r="E1423" t="s">
        <v>3314</v>
      </c>
      <c r="F1423">
        <v>52</v>
      </c>
      <c r="G1423" t="s">
        <v>3315</v>
      </c>
      <c r="H1423">
        <v>20000</v>
      </c>
      <c r="I1423" t="s">
        <v>3834</v>
      </c>
      <c r="J1423">
        <v>20000</v>
      </c>
      <c r="K1423">
        <v>80000</v>
      </c>
      <c r="L1423" t="s">
        <v>118</v>
      </c>
      <c r="M1423" t="s">
        <v>91</v>
      </c>
      <c r="N1423" t="s">
        <v>136</v>
      </c>
      <c r="O1423" t="s">
        <v>3422</v>
      </c>
      <c r="P1423" s="5" t="s">
        <v>3318</v>
      </c>
      <c r="Q1423">
        <v>4</v>
      </c>
    </row>
    <row r="1424" spans="1:17" x14ac:dyDescent="0.3">
      <c r="A1424" s="4">
        <v>44650</v>
      </c>
      <c r="B1424" t="s">
        <v>5112</v>
      </c>
      <c r="C1424" t="s">
        <v>5097</v>
      </c>
      <c r="D1424" s="77">
        <v>0.76111111111111107</v>
      </c>
      <c r="E1424" t="s">
        <v>3314</v>
      </c>
      <c r="F1424">
        <v>40</v>
      </c>
      <c r="G1424" t="s">
        <v>3315</v>
      </c>
      <c r="H1424">
        <v>30000</v>
      </c>
      <c r="I1424" t="s">
        <v>3834</v>
      </c>
      <c r="J1424">
        <v>30000</v>
      </c>
      <c r="K1424">
        <v>120000</v>
      </c>
      <c r="L1424" t="s">
        <v>118</v>
      </c>
      <c r="M1424" t="s">
        <v>145</v>
      </c>
      <c r="N1424" t="s">
        <v>146</v>
      </c>
      <c r="O1424" t="s">
        <v>4988</v>
      </c>
      <c r="P1424" s="5" t="s">
        <v>3318</v>
      </c>
      <c r="Q1424">
        <v>4</v>
      </c>
    </row>
    <row r="1425" spans="1:17" x14ac:dyDescent="0.3">
      <c r="A1425" s="4">
        <v>44650</v>
      </c>
      <c r="B1425" t="s">
        <v>5113</v>
      </c>
      <c r="C1425" t="s">
        <v>3440</v>
      </c>
      <c r="D1425" s="77">
        <v>0.78402777777777777</v>
      </c>
      <c r="E1425" t="s">
        <v>3314</v>
      </c>
      <c r="F1425">
        <v>59</v>
      </c>
      <c r="G1425" t="s">
        <v>3315</v>
      </c>
      <c r="H1425">
        <v>20000</v>
      </c>
      <c r="I1425" t="s">
        <v>3834</v>
      </c>
      <c r="J1425">
        <v>20000</v>
      </c>
      <c r="K1425">
        <v>80000</v>
      </c>
      <c r="L1425" t="s">
        <v>118</v>
      </c>
      <c r="M1425" t="s">
        <v>91</v>
      </c>
      <c r="N1425" t="s">
        <v>136</v>
      </c>
      <c r="O1425" t="s">
        <v>3422</v>
      </c>
      <c r="P1425" s="5" t="s">
        <v>3318</v>
      </c>
      <c r="Q1425">
        <v>4</v>
      </c>
    </row>
    <row r="1426" spans="1:17" x14ac:dyDescent="0.3">
      <c r="A1426" s="4">
        <v>44650</v>
      </c>
      <c r="B1426" t="s">
        <v>5114</v>
      </c>
      <c r="C1426" t="s">
        <v>5097</v>
      </c>
      <c r="D1426" s="77">
        <v>0.82291666666666663</v>
      </c>
      <c r="E1426" t="s">
        <v>3314</v>
      </c>
      <c r="F1426">
        <v>27</v>
      </c>
      <c r="G1426" t="s">
        <v>3315</v>
      </c>
      <c r="H1426">
        <v>20000</v>
      </c>
      <c r="I1426" t="s">
        <v>3834</v>
      </c>
      <c r="J1426">
        <v>20000</v>
      </c>
      <c r="K1426">
        <v>90000</v>
      </c>
      <c r="L1426" t="s">
        <v>116</v>
      </c>
      <c r="M1426" t="s">
        <v>76</v>
      </c>
      <c r="N1426" t="s">
        <v>107</v>
      </c>
      <c r="O1426" t="s">
        <v>3321</v>
      </c>
      <c r="P1426" s="5" t="s">
        <v>3318</v>
      </c>
      <c r="Q1426">
        <v>4.5</v>
      </c>
    </row>
    <row r="1427" spans="1:17" x14ac:dyDescent="0.3">
      <c r="A1427" s="4">
        <v>44651</v>
      </c>
      <c r="B1427" t="s">
        <v>5115</v>
      </c>
      <c r="C1427" t="s">
        <v>4936</v>
      </c>
      <c r="D1427" s="77">
        <v>0.44166666666666665</v>
      </c>
      <c r="E1427" t="s">
        <v>3314</v>
      </c>
      <c r="F1427">
        <v>51</v>
      </c>
      <c r="G1427" t="s">
        <v>3315</v>
      </c>
      <c r="H1427">
        <v>20000</v>
      </c>
      <c r="I1427" t="s">
        <v>3834</v>
      </c>
      <c r="J1427">
        <v>20000</v>
      </c>
      <c r="K1427">
        <v>90000</v>
      </c>
      <c r="L1427" t="s">
        <v>114</v>
      </c>
      <c r="M1427" t="s">
        <v>79</v>
      </c>
      <c r="N1427" t="s">
        <v>131</v>
      </c>
      <c r="O1427" t="s">
        <v>3465</v>
      </c>
      <c r="P1427" s="5" t="s">
        <v>3318</v>
      </c>
      <c r="Q1427">
        <v>4.5</v>
      </c>
    </row>
    <row r="1428" spans="1:17" x14ac:dyDescent="0.3">
      <c r="A1428" s="4">
        <v>44651</v>
      </c>
      <c r="B1428" t="s">
        <v>5116</v>
      </c>
      <c r="C1428" t="s">
        <v>4936</v>
      </c>
      <c r="D1428" s="77">
        <v>0.44791666666666669</v>
      </c>
      <c r="E1428" t="s">
        <v>3314</v>
      </c>
      <c r="F1428">
        <v>40</v>
      </c>
      <c r="G1428" t="s">
        <v>3315</v>
      </c>
      <c r="H1428">
        <v>20000</v>
      </c>
      <c r="I1428" t="s">
        <v>3834</v>
      </c>
      <c r="J1428">
        <v>20000</v>
      </c>
      <c r="K1428">
        <v>90000</v>
      </c>
      <c r="L1428" t="s">
        <v>114</v>
      </c>
      <c r="M1428" t="s">
        <v>79</v>
      </c>
      <c r="N1428" t="s">
        <v>131</v>
      </c>
      <c r="O1428" t="s">
        <v>3465</v>
      </c>
      <c r="P1428" s="5" t="s">
        <v>3318</v>
      </c>
      <c r="Q1428">
        <v>4.5</v>
      </c>
    </row>
    <row r="1429" spans="1:17" x14ac:dyDescent="0.3">
      <c r="A1429" s="4">
        <v>44651</v>
      </c>
      <c r="B1429" t="s">
        <v>5117</v>
      </c>
      <c r="C1429" t="s">
        <v>4936</v>
      </c>
      <c r="D1429" s="77">
        <v>0.47430555555555554</v>
      </c>
      <c r="E1429" t="s">
        <v>3314</v>
      </c>
      <c r="F1429">
        <v>40</v>
      </c>
      <c r="G1429" t="s">
        <v>3315</v>
      </c>
      <c r="H1429">
        <v>20000</v>
      </c>
      <c r="I1429" t="s">
        <v>3834</v>
      </c>
      <c r="J1429">
        <v>20000</v>
      </c>
      <c r="K1429">
        <v>90000</v>
      </c>
      <c r="L1429" t="s">
        <v>114</v>
      </c>
      <c r="M1429" t="s">
        <v>79</v>
      </c>
      <c r="N1429" t="s">
        <v>131</v>
      </c>
      <c r="O1429" t="s">
        <v>3465</v>
      </c>
      <c r="P1429" s="5" t="s">
        <v>3318</v>
      </c>
      <c r="Q1429">
        <v>4.5</v>
      </c>
    </row>
    <row r="1430" spans="1:17" x14ac:dyDescent="0.3">
      <c r="A1430" s="4">
        <v>44651</v>
      </c>
      <c r="B1430" t="s">
        <v>5118</v>
      </c>
      <c r="C1430" t="s">
        <v>4851</v>
      </c>
      <c r="D1430" s="77">
        <v>0.53472222222222221</v>
      </c>
      <c r="E1430" t="s">
        <v>3314</v>
      </c>
      <c r="F1430">
        <v>45</v>
      </c>
      <c r="G1430" t="s">
        <v>3315</v>
      </c>
      <c r="H1430">
        <v>20000</v>
      </c>
      <c r="I1430" t="s">
        <v>3834</v>
      </c>
      <c r="J1430">
        <v>20000</v>
      </c>
      <c r="K1430">
        <v>90000</v>
      </c>
      <c r="L1430" t="s">
        <v>119</v>
      </c>
      <c r="M1430" t="s">
        <v>27</v>
      </c>
      <c r="N1430" t="s">
        <v>101</v>
      </c>
      <c r="O1430" t="s">
        <v>3803</v>
      </c>
      <c r="P1430" s="5" t="s">
        <v>3318</v>
      </c>
      <c r="Q1430">
        <v>4.5</v>
      </c>
    </row>
    <row r="1431" spans="1:17" x14ac:dyDescent="0.3">
      <c r="A1431" s="4">
        <v>44651</v>
      </c>
      <c r="B1431" t="s">
        <v>5119</v>
      </c>
      <c r="C1431" t="s">
        <v>5120</v>
      </c>
      <c r="D1431" s="77">
        <v>0.58124999999999993</v>
      </c>
      <c r="E1431" t="s">
        <v>3314</v>
      </c>
      <c r="F1431">
        <v>58</v>
      </c>
      <c r="G1431" t="s">
        <v>3315</v>
      </c>
      <c r="H1431">
        <v>20000</v>
      </c>
      <c r="I1431" t="s">
        <v>3834</v>
      </c>
      <c r="J1431">
        <v>20000</v>
      </c>
      <c r="K1431">
        <v>80000</v>
      </c>
      <c r="L1431" t="s">
        <v>118</v>
      </c>
      <c r="M1431" t="s">
        <v>92</v>
      </c>
      <c r="N1431" t="s">
        <v>137</v>
      </c>
      <c r="O1431" t="s">
        <v>3476</v>
      </c>
      <c r="P1431" s="5" t="s">
        <v>3318</v>
      </c>
      <c r="Q1431">
        <v>4</v>
      </c>
    </row>
    <row r="1432" spans="1:17" x14ac:dyDescent="0.3">
      <c r="A1432" s="4">
        <v>44651</v>
      </c>
      <c r="B1432" t="s">
        <v>5121</v>
      </c>
      <c r="C1432" t="s">
        <v>5122</v>
      </c>
      <c r="D1432" s="77">
        <v>0.58333333333333337</v>
      </c>
      <c r="E1432" t="s">
        <v>3332</v>
      </c>
      <c r="F1432">
        <v>25</v>
      </c>
      <c r="G1432" t="s">
        <v>3336</v>
      </c>
      <c r="H1432">
        <v>20000</v>
      </c>
      <c r="I1432" t="s">
        <v>3336</v>
      </c>
      <c r="J1432">
        <v>20000</v>
      </c>
      <c r="K1432">
        <v>100000</v>
      </c>
      <c r="L1432" t="s">
        <v>114</v>
      </c>
      <c r="M1432" t="s">
        <v>23</v>
      </c>
      <c r="N1432" t="s">
        <v>99</v>
      </c>
      <c r="O1432" t="s">
        <v>3358</v>
      </c>
      <c r="P1432" s="5" t="s">
        <v>3318</v>
      </c>
      <c r="Q1432">
        <v>5</v>
      </c>
    </row>
    <row r="1433" spans="1:17" x14ac:dyDescent="0.3">
      <c r="A1433" s="4">
        <v>44651</v>
      </c>
      <c r="B1433" t="s">
        <v>5123</v>
      </c>
      <c r="C1433" t="s">
        <v>5122</v>
      </c>
      <c r="D1433" s="77">
        <v>0.59930555555555554</v>
      </c>
      <c r="E1433" t="s">
        <v>3332</v>
      </c>
      <c r="F1433">
        <v>51</v>
      </c>
      <c r="G1433" t="s">
        <v>3315</v>
      </c>
      <c r="H1433">
        <v>20000</v>
      </c>
      <c r="I1433" t="s">
        <v>3834</v>
      </c>
      <c r="J1433">
        <v>20000</v>
      </c>
      <c r="K1433">
        <v>100000</v>
      </c>
      <c r="L1433" t="s">
        <v>113</v>
      </c>
      <c r="M1433" t="s">
        <v>22</v>
      </c>
      <c r="N1433" t="s">
        <v>98</v>
      </c>
      <c r="O1433" t="s">
        <v>3437</v>
      </c>
      <c r="P1433" s="5" t="s">
        <v>3318</v>
      </c>
      <c r="Q1433">
        <v>5</v>
      </c>
    </row>
    <row r="1434" spans="1:17" x14ac:dyDescent="0.3">
      <c r="A1434" s="4">
        <v>44651</v>
      </c>
      <c r="B1434" t="s">
        <v>5124</v>
      </c>
      <c r="C1434" t="s">
        <v>5125</v>
      </c>
      <c r="D1434" s="77">
        <v>0.6</v>
      </c>
      <c r="E1434" t="s">
        <v>3314</v>
      </c>
      <c r="F1434">
        <v>45</v>
      </c>
      <c r="G1434" t="s">
        <v>3315</v>
      </c>
      <c r="H1434">
        <v>30000</v>
      </c>
      <c r="I1434" t="s">
        <v>3834</v>
      </c>
      <c r="J1434">
        <v>30000</v>
      </c>
      <c r="K1434">
        <v>120000</v>
      </c>
      <c r="L1434" t="s">
        <v>118</v>
      </c>
      <c r="M1434" t="s">
        <v>91</v>
      </c>
      <c r="N1434" t="s">
        <v>136</v>
      </c>
      <c r="O1434" t="s">
        <v>3422</v>
      </c>
      <c r="P1434" s="5" t="s">
        <v>3318</v>
      </c>
      <c r="Q1434">
        <v>4</v>
      </c>
    </row>
    <row r="1435" spans="1:17" x14ac:dyDescent="0.3">
      <c r="A1435" s="4">
        <v>44651</v>
      </c>
      <c r="B1435" t="s">
        <v>5126</v>
      </c>
      <c r="C1435" t="s">
        <v>4936</v>
      </c>
      <c r="D1435" s="77">
        <v>0.60625000000000007</v>
      </c>
      <c r="E1435" t="s">
        <v>3314</v>
      </c>
      <c r="F1435">
        <v>53</v>
      </c>
      <c r="G1435" t="s">
        <v>3315</v>
      </c>
      <c r="H1435">
        <v>30000</v>
      </c>
      <c r="I1435" t="s">
        <v>3834</v>
      </c>
      <c r="J1435">
        <v>30000</v>
      </c>
      <c r="K1435">
        <v>135000</v>
      </c>
      <c r="L1435" t="s">
        <v>114</v>
      </c>
      <c r="M1435" t="s">
        <v>79</v>
      </c>
      <c r="N1435" t="s">
        <v>131</v>
      </c>
      <c r="O1435" t="s">
        <v>3465</v>
      </c>
      <c r="P1435" s="5" t="s">
        <v>3318</v>
      </c>
      <c r="Q1435">
        <v>4.5</v>
      </c>
    </row>
    <row r="1436" spans="1:17" x14ac:dyDescent="0.3">
      <c r="A1436" s="4">
        <v>44651</v>
      </c>
      <c r="B1436" t="s">
        <v>5127</v>
      </c>
      <c r="C1436" t="s">
        <v>4015</v>
      </c>
      <c r="D1436" s="77">
        <v>0.6069444444444444</v>
      </c>
      <c r="E1436" t="s">
        <v>3314</v>
      </c>
      <c r="F1436">
        <v>60</v>
      </c>
      <c r="G1436" t="s">
        <v>3315</v>
      </c>
      <c r="H1436">
        <v>30000</v>
      </c>
      <c r="I1436" t="s">
        <v>3834</v>
      </c>
      <c r="J1436">
        <v>30000</v>
      </c>
      <c r="K1436">
        <v>135000</v>
      </c>
      <c r="L1436" t="s">
        <v>116</v>
      </c>
      <c r="M1436" t="s">
        <v>65</v>
      </c>
      <c r="N1436" t="s">
        <v>102</v>
      </c>
      <c r="O1436" t="s">
        <v>3506</v>
      </c>
      <c r="P1436" s="5" t="s">
        <v>3318</v>
      </c>
      <c r="Q1436">
        <v>4.5</v>
      </c>
    </row>
    <row r="1437" spans="1:17" x14ac:dyDescent="0.3">
      <c r="A1437" s="4">
        <v>44651</v>
      </c>
      <c r="B1437" t="s">
        <v>5128</v>
      </c>
      <c r="C1437" t="s">
        <v>3664</v>
      </c>
      <c r="D1437" s="77">
        <v>0.60763888888888895</v>
      </c>
      <c r="E1437" t="s">
        <v>3314</v>
      </c>
      <c r="F1437">
        <v>61</v>
      </c>
      <c r="G1437" t="s">
        <v>3315</v>
      </c>
      <c r="H1437">
        <v>20000</v>
      </c>
      <c r="I1437" t="s">
        <v>3834</v>
      </c>
      <c r="J1437">
        <v>20000</v>
      </c>
      <c r="K1437">
        <v>80000</v>
      </c>
      <c r="L1437" t="s">
        <v>118</v>
      </c>
      <c r="M1437" t="s">
        <v>25</v>
      </c>
      <c r="N1437" t="s">
        <v>129</v>
      </c>
      <c r="O1437" t="s">
        <v>3714</v>
      </c>
      <c r="P1437" s="5" t="s">
        <v>3318</v>
      </c>
      <c r="Q1437">
        <v>4</v>
      </c>
    </row>
    <row r="1438" spans="1:17" x14ac:dyDescent="0.3">
      <c r="A1438" s="4">
        <v>44651</v>
      </c>
      <c r="B1438" t="s">
        <v>5129</v>
      </c>
      <c r="C1438" t="s">
        <v>4851</v>
      </c>
      <c r="D1438" s="77">
        <v>0.62013888888888891</v>
      </c>
      <c r="E1438" t="s">
        <v>3314</v>
      </c>
      <c r="F1438">
        <v>49</v>
      </c>
      <c r="G1438" t="s">
        <v>3315</v>
      </c>
      <c r="H1438">
        <v>20000</v>
      </c>
      <c r="I1438" t="s">
        <v>3834</v>
      </c>
      <c r="J1438">
        <v>20000</v>
      </c>
      <c r="K1438">
        <v>90000</v>
      </c>
      <c r="L1438" t="s">
        <v>119</v>
      </c>
      <c r="M1438" t="s">
        <v>27</v>
      </c>
      <c r="N1438" t="s">
        <v>101</v>
      </c>
      <c r="O1438" t="s">
        <v>3803</v>
      </c>
      <c r="P1438" s="5" t="s">
        <v>3318</v>
      </c>
      <c r="Q1438">
        <v>4.5</v>
      </c>
    </row>
    <row r="1439" spans="1:17" x14ac:dyDescent="0.3">
      <c r="A1439" s="4">
        <v>44651</v>
      </c>
      <c r="B1439" t="s">
        <v>5130</v>
      </c>
      <c r="C1439" t="s">
        <v>4015</v>
      </c>
      <c r="D1439" s="77">
        <v>0.625</v>
      </c>
      <c r="E1439" t="s">
        <v>3314</v>
      </c>
      <c r="F1439">
        <v>62</v>
      </c>
      <c r="G1439" t="s">
        <v>3315</v>
      </c>
      <c r="H1439">
        <v>20000</v>
      </c>
      <c r="I1439" t="s">
        <v>3834</v>
      </c>
      <c r="J1439">
        <v>20000</v>
      </c>
      <c r="K1439">
        <v>80000</v>
      </c>
      <c r="L1439" t="s">
        <v>118</v>
      </c>
      <c r="M1439" t="s">
        <v>86</v>
      </c>
      <c r="N1439" t="s">
        <v>120</v>
      </c>
      <c r="O1439" t="s">
        <v>3446</v>
      </c>
      <c r="P1439" s="5" t="s">
        <v>3318</v>
      </c>
      <c r="Q1439">
        <v>4</v>
      </c>
    </row>
    <row r="1440" spans="1:17" x14ac:dyDescent="0.3">
      <c r="A1440" s="4">
        <v>44651</v>
      </c>
      <c r="B1440" t="s">
        <v>5131</v>
      </c>
      <c r="C1440" t="s">
        <v>4936</v>
      </c>
      <c r="D1440" s="77">
        <v>0.6333333333333333</v>
      </c>
      <c r="E1440" t="s">
        <v>3314</v>
      </c>
      <c r="F1440">
        <v>47</v>
      </c>
      <c r="G1440" t="s">
        <v>3315</v>
      </c>
      <c r="H1440">
        <v>20000</v>
      </c>
      <c r="I1440" t="s">
        <v>3834</v>
      </c>
      <c r="J1440">
        <v>20000</v>
      </c>
      <c r="K1440">
        <v>90000</v>
      </c>
      <c r="L1440" t="s">
        <v>114</v>
      </c>
      <c r="M1440" t="s">
        <v>79</v>
      </c>
      <c r="N1440" t="s">
        <v>131</v>
      </c>
      <c r="O1440" t="s">
        <v>3465</v>
      </c>
      <c r="P1440" s="5" t="s">
        <v>3318</v>
      </c>
      <c r="Q1440">
        <v>4.5</v>
      </c>
    </row>
    <row r="1441" spans="1:17" x14ac:dyDescent="0.3">
      <c r="A1441" s="4">
        <v>44651</v>
      </c>
      <c r="B1441" t="s">
        <v>5132</v>
      </c>
      <c r="C1441" t="s">
        <v>4004</v>
      </c>
      <c r="D1441" s="77">
        <v>0.63402777777777775</v>
      </c>
      <c r="E1441" t="s">
        <v>3332</v>
      </c>
      <c r="F1441">
        <v>62</v>
      </c>
      <c r="G1441" t="s">
        <v>3315</v>
      </c>
      <c r="H1441">
        <v>30000</v>
      </c>
      <c r="I1441" t="s">
        <v>3834</v>
      </c>
      <c r="J1441">
        <v>30000</v>
      </c>
      <c r="K1441">
        <v>150000</v>
      </c>
      <c r="L1441" t="s">
        <v>116</v>
      </c>
      <c r="M1441" t="s">
        <v>111</v>
      </c>
      <c r="N1441" t="s">
        <v>112</v>
      </c>
      <c r="O1441" t="s">
        <v>4967</v>
      </c>
      <c r="P1441" s="5" t="s">
        <v>3318</v>
      </c>
      <c r="Q1441">
        <v>5</v>
      </c>
    </row>
    <row r="1442" spans="1:17" x14ac:dyDescent="0.3">
      <c r="A1442" s="4">
        <v>44651</v>
      </c>
      <c r="B1442" t="s">
        <v>5133</v>
      </c>
      <c r="C1442" t="s">
        <v>3724</v>
      </c>
      <c r="D1442" s="77">
        <v>0.63888888888888895</v>
      </c>
      <c r="E1442" t="s">
        <v>3314</v>
      </c>
      <c r="F1442">
        <v>57</v>
      </c>
      <c r="G1442" t="s">
        <v>3315</v>
      </c>
      <c r="H1442">
        <v>20000</v>
      </c>
      <c r="I1442" t="s">
        <v>3834</v>
      </c>
      <c r="J1442">
        <v>20000</v>
      </c>
      <c r="K1442">
        <v>80000</v>
      </c>
      <c r="L1442" t="s">
        <v>118</v>
      </c>
      <c r="M1442" t="s">
        <v>85</v>
      </c>
      <c r="N1442" t="s">
        <v>109</v>
      </c>
      <c r="O1442" t="s">
        <v>3342</v>
      </c>
      <c r="P1442" s="5" t="s">
        <v>3318</v>
      </c>
      <c r="Q1442">
        <v>4</v>
      </c>
    </row>
    <row r="1443" spans="1:17" x14ac:dyDescent="0.3">
      <c r="A1443" s="4">
        <v>44651</v>
      </c>
      <c r="B1443" t="s">
        <v>5134</v>
      </c>
      <c r="C1443" t="s">
        <v>4851</v>
      </c>
      <c r="D1443" s="77">
        <v>0.64374999999999993</v>
      </c>
      <c r="E1443" t="s">
        <v>3314</v>
      </c>
      <c r="F1443">
        <v>58</v>
      </c>
      <c r="G1443" t="s">
        <v>3315</v>
      </c>
      <c r="H1443">
        <v>20000</v>
      </c>
      <c r="I1443" t="s">
        <v>3834</v>
      </c>
      <c r="J1443">
        <v>20000</v>
      </c>
      <c r="K1443">
        <v>20000</v>
      </c>
      <c r="L1443" t="s">
        <v>124</v>
      </c>
      <c r="M1443" t="s">
        <v>125</v>
      </c>
      <c r="N1443" t="s">
        <v>126</v>
      </c>
      <c r="O1443" t="s">
        <v>5135</v>
      </c>
      <c r="P1443" s="5" t="s">
        <v>3318</v>
      </c>
      <c r="Q1443">
        <v>1</v>
      </c>
    </row>
    <row r="1444" spans="1:17" x14ac:dyDescent="0.3">
      <c r="A1444" s="4">
        <v>44651</v>
      </c>
      <c r="B1444" t="s">
        <v>5136</v>
      </c>
      <c r="C1444" t="s">
        <v>4997</v>
      </c>
      <c r="D1444" s="77">
        <v>0.65208333333333335</v>
      </c>
      <c r="E1444" t="s">
        <v>3314</v>
      </c>
      <c r="F1444">
        <v>36</v>
      </c>
      <c r="G1444" t="s">
        <v>3336</v>
      </c>
      <c r="H1444">
        <v>20000</v>
      </c>
      <c r="I1444" t="s">
        <v>3336</v>
      </c>
      <c r="J1444">
        <v>20000</v>
      </c>
      <c r="K1444">
        <v>90000</v>
      </c>
      <c r="L1444" t="s">
        <v>116</v>
      </c>
      <c r="M1444" t="s">
        <v>78</v>
      </c>
      <c r="N1444" t="s">
        <v>100</v>
      </c>
      <c r="O1444" t="s">
        <v>4472</v>
      </c>
      <c r="P1444" s="5" t="s">
        <v>3318</v>
      </c>
      <c r="Q1444">
        <v>4.5</v>
      </c>
    </row>
    <row r="1445" spans="1:17" x14ac:dyDescent="0.3">
      <c r="A1445" s="4">
        <v>44651</v>
      </c>
      <c r="B1445" t="s">
        <v>5137</v>
      </c>
      <c r="C1445" t="s">
        <v>4015</v>
      </c>
      <c r="D1445" s="77">
        <v>0.65486111111111112</v>
      </c>
      <c r="E1445" t="s">
        <v>3314</v>
      </c>
      <c r="F1445">
        <v>78</v>
      </c>
      <c r="G1445" t="s">
        <v>3315</v>
      </c>
      <c r="H1445">
        <v>30000</v>
      </c>
      <c r="I1445" t="s">
        <v>3834</v>
      </c>
      <c r="J1445">
        <v>30000</v>
      </c>
      <c r="K1445">
        <v>120000</v>
      </c>
      <c r="L1445" t="s">
        <v>118</v>
      </c>
      <c r="M1445" t="s">
        <v>93</v>
      </c>
      <c r="N1445" t="s">
        <v>121</v>
      </c>
      <c r="O1445" t="s">
        <v>3781</v>
      </c>
      <c r="P1445" s="5" t="s">
        <v>3318</v>
      </c>
      <c r="Q1445">
        <v>4</v>
      </c>
    </row>
    <row r="1446" spans="1:17" x14ac:dyDescent="0.3">
      <c r="A1446" s="4">
        <v>44651</v>
      </c>
      <c r="B1446" t="s">
        <v>5138</v>
      </c>
      <c r="C1446" t="s">
        <v>3729</v>
      </c>
      <c r="D1446" s="77">
        <v>0.65972222222222221</v>
      </c>
      <c r="E1446" t="s">
        <v>3314</v>
      </c>
      <c r="F1446">
        <v>66</v>
      </c>
      <c r="G1446" t="s">
        <v>3315</v>
      </c>
      <c r="H1446">
        <v>20000</v>
      </c>
      <c r="I1446" t="s">
        <v>3834</v>
      </c>
      <c r="J1446">
        <v>20000</v>
      </c>
      <c r="K1446">
        <v>90000</v>
      </c>
      <c r="L1446" t="s">
        <v>114</v>
      </c>
      <c r="M1446" t="s">
        <v>31</v>
      </c>
      <c r="N1446" t="s">
        <v>105</v>
      </c>
      <c r="O1446" t="s">
        <v>3339</v>
      </c>
      <c r="P1446" s="5" t="s">
        <v>3318</v>
      </c>
      <c r="Q1446">
        <v>4.5</v>
      </c>
    </row>
    <row r="1447" spans="1:17" x14ac:dyDescent="0.3">
      <c r="A1447" s="4">
        <v>44651</v>
      </c>
      <c r="B1447" t="s">
        <v>5139</v>
      </c>
      <c r="C1447" t="s">
        <v>5140</v>
      </c>
      <c r="D1447" s="77">
        <v>0.66319444444444442</v>
      </c>
      <c r="E1447" t="s">
        <v>3314</v>
      </c>
      <c r="F1447">
        <v>31</v>
      </c>
      <c r="G1447" t="s">
        <v>3315</v>
      </c>
      <c r="H1447">
        <v>20000</v>
      </c>
      <c r="I1447" t="s">
        <v>3834</v>
      </c>
      <c r="J1447">
        <v>20000</v>
      </c>
      <c r="K1447">
        <v>60000</v>
      </c>
      <c r="L1447" t="s">
        <v>149</v>
      </c>
      <c r="M1447" t="s">
        <v>143</v>
      </c>
      <c r="N1447" t="s">
        <v>144</v>
      </c>
      <c r="O1447" t="s">
        <v>4946</v>
      </c>
      <c r="P1447" s="5" t="s">
        <v>3318</v>
      </c>
      <c r="Q1447">
        <v>3</v>
      </c>
    </row>
    <row r="1448" spans="1:17" x14ac:dyDescent="0.3">
      <c r="A1448" s="4">
        <v>44651</v>
      </c>
      <c r="B1448" t="s">
        <v>5141</v>
      </c>
      <c r="C1448" t="s">
        <v>4115</v>
      </c>
      <c r="D1448" s="77">
        <v>0.67222222222222217</v>
      </c>
      <c r="E1448" t="s">
        <v>3314</v>
      </c>
      <c r="F1448">
        <v>28</v>
      </c>
      <c r="G1448" t="s">
        <v>3315</v>
      </c>
      <c r="H1448">
        <v>30000</v>
      </c>
      <c r="I1448" t="s">
        <v>3834</v>
      </c>
      <c r="J1448">
        <v>30000</v>
      </c>
      <c r="K1448">
        <v>135000</v>
      </c>
      <c r="L1448" t="s">
        <v>116</v>
      </c>
      <c r="M1448" t="s">
        <v>77</v>
      </c>
      <c r="N1448" t="s">
        <v>133</v>
      </c>
      <c r="O1448" t="s">
        <v>3376</v>
      </c>
      <c r="P1448" s="5" t="s">
        <v>3318</v>
      </c>
      <c r="Q1448">
        <v>4.5</v>
      </c>
    </row>
    <row r="1449" spans="1:17" x14ac:dyDescent="0.3">
      <c r="A1449" s="4">
        <v>44651</v>
      </c>
      <c r="B1449" t="s">
        <v>5142</v>
      </c>
      <c r="C1449" t="s">
        <v>3724</v>
      </c>
      <c r="D1449" s="77">
        <v>0.67222222222222217</v>
      </c>
      <c r="E1449" t="s">
        <v>3314</v>
      </c>
      <c r="F1449">
        <v>30</v>
      </c>
      <c r="G1449" t="s">
        <v>3315</v>
      </c>
      <c r="H1449">
        <v>20000</v>
      </c>
      <c r="I1449" t="s">
        <v>3834</v>
      </c>
      <c r="J1449">
        <v>20000</v>
      </c>
      <c r="K1449">
        <v>80000</v>
      </c>
      <c r="L1449" t="s">
        <v>118</v>
      </c>
      <c r="M1449" t="s">
        <v>85</v>
      </c>
      <c r="N1449" t="s">
        <v>109</v>
      </c>
      <c r="O1449" t="s">
        <v>3342</v>
      </c>
      <c r="P1449" s="5" t="s">
        <v>3318</v>
      </c>
      <c r="Q1449">
        <v>4</v>
      </c>
    </row>
    <row r="1450" spans="1:17" x14ac:dyDescent="0.3">
      <c r="A1450" s="4">
        <v>44651</v>
      </c>
      <c r="B1450" t="s">
        <v>5143</v>
      </c>
      <c r="C1450" t="s">
        <v>5125</v>
      </c>
      <c r="D1450" s="77">
        <v>0.69374999999999998</v>
      </c>
      <c r="E1450" t="s">
        <v>3314</v>
      </c>
      <c r="F1450">
        <v>44</v>
      </c>
      <c r="G1450" t="s">
        <v>3315</v>
      </c>
      <c r="H1450">
        <v>20000</v>
      </c>
      <c r="I1450" t="s">
        <v>3834</v>
      </c>
      <c r="J1450">
        <v>20000</v>
      </c>
      <c r="K1450">
        <v>80000</v>
      </c>
      <c r="L1450" t="s">
        <v>118</v>
      </c>
      <c r="M1450" t="s">
        <v>91</v>
      </c>
      <c r="N1450" t="s">
        <v>136</v>
      </c>
      <c r="O1450" t="s">
        <v>3422</v>
      </c>
      <c r="P1450" s="5" t="s">
        <v>3318</v>
      </c>
      <c r="Q1450">
        <v>4</v>
      </c>
    </row>
    <row r="1451" spans="1:17" x14ac:dyDescent="0.3">
      <c r="A1451" s="4">
        <v>44651</v>
      </c>
      <c r="B1451" t="s">
        <v>5144</v>
      </c>
      <c r="C1451" t="s">
        <v>4936</v>
      </c>
      <c r="D1451" s="77">
        <v>0.69791666666666663</v>
      </c>
      <c r="E1451" t="s">
        <v>3314</v>
      </c>
      <c r="F1451">
        <v>31</v>
      </c>
      <c r="G1451" t="s">
        <v>3315</v>
      </c>
      <c r="H1451">
        <v>20000</v>
      </c>
      <c r="I1451" t="s">
        <v>3834</v>
      </c>
      <c r="J1451">
        <v>20000</v>
      </c>
      <c r="K1451">
        <v>90000</v>
      </c>
      <c r="L1451" t="s">
        <v>114</v>
      </c>
      <c r="M1451" t="s">
        <v>79</v>
      </c>
      <c r="N1451" t="s">
        <v>131</v>
      </c>
      <c r="O1451" t="s">
        <v>3465</v>
      </c>
      <c r="P1451" s="5" t="s">
        <v>3318</v>
      </c>
      <c r="Q1451">
        <v>4.5</v>
      </c>
    </row>
    <row r="1452" spans="1:17" x14ac:dyDescent="0.3">
      <c r="A1452" s="4">
        <v>44651</v>
      </c>
      <c r="B1452" t="s">
        <v>5145</v>
      </c>
      <c r="C1452" t="s">
        <v>5140</v>
      </c>
      <c r="D1452" s="77">
        <v>0.70138888888888884</v>
      </c>
      <c r="E1452" t="s">
        <v>3314</v>
      </c>
      <c r="F1452">
        <v>63</v>
      </c>
      <c r="G1452" t="s">
        <v>3889</v>
      </c>
      <c r="H1452">
        <v>20000</v>
      </c>
      <c r="I1452" t="s">
        <v>3889</v>
      </c>
      <c r="J1452">
        <v>20000</v>
      </c>
      <c r="K1452">
        <v>80000</v>
      </c>
      <c r="L1452" t="s">
        <v>118</v>
      </c>
      <c r="M1452" t="s">
        <v>90</v>
      </c>
      <c r="N1452" t="s">
        <v>110</v>
      </c>
      <c r="O1452" t="s">
        <v>3455</v>
      </c>
      <c r="P1452" s="5" t="s">
        <v>3318</v>
      </c>
      <c r="Q1452">
        <v>4</v>
      </c>
    </row>
    <row r="1453" spans="1:17" x14ac:dyDescent="0.3">
      <c r="A1453" s="4">
        <v>44651</v>
      </c>
      <c r="B1453" t="s">
        <v>5146</v>
      </c>
      <c r="C1453" t="s">
        <v>4936</v>
      </c>
      <c r="D1453" s="77">
        <v>0.70208333333333339</v>
      </c>
      <c r="E1453" t="s">
        <v>3314</v>
      </c>
      <c r="F1453">
        <v>33</v>
      </c>
      <c r="G1453" t="s">
        <v>3315</v>
      </c>
      <c r="H1453">
        <v>20000</v>
      </c>
      <c r="I1453" t="s">
        <v>3834</v>
      </c>
      <c r="J1453">
        <v>20000</v>
      </c>
      <c r="K1453">
        <v>90000</v>
      </c>
      <c r="L1453" t="s">
        <v>114</v>
      </c>
      <c r="M1453" t="s">
        <v>79</v>
      </c>
      <c r="N1453" t="s">
        <v>131</v>
      </c>
      <c r="O1453" t="s">
        <v>3465</v>
      </c>
      <c r="P1453" s="5" t="s">
        <v>3318</v>
      </c>
      <c r="Q1453">
        <v>4.5</v>
      </c>
    </row>
    <row r="1454" spans="1:17" x14ac:dyDescent="0.3">
      <c r="A1454" s="4">
        <v>44651</v>
      </c>
      <c r="B1454" t="s">
        <v>5147</v>
      </c>
      <c r="C1454" t="s">
        <v>3724</v>
      </c>
      <c r="D1454" s="77">
        <v>0.70277777777777783</v>
      </c>
      <c r="E1454" t="s">
        <v>3314</v>
      </c>
      <c r="F1454">
        <v>56</v>
      </c>
      <c r="G1454" t="s">
        <v>3315</v>
      </c>
      <c r="H1454">
        <v>20000</v>
      </c>
      <c r="I1454" t="s">
        <v>3834</v>
      </c>
      <c r="J1454">
        <v>20000</v>
      </c>
      <c r="K1454">
        <v>80000</v>
      </c>
      <c r="L1454" t="s">
        <v>118</v>
      </c>
      <c r="M1454" t="s">
        <v>85</v>
      </c>
      <c r="N1454" t="s">
        <v>109</v>
      </c>
      <c r="O1454" t="s">
        <v>3342</v>
      </c>
      <c r="P1454" s="5" t="s">
        <v>3318</v>
      </c>
      <c r="Q1454">
        <v>4</v>
      </c>
    </row>
    <row r="1455" spans="1:17" x14ac:dyDescent="0.3">
      <c r="A1455" s="4">
        <v>44651</v>
      </c>
      <c r="B1455" t="s">
        <v>5148</v>
      </c>
      <c r="C1455" t="s">
        <v>5140</v>
      </c>
      <c r="D1455" s="77">
        <v>0.70833333333333337</v>
      </c>
      <c r="E1455" t="s">
        <v>3314</v>
      </c>
      <c r="F1455">
        <v>41</v>
      </c>
      <c r="G1455" t="s">
        <v>3315</v>
      </c>
      <c r="H1455">
        <v>30000</v>
      </c>
      <c r="I1455" t="s">
        <v>3834</v>
      </c>
      <c r="J1455">
        <v>30000</v>
      </c>
      <c r="K1455">
        <v>90000</v>
      </c>
      <c r="L1455" t="s">
        <v>149</v>
      </c>
      <c r="M1455" t="s">
        <v>143</v>
      </c>
      <c r="N1455" t="s">
        <v>144</v>
      </c>
      <c r="O1455" t="s">
        <v>4946</v>
      </c>
      <c r="P1455" s="5" t="s">
        <v>3318</v>
      </c>
      <c r="Q1455">
        <v>3</v>
      </c>
    </row>
    <row r="1456" spans="1:17" x14ac:dyDescent="0.3">
      <c r="A1456" s="4">
        <v>44651</v>
      </c>
      <c r="B1456" t="s">
        <v>5149</v>
      </c>
      <c r="C1456" t="s">
        <v>5011</v>
      </c>
      <c r="D1456" s="77">
        <v>0.71250000000000002</v>
      </c>
      <c r="E1456" t="s">
        <v>3314</v>
      </c>
      <c r="F1456">
        <v>66</v>
      </c>
      <c r="G1456" t="s">
        <v>3889</v>
      </c>
      <c r="H1456">
        <v>20000</v>
      </c>
      <c r="I1456" t="s">
        <v>3889</v>
      </c>
      <c r="J1456">
        <v>20000</v>
      </c>
      <c r="K1456">
        <v>80000</v>
      </c>
      <c r="L1456" t="s">
        <v>118</v>
      </c>
      <c r="M1456" t="s">
        <v>145</v>
      </c>
      <c r="N1456" t="s">
        <v>146</v>
      </c>
      <c r="O1456" t="s">
        <v>4988</v>
      </c>
      <c r="P1456" s="5" t="s">
        <v>3318</v>
      </c>
      <c r="Q1456">
        <v>4</v>
      </c>
    </row>
    <row r="1457" spans="1:17" x14ac:dyDescent="0.3">
      <c r="A1457" s="4">
        <v>44651</v>
      </c>
      <c r="B1457" t="s">
        <v>5150</v>
      </c>
      <c r="C1457" t="s">
        <v>4851</v>
      </c>
      <c r="D1457" s="77">
        <v>0.71319444444444446</v>
      </c>
      <c r="E1457" t="s">
        <v>3314</v>
      </c>
      <c r="F1457">
        <v>50</v>
      </c>
      <c r="G1457" t="s">
        <v>3315</v>
      </c>
      <c r="H1457">
        <v>20000</v>
      </c>
      <c r="I1457" t="s">
        <v>3834</v>
      </c>
      <c r="J1457">
        <v>20000</v>
      </c>
      <c r="K1457">
        <v>90000</v>
      </c>
      <c r="L1457" t="s">
        <v>119</v>
      </c>
      <c r="M1457" t="s">
        <v>27</v>
      </c>
      <c r="N1457" t="s">
        <v>101</v>
      </c>
      <c r="O1457" t="s">
        <v>3803</v>
      </c>
      <c r="P1457" s="5" t="s">
        <v>3318</v>
      </c>
      <c r="Q1457">
        <v>4.5</v>
      </c>
    </row>
    <row r="1458" spans="1:17" x14ac:dyDescent="0.3">
      <c r="A1458" s="4">
        <v>44651</v>
      </c>
      <c r="B1458" t="s">
        <v>5151</v>
      </c>
      <c r="C1458" t="s">
        <v>5122</v>
      </c>
      <c r="D1458" s="77">
        <v>0.72916666666666663</v>
      </c>
      <c r="E1458" t="s">
        <v>3332</v>
      </c>
      <c r="F1458">
        <v>53</v>
      </c>
      <c r="G1458" t="s">
        <v>3336</v>
      </c>
      <c r="H1458">
        <v>20000</v>
      </c>
      <c r="I1458" t="s">
        <v>3336</v>
      </c>
      <c r="J1458">
        <v>20000</v>
      </c>
      <c r="K1458">
        <v>100000</v>
      </c>
      <c r="L1458" t="s">
        <v>113</v>
      </c>
      <c r="M1458" t="s">
        <v>22</v>
      </c>
      <c r="N1458" t="s">
        <v>98</v>
      </c>
      <c r="O1458" t="s">
        <v>3437</v>
      </c>
      <c r="P1458" s="5" t="s">
        <v>3318</v>
      </c>
      <c r="Q1458">
        <v>5</v>
      </c>
    </row>
    <row r="1459" spans="1:17" x14ac:dyDescent="0.3">
      <c r="A1459" s="4">
        <v>44651</v>
      </c>
      <c r="B1459" t="s">
        <v>5152</v>
      </c>
      <c r="C1459" t="s">
        <v>3724</v>
      </c>
      <c r="D1459" s="77">
        <v>0.73472222222222217</v>
      </c>
      <c r="E1459" t="s">
        <v>3314</v>
      </c>
      <c r="F1459">
        <v>45</v>
      </c>
      <c r="G1459" t="s">
        <v>3315</v>
      </c>
      <c r="H1459">
        <v>50000</v>
      </c>
      <c r="I1459" t="s">
        <v>3834</v>
      </c>
      <c r="J1459">
        <v>50000</v>
      </c>
      <c r="K1459">
        <v>200000</v>
      </c>
      <c r="L1459" t="s">
        <v>118</v>
      </c>
      <c r="M1459" t="s">
        <v>85</v>
      </c>
      <c r="N1459" t="s">
        <v>109</v>
      </c>
      <c r="O1459" t="s">
        <v>3342</v>
      </c>
      <c r="P1459" s="5" t="s">
        <v>3318</v>
      </c>
      <c r="Q1459">
        <v>4</v>
      </c>
    </row>
    <row r="1460" spans="1:17" x14ac:dyDescent="0.3">
      <c r="A1460" s="4">
        <v>44651</v>
      </c>
      <c r="B1460" t="s">
        <v>5153</v>
      </c>
      <c r="C1460" t="s">
        <v>5011</v>
      </c>
      <c r="D1460" s="77">
        <v>0.73888888888888893</v>
      </c>
      <c r="E1460" t="s">
        <v>3314</v>
      </c>
      <c r="F1460">
        <v>71</v>
      </c>
      <c r="G1460" t="s">
        <v>3344</v>
      </c>
      <c r="H1460">
        <v>20000</v>
      </c>
      <c r="I1460" t="s">
        <v>3344</v>
      </c>
      <c r="J1460">
        <v>20000</v>
      </c>
      <c r="K1460">
        <v>80000</v>
      </c>
      <c r="L1460" t="s">
        <v>118</v>
      </c>
      <c r="M1460" t="s">
        <v>145</v>
      </c>
      <c r="N1460" t="s">
        <v>146</v>
      </c>
      <c r="O1460" t="s">
        <v>4988</v>
      </c>
      <c r="P1460" s="5" t="s">
        <v>3318</v>
      </c>
      <c r="Q1460">
        <v>4</v>
      </c>
    </row>
    <row r="1461" spans="1:17" x14ac:dyDescent="0.3">
      <c r="A1461" s="4">
        <v>44651</v>
      </c>
      <c r="B1461" t="s">
        <v>5154</v>
      </c>
      <c r="C1461" t="s">
        <v>5140</v>
      </c>
      <c r="D1461" s="77">
        <v>0.78472222222222221</v>
      </c>
      <c r="E1461" t="s">
        <v>3314</v>
      </c>
      <c r="F1461">
        <v>33</v>
      </c>
      <c r="G1461" t="s">
        <v>3315</v>
      </c>
      <c r="H1461">
        <v>30000</v>
      </c>
      <c r="I1461" t="s">
        <v>3834</v>
      </c>
      <c r="J1461">
        <v>30000</v>
      </c>
      <c r="K1461">
        <v>90000</v>
      </c>
      <c r="L1461" t="s">
        <v>149</v>
      </c>
      <c r="M1461" t="s">
        <v>143</v>
      </c>
      <c r="N1461" t="s">
        <v>144</v>
      </c>
      <c r="O1461" t="s">
        <v>4946</v>
      </c>
      <c r="P1461" s="5" t="s">
        <v>3318</v>
      </c>
      <c r="Q1461">
        <v>3</v>
      </c>
    </row>
    <row r="1462" spans="1:17" x14ac:dyDescent="0.3">
      <c r="A1462" s="4">
        <v>44651</v>
      </c>
      <c r="B1462" t="s">
        <v>5155</v>
      </c>
      <c r="C1462" t="s">
        <v>3724</v>
      </c>
      <c r="D1462" s="77">
        <v>0.78749999999999998</v>
      </c>
      <c r="E1462" t="s">
        <v>3314</v>
      </c>
      <c r="F1462">
        <v>41</v>
      </c>
      <c r="G1462" t="s">
        <v>3315</v>
      </c>
      <c r="H1462">
        <v>20000</v>
      </c>
      <c r="I1462" t="s">
        <v>3834</v>
      </c>
      <c r="J1462">
        <v>20000</v>
      </c>
      <c r="K1462">
        <v>80000</v>
      </c>
      <c r="L1462" t="s">
        <v>118</v>
      </c>
      <c r="M1462" t="s">
        <v>85</v>
      </c>
      <c r="N1462" t="s">
        <v>109</v>
      </c>
      <c r="O1462" t="s">
        <v>3342</v>
      </c>
      <c r="P1462" s="5" t="s">
        <v>3318</v>
      </c>
      <c r="Q1462">
        <v>4</v>
      </c>
    </row>
    <row r="1463" spans="1:17" x14ac:dyDescent="0.3">
      <c r="A1463" s="4">
        <v>44651</v>
      </c>
      <c r="B1463" t="s">
        <v>5156</v>
      </c>
      <c r="C1463" t="s">
        <v>5140</v>
      </c>
      <c r="D1463" s="77">
        <v>0.78819444444444453</v>
      </c>
      <c r="E1463" t="s">
        <v>3314</v>
      </c>
      <c r="F1463">
        <v>22</v>
      </c>
      <c r="G1463" t="s">
        <v>3336</v>
      </c>
      <c r="H1463">
        <v>20000</v>
      </c>
      <c r="I1463" t="s">
        <v>3336</v>
      </c>
      <c r="J1463">
        <v>20000</v>
      </c>
      <c r="K1463">
        <v>80000</v>
      </c>
      <c r="L1463" t="s">
        <v>118</v>
      </c>
      <c r="M1463" t="s">
        <v>90</v>
      </c>
      <c r="N1463" t="s">
        <v>110</v>
      </c>
      <c r="O1463" t="s">
        <v>3455</v>
      </c>
      <c r="P1463" s="5" t="s">
        <v>3318</v>
      </c>
      <c r="Q1463">
        <v>4</v>
      </c>
    </row>
    <row r="1464" spans="1:17" x14ac:dyDescent="0.3">
      <c r="A1464" s="4">
        <v>44651</v>
      </c>
      <c r="B1464" t="s">
        <v>5157</v>
      </c>
      <c r="C1464" t="s">
        <v>3724</v>
      </c>
      <c r="D1464" s="77">
        <v>0.79305555555555562</v>
      </c>
      <c r="E1464" t="s">
        <v>3314</v>
      </c>
      <c r="F1464">
        <v>54</v>
      </c>
      <c r="G1464" t="s">
        <v>3315</v>
      </c>
      <c r="H1464">
        <v>20000</v>
      </c>
      <c r="I1464" t="s">
        <v>3834</v>
      </c>
      <c r="J1464">
        <v>20000</v>
      </c>
      <c r="K1464">
        <v>80000</v>
      </c>
      <c r="L1464" t="s">
        <v>118</v>
      </c>
      <c r="M1464" t="s">
        <v>85</v>
      </c>
      <c r="N1464" t="s">
        <v>109</v>
      </c>
      <c r="O1464" t="s">
        <v>3342</v>
      </c>
      <c r="P1464" s="5" t="s">
        <v>3318</v>
      </c>
      <c r="Q1464">
        <v>4</v>
      </c>
    </row>
  </sheetData>
  <autoFilter ref="A1:Q1" xr:uid="{1543CA96-69FD-4726-8CA7-4884B1C63C62}"/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4608-DE86-4848-949F-AFD882FE05DE}">
  <sheetPr codeName="Sheet7">
    <tabColor theme="4" tint="0.39997558519241921"/>
  </sheetPr>
  <dimension ref="A1:M12"/>
  <sheetViews>
    <sheetView tabSelected="1" workbookViewId="0">
      <selection activeCell="K2" sqref="K2"/>
    </sheetView>
  </sheetViews>
  <sheetFormatPr defaultRowHeight="16.5" x14ac:dyDescent="0.3"/>
  <cols>
    <col min="1" max="2" width="9" customWidth="1"/>
    <col min="3" max="3" width="8.375" bestFit="1" customWidth="1"/>
    <col min="4" max="4" width="12.25" style="3" customWidth="1"/>
    <col min="5" max="5" width="11.625" style="3" customWidth="1"/>
    <col min="6" max="6" width="5.25" style="10" bestFit="1" customWidth="1"/>
    <col min="7" max="7" width="11.625" style="3" customWidth="1"/>
    <col min="8" max="8" width="13.25" style="3" customWidth="1"/>
    <col min="9" max="9" width="14" customWidth="1"/>
    <col min="10" max="10" width="14.25" bestFit="1" customWidth="1"/>
    <col min="13" max="13" width="16" customWidth="1"/>
  </cols>
  <sheetData>
    <row r="1" spans="1:13" x14ac:dyDescent="0.3">
      <c r="A1" s="8" t="s">
        <v>11</v>
      </c>
      <c r="B1" s="8" t="s">
        <v>12</v>
      </c>
      <c r="C1" s="8" t="s">
        <v>38</v>
      </c>
      <c r="D1" s="25" t="s">
        <v>74</v>
      </c>
      <c r="E1" s="25" t="s">
        <v>45</v>
      </c>
      <c r="F1" s="26" t="s">
        <v>44</v>
      </c>
      <c r="G1" s="25" t="s">
        <v>39</v>
      </c>
      <c r="H1" s="25" t="s">
        <v>163</v>
      </c>
      <c r="K1" s="8" t="s">
        <v>36</v>
      </c>
      <c r="L1" s="8" t="s">
        <v>11</v>
      </c>
      <c r="M1" s="8" t="s">
        <v>160</v>
      </c>
    </row>
    <row r="2" spans="1:13" x14ac:dyDescent="0.3">
      <c r="A2" t="s">
        <v>22</v>
      </c>
      <c r="B2" t="s">
        <v>98</v>
      </c>
      <c r="C2" t="s">
        <v>113</v>
      </c>
      <c r="D2" s="3">
        <v>10510000</v>
      </c>
      <c r="E2" s="3">
        <v>3550000</v>
      </c>
      <c r="F2" s="10">
        <v>0.2</v>
      </c>
      <c r="G2" s="3">
        <v>2102000</v>
      </c>
      <c r="H2" s="3">
        <v>2085000</v>
      </c>
      <c r="K2" t="s">
        <v>22</v>
      </c>
      <c r="L2" t="s">
        <v>23</v>
      </c>
      <c r="M2">
        <v>344000</v>
      </c>
    </row>
    <row r="3" spans="1:13" x14ac:dyDescent="0.3">
      <c r="A3" t="s">
        <v>23</v>
      </c>
      <c r="B3" t="s">
        <v>99</v>
      </c>
      <c r="C3" t="s">
        <v>114</v>
      </c>
      <c r="D3" s="3">
        <v>3440000</v>
      </c>
      <c r="E3" s="3">
        <v>1050000</v>
      </c>
      <c r="F3" s="10">
        <v>0.1</v>
      </c>
      <c r="G3" s="3">
        <v>344000</v>
      </c>
      <c r="H3" s="3">
        <v>344000</v>
      </c>
      <c r="K3" t="s">
        <v>22</v>
      </c>
      <c r="L3" t="s">
        <v>78</v>
      </c>
      <c r="M3">
        <v>210750</v>
      </c>
    </row>
    <row r="4" spans="1:13" x14ac:dyDescent="0.3">
      <c r="A4" t="s">
        <v>78</v>
      </c>
      <c r="B4" t="s">
        <v>100</v>
      </c>
      <c r="C4" t="s">
        <v>116</v>
      </c>
      <c r="D4" s="3">
        <v>4215000</v>
      </c>
      <c r="E4" s="3">
        <v>1740000</v>
      </c>
      <c r="F4" s="10">
        <v>0.05</v>
      </c>
      <c r="G4" s="3">
        <v>210750</v>
      </c>
      <c r="H4" s="3">
        <v>210750</v>
      </c>
      <c r="K4" t="s">
        <v>27</v>
      </c>
      <c r="L4" t="s">
        <v>65</v>
      </c>
      <c r="M4">
        <v>378000</v>
      </c>
    </row>
    <row r="5" spans="1:13" x14ac:dyDescent="0.3">
      <c r="A5" t="s">
        <v>27</v>
      </c>
      <c r="B5" t="s">
        <v>101</v>
      </c>
      <c r="C5" t="s">
        <v>119</v>
      </c>
      <c r="D5" s="3">
        <v>10755000</v>
      </c>
      <c r="E5" s="3">
        <v>3450000</v>
      </c>
      <c r="F5" s="10">
        <v>0.2</v>
      </c>
      <c r="G5" s="3">
        <v>2151000</v>
      </c>
      <c r="H5" s="3">
        <v>1773000</v>
      </c>
      <c r="K5" t="s">
        <v>29</v>
      </c>
      <c r="L5" t="s">
        <v>31</v>
      </c>
      <c r="M5">
        <v>1699500</v>
      </c>
    </row>
    <row r="6" spans="1:13" x14ac:dyDescent="0.3">
      <c r="A6" t="s">
        <v>65</v>
      </c>
      <c r="B6" t="s">
        <v>102</v>
      </c>
      <c r="C6" t="s">
        <v>116</v>
      </c>
      <c r="D6" s="3">
        <v>7560000</v>
      </c>
      <c r="E6" s="3">
        <v>2260000</v>
      </c>
      <c r="F6" s="10">
        <v>0.05</v>
      </c>
      <c r="G6" s="3">
        <v>378000</v>
      </c>
      <c r="H6" s="3">
        <v>378000</v>
      </c>
      <c r="K6" t="s">
        <v>29</v>
      </c>
      <c r="L6" t="s">
        <v>30</v>
      </c>
      <c r="M6">
        <v>1566000</v>
      </c>
    </row>
    <row r="7" spans="1:13" x14ac:dyDescent="0.3">
      <c r="A7" t="s">
        <v>29</v>
      </c>
      <c r="B7" t="s">
        <v>104</v>
      </c>
      <c r="C7" t="s">
        <v>119</v>
      </c>
      <c r="D7" s="3">
        <v>40800000</v>
      </c>
      <c r="E7" s="3">
        <v>12220000</v>
      </c>
      <c r="F7" s="10">
        <v>0.25</v>
      </c>
      <c r="G7" s="3">
        <v>10200000</v>
      </c>
      <c r="H7" s="3">
        <v>6934500</v>
      </c>
      <c r="K7" t="s">
        <v>30</v>
      </c>
      <c r="L7" t="s">
        <v>84</v>
      </c>
      <c r="M7">
        <v>287500</v>
      </c>
    </row>
    <row r="8" spans="1:13" x14ac:dyDescent="0.3">
      <c r="A8" t="s">
        <v>30</v>
      </c>
      <c r="B8" t="s">
        <v>106</v>
      </c>
      <c r="C8" t="s">
        <v>114</v>
      </c>
      <c r="D8" s="3">
        <v>15660000</v>
      </c>
      <c r="E8" s="3">
        <v>5160000</v>
      </c>
      <c r="F8" s="10">
        <v>0.1</v>
      </c>
      <c r="G8" s="3">
        <v>1566000</v>
      </c>
      <c r="H8" s="3">
        <v>1278500</v>
      </c>
      <c r="K8" t="s">
        <v>31</v>
      </c>
      <c r="L8" t="s">
        <v>76</v>
      </c>
      <c r="M8">
        <v>357750</v>
      </c>
    </row>
    <row r="9" spans="1:13" x14ac:dyDescent="0.3">
      <c r="A9" t="s">
        <v>31</v>
      </c>
      <c r="B9" t="s">
        <v>105</v>
      </c>
      <c r="C9" t="s">
        <v>114</v>
      </c>
      <c r="D9" s="3">
        <v>16995000</v>
      </c>
      <c r="E9" s="3">
        <v>4540000</v>
      </c>
      <c r="F9" s="10">
        <v>0.1</v>
      </c>
      <c r="G9" s="3">
        <v>1699500</v>
      </c>
      <c r="H9" s="3">
        <v>1341750</v>
      </c>
      <c r="K9" t="s">
        <v>22</v>
      </c>
      <c r="L9" t="s">
        <v>27</v>
      </c>
      <c r="M9">
        <v>-537750</v>
      </c>
    </row>
    <row r="10" spans="1:13" x14ac:dyDescent="0.3">
      <c r="A10" t="s">
        <v>76</v>
      </c>
      <c r="B10" t="s">
        <v>107</v>
      </c>
      <c r="C10" t="s">
        <v>116</v>
      </c>
      <c r="D10" s="3">
        <v>7155000</v>
      </c>
      <c r="E10" s="3">
        <v>1840000</v>
      </c>
      <c r="F10" s="10">
        <v>0.05</v>
      </c>
      <c r="G10" s="3">
        <v>357750</v>
      </c>
      <c r="H10" s="3">
        <v>357750</v>
      </c>
    </row>
    <row r="11" spans="1:13" x14ac:dyDescent="0.3">
      <c r="A11" t="s">
        <v>84</v>
      </c>
      <c r="B11" t="s">
        <v>108</v>
      </c>
      <c r="C11" t="s">
        <v>116</v>
      </c>
      <c r="D11" s="3">
        <v>5750000</v>
      </c>
      <c r="E11" s="3">
        <v>1910000</v>
      </c>
      <c r="F11" s="10">
        <v>0.05</v>
      </c>
      <c r="G11" s="3">
        <v>287500</v>
      </c>
      <c r="H11" s="3">
        <v>287500</v>
      </c>
    </row>
    <row r="12" spans="1:13" x14ac:dyDescent="0.3">
      <c r="A12" t="s">
        <v>111</v>
      </c>
      <c r="B12" t="s">
        <v>112</v>
      </c>
      <c r="C12" t="s">
        <v>116</v>
      </c>
      <c r="D12" s="3">
        <v>2120000</v>
      </c>
      <c r="E12" s="3">
        <v>1370000</v>
      </c>
      <c r="F12" s="10">
        <v>0.05</v>
      </c>
      <c r="G12" s="3">
        <v>106000</v>
      </c>
      <c r="H12" s="3">
        <v>106000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4</vt:i4>
      </vt:variant>
    </vt:vector>
  </HeadingPairs>
  <TitlesOfParts>
    <vt:vector size="16" baseType="lpstr">
      <vt:lpstr>setting</vt:lpstr>
      <vt:lpstr>종합</vt:lpstr>
      <vt:lpstr>개인</vt:lpstr>
      <vt:lpstr>팀</vt:lpstr>
      <vt:lpstr>이체</vt:lpstr>
      <vt:lpstr>mailsend</vt:lpstr>
      <vt:lpstr>members</vt:lpstr>
      <vt:lpstr>unsettled</vt:lpstr>
      <vt:lpstr>training_fee</vt:lpstr>
      <vt:lpstr>bonus</vt:lpstr>
      <vt:lpstr>data</vt:lpstr>
      <vt:lpstr>override</vt:lpstr>
      <vt:lpstr>개인!Print_Area</vt:lpstr>
      <vt:lpstr>팀!Print_Area</vt:lpstr>
      <vt:lpstr>개인!Print_Titles</vt:lpstr>
      <vt:lpstr>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Wonjin Park</dc:creator>
  <cp:lastModifiedBy>Wonjin Park</cp:lastModifiedBy>
  <cp:lastPrinted>2022-03-14T05:55:03Z</cp:lastPrinted>
  <dcterms:created xsi:type="dcterms:W3CDTF">2020-12-01T05:25:13Z</dcterms:created>
  <dcterms:modified xsi:type="dcterms:W3CDTF">2022-04-15T00:34:53Z</dcterms:modified>
</cp:coreProperties>
</file>