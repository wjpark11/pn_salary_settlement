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ProjectN\Project\salary_settlement\work\"/>
    </mc:Choice>
  </mc:AlternateContent>
  <xr:revisionPtr revIDLastSave="0" documentId="13_ncr:1_{6DC8157A-338B-4E5C-B3FE-600DF8A7BD83}" xr6:coauthVersionLast="47" xr6:coauthVersionMax="47" xr10:uidLastSave="{00000000-0000-0000-0000-000000000000}"/>
  <bookViews>
    <workbookView xWindow="30930" yWindow="1185" windowWidth="25905" windowHeight="15180" tabRatio="783" xr2:uid="{1D15D7F1-B1E1-4135-B5A0-ED0BD1DD80D9}"/>
  </bookViews>
  <sheets>
    <sheet name="setting" sheetId="9" r:id="rId1"/>
    <sheet name="종합" sheetId="12" r:id="rId2"/>
    <sheet name="개인" sheetId="1" r:id="rId3"/>
    <sheet name="팀" sheetId="8" r:id="rId4"/>
    <sheet name="이체" sheetId="10" r:id="rId5"/>
    <sheet name="mailsend" sheetId="11" r:id="rId6"/>
    <sheet name="members" sheetId="5" r:id="rId7"/>
    <sheet name="unsettled" sheetId="4" r:id="rId8"/>
    <sheet name="training_fee" sheetId="3" r:id="rId9"/>
    <sheet name="bonus" sheetId="6" r:id="rId10"/>
    <sheet name="data" sheetId="2" r:id="rId11"/>
    <sheet name="override" sheetId="7" r:id="rId12"/>
  </sheets>
  <definedNames>
    <definedName name="_xlnm._FilterDatabase" localSheetId="10" hidden="1">data!$A$1:$Q$1</definedName>
    <definedName name="_xlnm._FilterDatabase" localSheetId="1" hidden="1">종합!$A$3:$N$4</definedName>
    <definedName name="_xlpm.now_pos" hidden="1" xlm="1">#NAME?</definedName>
    <definedName name="_xlnm.Print_Area" localSheetId="2">개인!$A$1:$L$13</definedName>
    <definedName name="_xlnm.Print_Area" localSheetId="3">팀!$A$1:$N$11</definedName>
    <definedName name="_xlnm.Print_Titles" localSheetId="2">개인!$12:$12</definedName>
    <definedName name="_xlnm.Print_Titles" localSheetId="3">팀!$10:$10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1" l="1" a="1"/>
  <c r="D2" i="11" s="1"/>
  <c r="A1" i="1"/>
  <c r="A1" i="8"/>
  <c r="L5" i="9" a="1"/>
  <c r="L5" i="9" s="1"/>
  <c r="B4" i="8"/>
  <c r="A11" i="8" a="1"/>
  <c r="A11" i="8" s="1"/>
  <c r="A13" i="1" a="1"/>
  <c r="A13" i="1" s="1"/>
  <c r="A2" i="11" a="1"/>
  <c r="A2" i="11" s="1"/>
  <c r="A2" i="10" a="1"/>
  <c r="A2" i="10" s="1"/>
  <c r="B5" i="8" l="1"/>
  <c r="K6" i="1"/>
  <c r="B7" i="1"/>
  <c r="B6" i="1"/>
  <c r="M2" i="12" a="1"/>
  <c r="M2" i="12" s="1"/>
  <c r="L2" i="12" l="1"/>
  <c r="I2" i="12"/>
  <c r="H2" i="12"/>
  <c r="G2" i="12"/>
  <c r="E4" i="12"/>
  <c r="F4" i="12"/>
  <c r="G4" i="12"/>
  <c r="H4" i="12"/>
  <c r="I4" i="12"/>
  <c r="J4" i="12"/>
  <c r="K4" i="12"/>
  <c r="L4" i="12"/>
  <c r="M4" i="12"/>
  <c r="N4" i="12"/>
  <c r="D4" i="12"/>
  <c r="F2" i="12" l="1"/>
  <c r="K4" i="1" l="1"/>
  <c r="J2" i="12"/>
  <c r="M4" i="1" l="1"/>
  <c r="J4" i="1"/>
  <c r="Q2" i="8" l="1"/>
  <c r="Q3" i="8"/>
  <c r="G8" i="8" l="1"/>
  <c r="G9" i="8"/>
  <c r="E1" i="10"/>
  <c r="E2" i="12"/>
  <c r="D2" i="12"/>
  <c r="K2" i="1" l="1"/>
  <c r="K3" i="1"/>
  <c r="J2" i="1" l="1"/>
  <c r="J3" i="1"/>
  <c r="M3" i="1"/>
  <c r="M2" i="1"/>
  <c r="Q4" i="8" l="1" a="1"/>
  <c r="Q4" i="8" s="1"/>
  <c r="I9" i="8" l="1"/>
  <c r="G3" i="8" l="1" a="1"/>
  <c r="G3" i="8" s="1"/>
  <c r="G2" i="8" s="1"/>
  <c r="I3" i="8" l="1" a="1"/>
  <c r="I3" i="8" s="1"/>
  <c r="H8" i="1"/>
  <c r="P3" i="8" l="1" a="1"/>
  <c r="P3" i="8" s="1"/>
  <c r="K2" i="12"/>
  <c r="M4" i="8" a="1"/>
  <c r="M4" i="8" s="1"/>
  <c r="M3" i="8"/>
  <c r="M2" i="8"/>
  <c r="O2" i="8" s="1"/>
  <c r="H9" i="1"/>
  <c r="K5" i="1"/>
  <c r="K7" i="1" l="1"/>
  <c r="O3" i="8"/>
  <c r="O4" i="8"/>
  <c r="M5" i="8"/>
  <c r="O5" i="8" s="1"/>
  <c r="M6" i="1"/>
  <c r="M5" i="1"/>
  <c r="C88" i="11" l="1"/>
  <c r="C89" i="11"/>
  <c r="C84" i="11"/>
  <c r="C85" i="11"/>
  <c r="C86" i="11"/>
  <c r="C87" i="11"/>
  <c r="C9" i="11"/>
  <c r="C17" i="11"/>
  <c r="C25" i="11"/>
  <c r="C33" i="11"/>
  <c r="C41" i="11"/>
  <c r="C49" i="11"/>
  <c r="C57" i="11"/>
  <c r="C65" i="11"/>
  <c r="C73" i="11"/>
  <c r="C81" i="11"/>
  <c r="C10" i="11"/>
  <c r="C18" i="11"/>
  <c r="C26" i="11"/>
  <c r="C34" i="11"/>
  <c r="C42" i="11"/>
  <c r="C50" i="11"/>
  <c r="C58" i="11"/>
  <c r="C66" i="11"/>
  <c r="C74" i="11"/>
  <c r="C82" i="11"/>
  <c r="C3" i="11"/>
  <c r="C11" i="11"/>
  <c r="C19" i="11"/>
  <c r="C27" i="11"/>
  <c r="C35" i="11"/>
  <c r="C43" i="11"/>
  <c r="C51" i="11"/>
  <c r="C59" i="11"/>
  <c r="C67" i="11"/>
  <c r="C75" i="11"/>
  <c r="C83" i="11"/>
  <c r="C4" i="11"/>
  <c r="C12" i="11"/>
  <c r="C20" i="11"/>
  <c r="C28" i="11"/>
  <c r="C36" i="11"/>
  <c r="C44" i="11"/>
  <c r="C52" i="11"/>
  <c r="C60" i="11"/>
  <c r="C68" i="11"/>
  <c r="C76" i="11"/>
  <c r="C32" i="11"/>
  <c r="C56" i="11"/>
  <c r="C5" i="11"/>
  <c r="C13" i="11"/>
  <c r="C21" i="11"/>
  <c r="C29" i="11"/>
  <c r="C37" i="11"/>
  <c r="C45" i="11"/>
  <c r="C53" i="11"/>
  <c r="C61" i="11"/>
  <c r="C69" i="11"/>
  <c r="C77" i="11"/>
  <c r="C16" i="11"/>
  <c r="C40" i="11"/>
  <c r="C64" i="11"/>
  <c r="C80" i="11"/>
  <c r="C6" i="11"/>
  <c r="C14" i="11"/>
  <c r="C22" i="11"/>
  <c r="C30" i="11"/>
  <c r="C38" i="11"/>
  <c r="C46" i="11"/>
  <c r="C54" i="11"/>
  <c r="C62" i="11"/>
  <c r="C70" i="11"/>
  <c r="C78" i="11"/>
  <c r="C8" i="11"/>
  <c r="C48" i="11"/>
  <c r="C7" i="11"/>
  <c r="C15" i="11"/>
  <c r="C23" i="11"/>
  <c r="C31" i="11"/>
  <c r="C39" i="11"/>
  <c r="C47" i="11"/>
  <c r="C55" i="11"/>
  <c r="C63" i="11"/>
  <c r="C71" i="11"/>
  <c r="C79" i="11"/>
  <c r="C24" i="11"/>
  <c r="C72" i="11"/>
  <c r="M7" i="1"/>
  <c r="M6" i="8"/>
  <c r="M7" i="8" s="1"/>
  <c r="K8" i="1"/>
  <c r="K9" i="1" s="1"/>
  <c r="C2" i="11" l="1"/>
  <c r="K2" i="10" a="1"/>
  <c r="K2" i="10" s="1"/>
  <c r="I2" i="10" a="1"/>
  <c r="I2" i="10" s="1"/>
  <c r="H2" i="10" a="1"/>
  <c r="H2" i="10" s="1"/>
  <c r="G2" i="10" a="1"/>
  <c r="G2" i="10" s="1"/>
  <c r="E2" i="10" a="1"/>
  <c r="E2" i="10" s="1"/>
  <c r="D2" i="10" a="1"/>
  <c r="D2" i="10" s="1"/>
  <c r="N2" i="12"/>
  <c r="J2" i="10" a="1"/>
  <c r="F90" i="10" s="1"/>
  <c r="O7" i="8"/>
  <c r="O6" i="8"/>
  <c r="F243" i="10" l="1"/>
  <c r="F199" i="10"/>
  <c r="F179" i="10"/>
  <c r="F123" i="10"/>
  <c r="F168" i="10"/>
  <c r="F267" i="10"/>
  <c r="F105" i="10"/>
  <c r="F212" i="10"/>
  <c r="F257" i="10"/>
  <c r="F160" i="10"/>
  <c r="F162" i="10"/>
  <c r="F115" i="10"/>
  <c r="F156" i="10"/>
  <c r="F206" i="10"/>
  <c r="F55" i="10"/>
  <c r="F152" i="10"/>
  <c r="F181" i="10"/>
  <c r="F125" i="10"/>
  <c r="F224" i="10"/>
  <c r="F264" i="10"/>
  <c r="F191" i="10"/>
  <c r="F210" i="10"/>
  <c r="F109" i="10"/>
  <c r="F173" i="10"/>
  <c r="F255" i="10"/>
  <c r="F122" i="10"/>
  <c r="F262" i="10"/>
  <c r="F144" i="10"/>
  <c r="F119" i="10"/>
  <c r="F228" i="10"/>
  <c r="F93" i="10"/>
  <c r="F226" i="10"/>
  <c r="F121" i="10"/>
  <c r="F193" i="10"/>
  <c r="F132" i="10"/>
  <c r="F87" i="10"/>
  <c r="F202" i="10"/>
  <c r="F100" i="10"/>
  <c r="F102" i="10"/>
  <c r="F198" i="10"/>
  <c r="F146" i="10"/>
  <c r="F238" i="10"/>
  <c r="F84" i="10"/>
  <c r="F127" i="10"/>
  <c r="F247" i="10"/>
  <c r="F89" i="10"/>
  <c r="F194" i="10"/>
  <c r="F177" i="10"/>
  <c r="F163" i="10"/>
  <c r="F165" i="10"/>
  <c r="F126" i="10"/>
  <c r="F259" i="10"/>
  <c r="F207" i="10"/>
  <c r="F147" i="10"/>
  <c r="F253" i="10"/>
  <c r="F236" i="10"/>
  <c r="F258" i="10"/>
  <c r="F223" i="10"/>
  <c r="F201" i="10"/>
  <c r="F113" i="10"/>
  <c r="F213" i="10"/>
  <c r="F138" i="10"/>
  <c r="F114" i="10"/>
  <c r="F229" i="10"/>
  <c r="F172" i="10"/>
  <c r="F183" i="10"/>
  <c r="F227" i="10"/>
  <c r="F230" i="10"/>
  <c r="F154" i="10"/>
  <c r="F91" i="10"/>
  <c r="F92" i="10"/>
  <c r="F196" i="10"/>
  <c r="F197" i="10"/>
  <c r="F250" i="10"/>
  <c r="F248" i="10"/>
  <c r="F246" i="10"/>
  <c r="F151" i="10"/>
  <c r="F263" i="10"/>
  <c r="F244" i="10"/>
  <c r="F222" i="10"/>
  <c r="F200" i="10"/>
  <c r="F140" i="10"/>
  <c r="F235" i="10"/>
  <c r="F137" i="10"/>
  <c r="F118" i="10"/>
  <c r="F108" i="10"/>
  <c r="F98" i="10"/>
  <c r="F130" i="10"/>
  <c r="F231" i="10"/>
  <c r="F103" i="10"/>
  <c r="F159" i="10"/>
  <c r="F148" i="10"/>
  <c r="F117" i="10"/>
  <c r="F188" i="10"/>
  <c r="F174" i="10"/>
  <c r="F175" i="10"/>
  <c r="F141" i="10"/>
  <c r="F133" i="10"/>
  <c r="F124" i="10"/>
  <c r="F167" i="10"/>
  <c r="F204" i="10"/>
  <c r="F260" i="10"/>
  <c r="F86" i="10"/>
  <c r="F220" i="10"/>
  <c r="F214" i="10"/>
  <c r="F189" i="10"/>
  <c r="F166" i="10"/>
  <c r="F134" i="10"/>
  <c r="F116" i="10"/>
  <c r="F249" i="10"/>
  <c r="F94" i="10"/>
  <c r="F169" i="10"/>
  <c r="F187" i="10"/>
  <c r="F208" i="10"/>
  <c r="F186" i="10"/>
  <c r="F164" i="10"/>
  <c r="F158" i="10"/>
  <c r="F129" i="10"/>
  <c r="F136" i="10"/>
  <c r="F218" i="10"/>
  <c r="F88" i="10"/>
  <c r="F252" i="10"/>
  <c r="F237" i="10"/>
  <c r="F153" i="10"/>
  <c r="F111" i="10"/>
  <c r="F99" i="10"/>
  <c r="F107" i="10"/>
  <c r="F161" i="10"/>
  <c r="F75" i="10"/>
  <c r="F242" i="10"/>
  <c r="F239" i="10"/>
  <c r="F143" i="10"/>
  <c r="F217" i="10"/>
  <c r="F265" i="10"/>
  <c r="F77" i="10"/>
  <c r="F240" i="10"/>
  <c r="F261" i="10"/>
  <c r="F211" i="10"/>
  <c r="F76" i="10"/>
  <c r="F155" i="10"/>
  <c r="F171" i="10"/>
  <c r="F195" i="10"/>
  <c r="F190" i="10"/>
  <c r="F95" i="10"/>
  <c r="F106" i="10"/>
  <c r="F178" i="10"/>
  <c r="F149" i="10"/>
  <c r="F74" i="10"/>
  <c r="F97" i="10"/>
  <c r="F215" i="10"/>
  <c r="F128" i="10"/>
  <c r="F245" i="10"/>
  <c r="F83" i="10"/>
  <c r="F232" i="10"/>
  <c r="F81" i="10"/>
  <c r="F185" i="10"/>
  <c r="F182" i="10"/>
  <c r="F104" i="10"/>
  <c r="F120" i="10"/>
  <c r="F96" i="10"/>
  <c r="F85" i="10"/>
  <c r="F145" i="10"/>
  <c r="F139" i="10"/>
  <c r="F233" i="10"/>
  <c r="F176" i="10"/>
  <c r="F221" i="10"/>
  <c r="F80" i="10"/>
  <c r="F205" i="10"/>
  <c r="F131" i="10"/>
  <c r="F251" i="10"/>
  <c r="F180" i="10"/>
  <c r="F219" i="10"/>
  <c r="F254" i="10"/>
  <c r="F256" i="10"/>
  <c r="F266" i="10"/>
  <c r="F112" i="10"/>
  <c r="F184" i="10"/>
  <c r="F142" i="10"/>
  <c r="F170" i="10"/>
  <c r="F110" i="10"/>
  <c r="F135" i="10"/>
  <c r="F157" i="10"/>
  <c r="F234" i="10"/>
  <c r="F241" i="10"/>
  <c r="F203" i="10"/>
  <c r="F192" i="10"/>
  <c r="F79" i="10"/>
  <c r="F78" i="10"/>
  <c r="F216" i="10"/>
  <c r="F101" i="10"/>
  <c r="F225" i="10"/>
  <c r="F82" i="10"/>
  <c r="F209" i="10"/>
  <c r="F150" i="10"/>
  <c r="F20" i="10"/>
  <c r="F3" i="10"/>
  <c r="F34" i="10"/>
  <c r="J2" i="10"/>
  <c r="F2" i="10" s="1"/>
  <c r="F46" i="10"/>
  <c r="F4" i="10"/>
  <c r="F64" i="10"/>
  <c r="F56" i="10"/>
  <c r="F61" i="10"/>
  <c r="F52" i="10"/>
  <c r="F27" i="10"/>
  <c r="F19" i="10"/>
  <c r="F11" i="10"/>
  <c r="F68" i="10"/>
  <c r="F33" i="10"/>
  <c r="F54" i="10"/>
  <c r="F42" i="10"/>
  <c r="F49" i="10"/>
  <c r="F71" i="10"/>
  <c r="F47" i="10"/>
  <c r="F38" i="10"/>
  <c r="F16" i="10"/>
  <c r="F15" i="10"/>
  <c r="F73" i="10"/>
  <c r="F60" i="10"/>
  <c r="F69" i="10"/>
  <c r="F14" i="10"/>
  <c r="F59" i="10"/>
  <c r="F22" i="10"/>
  <c r="F67" i="10"/>
  <c r="F41" i="10"/>
  <c r="F51" i="10"/>
  <c r="F65" i="10"/>
  <c r="F58" i="10"/>
  <c r="F32" i="10"/>
  <c r="F13" i="10"/>
  <c r="F7" i="10"/>
  <c r="F12" i="10"/>
  <c r="F44" i="10"/>
  <c r="F21" i="10"/>
  <c r="F66" i="10"/>
  <c r="F40" i="10"/>
  <c r="F30" i="10"/>
  <c r="F28" i="10"/>
  <c r="F25" i="10"/>
  <c r="F10" i="10"/>
  <c r="F62" i="10"/>
  <c r="F36" i="10"/>
  <c r="F43" i="10"/>
  <c r="F26" i="10"/>
  <c r="F31" i="10"/>
  <c r="F53" i="10"/>
  <c r="F45" i="10"/>
  <c r="F18" i="10"/>
  <c r="F17" i="10"/>
  <c r="F23" i="10"/>
  <c r="F35" i="10"/>
  <c r="F63" i="10"/>
  <c r="F6" i="10"/>
  <c r="F29" i="10"/>
  <c r="F57" i="10"/>
  <c r="F50" i="10"/>
  <c r="F72" i="10"/>
  <c r="F5" i="10"/>
  <c r="F39" i="10"/>
  <c r="F70" i="10"/>
  <c r="F8" i="10"/>
  <c r="F24" i="10"/>
  <c r="F48" i="10"/>
  <c r="F9" i="10"/>
  <c r="F37" i="10"/>
  <c r="O1" i="8"/>
  <c r="M8" i="1"/>
  <c r="J1" i="10" l="1"/>
  <c r="K1" i="10" s="1"/>
  <c r="F1" i="10"/>
  <c r="M9" i="1"/>
  <c r="M1" i="1" s="1"/>
  <c r="G1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<sst xmlns="http://schemas.openxmlformats.org/spreadsheetml/2006/main" count="126" uniqueCount="76">
  <si>
    <t>일자</t>
    <phoneticPr fontId="1" type="noConversion"/>
  </si>
  <si>
    <t>시리얼</t>
    <phoneticPr fontId="1" type="noConversion"/>
  </si>
  <si>
    <t>시간</t>
    <phoneticPr fontId="1" type="noConversion"/>
  </si>
  <si>
    <t>기관</t>
    <phoneticPr fontId="1" type="noConversion"/>
  </si>
  <si>
    <t>등록상태</t>
    <phoneticPr fontId="1" type="noConversion"/>
  </si>
  <si>
    <t>등록약정액</t>
    <phoneticPr fontId="1" type="noConversion"/>
  </si>
  <si>
    <t>출금액</t>
    <phoneticPr fontId="1" type="noConversion"/>
  </si>
  <si>
    <t>정산급여</t>
    <phoneticPr fontId="1" type="noConversion"/>
  </si>
  <si>
    <t>출금상태</t>
    <phoneticPr fontId="1" type="noConversion"/>
  </si>
  <si>
    <t>나이</t>
    <phoneticPr fontId="1" type="noConversion"/>
  </si>
  <si>
    <t>직책</t>
    <phoneticPr fontId="1" type="noConversion"/>
  </si>
  <si>
    <t>FRID</t>
    <phoneticPr fontId="1" type="noConversion"/>
  </si>
  <si>
    <t>FRName</t>
    <phoneticPr fontId="1" type="noConversion"/>
  </si>
  <si>
    <t>사이트</t>
    <phoneticPr fontId="1" type="noConversion"/>
  </si>
  <si>
    <t>사원번호</t>
  </si>
  <si>
    <t>주민등록번호</t>
  </si>
  <si>
    <t>성명</t>
  </si>
  <si>
    <t>급여통장 은행코드</t>
  </si>
  <si>
    <t>급여통장 은행명</t>
  </si>
  <si>
    <t>계좌번호</t>
  </si>
  <si>
    <t>예금주</t>
  </si>
  <si>
    <t>Email</t>
  </si>
  <si>
    <t>frid</t>
    <phoneticPr fontId="4" type="noConversion"/>
  </si>
  <si>
    <t>frname</t>
    <phoneticPr fontId="4" type="noConversion"/>
  </si>
  <si>
    <t>days</t>
    <phoneticPr fontId="4" type="noConversion"/>
  </si>
  <si>
    <t>fee</t>
    <phoneticPr fontId="4" type="noConversion"/>
  </si>
  <si>
    <t>FLID</t>
    <phoneticPr fontId="1" type="noConversion"/>
  </si>
  <si>
    <t>Position</t>
    <phoneticPr fontId="1" type="noConversion"/>
  </si>
  <si>
    <t>인정override</t>
    <phoneticPr fontId="1" type="noConversion"/>
  </si>
  <si>
    <t>treecode</t>
    <phoneticPr fontId="1" type="noConversion"/>
  </si>
  <si>
    <t>salarymonth</t>
    <phoneticPr fontId="1" type="noConversion"/>
  </si>
  <si>
    <t>rate</t>
    <phoneticPr fontId="1" type="noConversion"/>
  </si>
  <si>
    <t>FRPosition</t>
    <phoneticPr fontId="1" type="noConversion"/>
  </si>
  <si>
    <t>비율</t>
    <phoneticPr fontId="1" type="noConversion"/>
  </si>
  <si>
    <t>전월모금액</t>
    <phoneticPr fontId="1" type="noConversion"/>
  </si>
  <si>
    <t>IsOverride</t>
    <phoneticPr fontId="1" type="noConversion"/>
  </si>
  <si>
    <t xml:space="preserve">FRID : </t>
    <phoneticPr fontId="1" type="noConversion"/>
  </si>
  <si>
    <t xml:space="preserve">FRName : </t>
    <phoneticPr fontId="1" type="noConversion"/>
  </si>
  <si>
    <t xml:space="preserve">Position : </t>
    <phoneticPr fontId="1" type="noConversion"/>
  </si>
  <si>
    <t xml:space="preserve">오버라이드 : </t>
  </si>
  <si>
    <t xml:space="preserve">Tax(3.3%) : </t>
  </si>
  <si>
    <t xml:space="preserve">실수령액 : </t>
  </si>
  <si>
    <t xml:space="preserve">총 급여 : </t>
    <phoneticPr fontId="1" type="noConversion"/>
  </si>
  <si>
    <t xml:space="preserve">출금완료 : </t>
    <phoneticPr fontId="1" type="noConversion"/>
  </si>
  <si>
    <t xml:space="preserve">진행중 : </t>
    <phoneticPr fontId="1" type="noConversion"/>
  </si>
  <si>
    <t>Email</t>
    <phoneticPr fontId="1" type="noConversion"/>
  </si>
  <si>
    <t>Filename</t>
    <phoneticPr fontId="1" type="noConversion"/>
  </si>
  <si>
    <t>정산사인업</t>
    <phoneticPr fontId="1" type="noConversion"/>
  </si>
  <si>
    <t>정산모금액</t>
    <phoneticPr fontId="1" type="noConversion"/>
  </si>
  <si>
    <t>오버라이드</t>
    <phoneticPr fontId="1" type="noConversion"/>
  </si>
  <si>
    <t>교육비</t>
    <phoneticPr fontId="1" type="noConversion"/>
  </si>
  <si>
    <t>Tax(3.3%)</t>
    <phoneticPr fontId="1" type="noConversion"/>
  </si>
  <si>
    <t>실지급액</t>
    <phoneticPr fontId="1" type="noConversion"/>
  </si>
  <si>
    <t>급여액</t>
    <phoneticPr fontId="1" type="noConversion"/>
  </si>
  <si>
    <t xml:space="preserve">첫출금 정산급여 : </t>
    <phoneticPr fontId="1" type="noConversion"/>
  </si>
  <si>
    <t xml:space="preserve">오버라이드 비율 : </t>
    <phoneticPr fontId="1" type="noConversion"/>
  </si>
  <si>
    <t xml:space="preserve">인정 오버라이드 : </t>
    <phoneticPr fontId="1" type="noConversion"/>
  </si>
  <si>
    <t xml:space="preserve">인턴제외 전월 모금액 : </t>
    <phoneticPr fontId="1" type="noConversion"/>
  </si>
  <si>
    <t xml:space="preserve">최종 오버라이드 : </t>
    <phoneticPr fontId="1" type="noConversion"/>
  </si>
  <si>
    <t xml:space="preserve">인턴제외 급여계 : </t>
    <phoneticPr fontId="1" type="noConversion"/>
  </si>
  <si>
    <t xml:space="preserve">총 멤버 급여계 : </t>
    <phoneticPr fontId="1" type="noConversion"/>
  </si>
  <si>
    <t>팀인정월급액</t>
    <phoneticPr fontId="1" type="noConversion"/>
  </si>
  <si>
    <t>정산시점</t>
    <phoneticPr fontId="1" type="noConversion"/>
  </si>
  <si>
    <t>전월미정산</t>
    <phoneticPr fontId="1" type="noConversion"/>
  </si>
  <si>
    <t>최종정산액</t>
    <phoneticPr fontId="1" type="noConversion"/>
  </si>
  <si>
    <t>bonus</t>
    <phoneticPr fontId="4" type="noConversion"/>
  </si>
  <si>
    <t>보너스</t>
    <phoneticPr fontId="1" type="noConversion"/>
  </si>
  <si>
    <t>UQ0001</t>
    <phoneticPr fontId="1" type="noConversion"/>
  </si>
  <si>
    <t>UQ0204</t>
    <phoneticPr fontId="1" type="noConversion"/>
  </si>
  <si>
    <t>down_override</t>
    <phoneticPr fontId="1" type="noConversion"/>
  </si>
  <si>
    <t>Unsettled_Salary</t>
    <phoneticPr fontId="1" type="noConversion"/>
  </si>
  <si>
    <t>Memo</t>
    <phoneticPr fontId="1" type="noConversion"/>
  </si>
  <si>
    <t>final_override</t>
    <phoneticPr fontId="1" type="noConversion"/>
  </si>
  <si>
    <t>1일</t>
    <phoneticPr fontId="1" type="noConversion"/>
  </si>
  <si>
    <t>정산년도</t>
    <phoneticPr fontId="1" type="noConversion"/>
  </si>
  <si>
    <t>정산월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</si>
</sst>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₩&quot;#,##0;[Red]\-&quot;₩&quot;#,##0"/>
    <numFmt numFmtId="176" formatCode="&quot;₩&quot;#,##0"/>
    <numFmt numFmtId="177" formatCode="yyyy/mm/dd\ aaa"/>
    <numFmt numFmtId="178" formatCode="h:mm;@"/>
    <numFmt numFmtId="179" formatCode="&quot;₩&quot;#,##0_);[Red]\(&quot;₩&quot;#,##0\)"/>
    <numFmt numFmtId="180" formatCode="#,##0_ "/>
    <numFmt numFmtId="181" formatCode="0_);[Red]\(0\)"/>
    <numFmt numFmtId="182" formatCode="&quot;₩&quot;#,##0;[Red]\-&quot;₩&quot;#,##0;"/>
    <numFmt numFmtId="183" formatCode="#&quot; 건&quot;;#&quot; 건&quot;;&quot;0 건&quot;"/>
    <numFmt numFmtId="184" formatCode="&quot;₩&quot;#,##0.00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2"/>
      <scheme val="minor"/>
    </font>
    <font>
      <b/>
      <sz val="11"/>
      <name val="Arial"/>
      <family val="2"/>
    </font>
    <font>
      <sz val="8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i/>
      <sz val="10"/>
      <color rgb="FFFF0000"/>
      <name val="굴림"/>
      <family val="3"/>
      <charset val="129"/>
    </font>
    <font>
      <sz val="10"/>
      <name val="굴림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9" fontId="12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0" fillId="2" borderId="0" xfId="0" applyFill="1" applyAlignment="1"/>
    <xf numFmtId="176" fontId="0" fillId="2" borderId="0" xfId="0" applyNumberFormat="1" applyFill="1" applyAlignment="1"/>
    <xf numFmtId="176" fontId="0" fillId="0" borderId="0" xfId="0" applyNumberFormat="1">
      <alignment vertical="center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2" borderId="0" xfId="0" applyFill="1">
      <alignment vertical="center"/>
    </xf>
    <xf numFmtId="179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3" borderId="0" xfId="0" applyFill="1">
      <alignment vertical="center"/>
    </xf>
    <xf numFmtId="177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180" fontId="0" fillId="0" borderId="0" xfId="0" applyNumberFormat="1">
      <alignment vertical="center"/>
    </xf>
    <xf numFmtId="176" fontId="0" fillId="0" borderId="0" xfId="0" applyNumberFormat="1" applyAlignment="1">
      <alignment horizontal="right" vertical="center"/>
    </xf>
    <xf numFmtId="181" fontId="7" fillId="0" borderId="0" xfId="2" applyNumberFormat="1" applyFont="1">
      <alignment vertical="center"/>
    </xf>
    <xf numFmtId="0" fontId="9" fillId="0" borderId="0" xfId="2" applyFont="1">
      <alignment vertical="center"/>
    </xf>
    <xf numFmtId="6" fontId="7" fillId="0" borderId="0" xfId="2" applyNumberFormat="1" applyFont="1">
      <alignment vertical="center"/>
    </xf>
    <xf numFmtId="6" fontId="10" fillId="0" borderId="0" xfId="2" applyNumberFormat="1" applyFont="1">
      <alignment vertical="center"/>
    </xf>
    <xf numFmtId="0" fontId="10" fillId="0" borderId="0" xfId="2" applyFont="1">
      <alignment vertical="center"/>
    </xf>
    <xf numFmtId="176" fontId="0" fillId="2" borderId="0" xfId="0" applyNumberFormat="1" applyFill="1">
      <alignment vertical="center"/>
    </xf>
    <xf numFmtId="9" fontId="0" fillId="2" borderId="0" xfId="0" applyNumberFormat="1" applyFill="1">
      <alignment vertic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>
      <alignment vertical="center"/>
    </xf>
    <xf numFmtId="183" fontId="0" fillId="0" borderId="0" xfId="0" applyNumberFormat="1" applyAlignment="1">
      <alignment horizontal="left" vertical="center"/>
    </xf>
    <xf numFmtId="176" fontId="0" fillId="2" borderId="1" xfId="0" applyNumberFormat="1" applyFill="1" applyBorder="1" applyAlignment="1">
      <alignment horizontal="center" vertical="center"/>
    </xf>
    <xf numFmtId="6" fontId="0" fillId="0" borderId="0" xfId="0" applyNumberFormat="1">
      <alignment vertical="center"/>
    </xf>
    <xf numFmtId="6" fontId="13" fillId="0" borderId="0" xfId="2" applyNumberFormat="1" applyFont="1">
      <alignment vertical="center"/>
    </xf>
    <xf numFmtId="179" fontId="0" fillId="0" borderId="0" xfId="0" applyNumberFormat="1" applyAlignment="1">
      <alignment horizontal="right" vertical="center"/>
    </xf>
    <xf numFmtId="182" fontId="0" fillId="0" borderId="0" xfId="0" applyNumberFormat="1">
      <alignment vertical="center"/>
    </xf>
    <xf numFmtId="177" fontId="0" fillId="4" borderId="2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8" fontId="0" fillId="4" borderId="2" xfId="0" applyNumberFormat="1" applyFill="1" applyBorder="1" applyAlignment="1">
      <alignment horizontal="center" vertical="center"/>
    </xf>
    <xf numFmtId="176" fontId="0" fillId="4" borderId="2" xfId="0" applyNumberForma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  <xf numFmtId="177" fontId="0" fillId="5" borderId="2" xfId="0" applyNumberForma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178" fontId="0" fillId="5" borderId="2" xfId="0" applyNumberFormat="1" applyFill="1" applyBorder="1" applyAlignment="1">
      <alignment horizontal="center" vertical="center"/>
    </xf>
    <xf numFmtId="179" fontId="0" fillId="5" borderId="2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0" fontId="0" fillId="6" borderId="0" xfId="0" applyFill="1">
      <alignment vertical="center"/>
    </xf>
    <xf numFmtId="49" fontId="0" fillId="6" borderId="0" xfId="0" applyNumberFormat="1" applyFill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81" fontId="7" fillId="0" borderId="0" xfId="2" applyNumberFormat="1" applyFont="1" applyFill="1">
      <alignment vertical="center"/>
    </xf>
    <xf numFmtId="0" fontId="9" fillId="0" borderId="0" xfId="2" applyFont="1" applyFill="1">
      <alignment vertical="center"/>
    </xf>
    <xf numFmtId="6" fontId="7" fillId="0" borderId="0" xfId="2" applyNumberFormat="1" applyFont="1" applyFill="1">
      <alignment vertical="center"/>
    </xf>
    <xf numFmtId="6" fontId="10" fillId="0" borderId="0" xfId="2" applyNumberFormat="1" applyFont="1" applyFill="1">
      <alignment vertical="center"/>
    </xf>
    <xf numFmtId="0" fontId="0" fillId="0" borderId="0" xfId="0" applyFill="1">
      <alignment vertical="center"/>
    </xf>
    <xf numFmtId="0" fontId="7" fillId="0" borderId="0" xfId="2" applyNumberFormat="1" applyFont="1">
      <alignment vertical="center"/>
    </xf>
    <xf numFmtId="0" fontId="8" fillId="0" borderId="0" xfId="2" applyNumberFormat="1" applyFont="1" applyAlignment="1">
      <alignment horizontal="right" vertical="center"/>
    </xf>
    <xf numFmtId="0" fontId="8" fillId="0" borderId="0" xfId="2" applyNumberFormat="1" applyFont="1" applyFill="1" applyAlignment="1">
      <alignment horizontal="right" vertical="center"/>
    </xf>
    <xf numFmtId="184" fontId="0" fillId="0" borderId="0" xfId="0" applyNumberFormat="1">
      <alignment vertical="center"/>
    </xf>
    <xf numFmtId="0" fontId="3" fillId="0" borderId="0" xfId="1" applyFont="1" applyBorder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/>
    </xf>
    <xf numFmtId="0" fontId="14" fillId="0" borderId="0" xfId="1" applyFont="1" applyBorder="1" applyAlignment="1">
      <alignment horizontal="left" vertical="center"/>
    </xf>
    <xf numFmtId="0" fontId="10" fillId="0" borderId="0" xfId="1" applyFont="1" applyBorder="1" applyAlignment="1">
      <alignment horizontal="left" vertical="center"/>
    </xf>
    <xf numFmtId="49" fontId="14" fillId="0" borderId="0" xfId="1" applyNumberFormat="1" applyFont="1" applyBorder="1" applyAlignment="1">
      <alignment horizontal="left" vertical="center"/>
    </xf>
    <xf numFmtId="0" fontId="0" fillId="0" borderId="1" xfId="0" applyBorder="1">
      <alignment vertical="center"/>
    </xf>
    <xf numFmtId="0" fontId="0" fillId="7" borderId="1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11" fillId="0" borderId="0" xfId="0" applyNumberFormat="1" applyFont="1" applyAlignment="1">
      <alignment horizontal="right" vertical="center"/>
    </xf>
    <xf numFmtId="177" fontId="5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2" fontId="0" fillId="0" borderId="0" xfId="0" applyNumberFormat="1" applyAlignment="1">
      <alignment horizontal="right" vertical="center"/>
    </xf>
    <xf numFmtId="179" fontId="0" fillId="0" borderId="0" xfId="0" applyNumberFormat="1" applyAlignment="1">
      <alignment horizontal="right" vertical="center" indent="1"/>
    </xf>
    <xf numFmtId="0" fontId="0" fillId="0" borderId="0" xfId="0" applyBorder="1" applyAlignment="1">
      <alignment horizontal="center" vertical="center"/>
    </xf>
    <xf numFmtId="9" fontId="0" fillId="0" borderId="0" xfId="3" applyFont="1" applyAlignment="1">
      <alignment horizontal="right" vertical="center" indent="1"/>
    </xf>
  </cellXfs>
  <cellStyles count="4">
    <cellStyle name="백분율" xfId="3" builtinId="5"/>
    <cellStyle name="표준" xfId="0" builtinId="0"/>
    <cellStyle name="표준 2" xfId="1" xr:uid="{7C096069-A3DB-42D4-8BCF-4CE1978184D1}"/>
    <cellStyle name="표준 3" xfId="2" xr:uid="{409B7F1C-4C7A-4F80-B329-14350E446E7A}"/>
  </cellStyles>
  <dxfs count="5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돋움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돋움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돋움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</dxf>
    <dxf>
      <numFmt numFmtId="176" formatCode="&quot;₩&quot;#,##0"/>
    </dxf>
    <dxf>
      <numFmt numFmtId="176" formatCode="&quot;₩&quot;#,##0"/>
      <fill>
        <patternFill patternType="solid">
          <fgColor indexed="64"/>
          <bgColor theme="8" tint="0.79998168889431442"/>
        </patternFill>
      </fill>
    </dxf>
    <dxf>
      <numFmt numFmtId="176" formatCode="&quot;₩&quot;#,##0"/>
    </dxf>
    <dxf>
      <numFmt numFmtId="176" formatCode="&quot;₩&quot;#,##0"/>
    </dxf>
    <dxf>
      <numFmt numFmtId="13" formatCode="0%"/>
    </dxf>
    <dxf>
      <numFmt numFmtId="176" formatCode="&quot;₩&quot;#,##0"/>
    </dxf>
    <dxf>
      <numFmt numFmtId="176" formatCode="&quot;₩&quot;#,##0"/>
    </dxf>
    <dxf>
      <fill>
        <patternFill patternType="solid">
          <fgColor indexed="64"/>
          <bgColor theme="4" tint="0.79998168889431442"/>
        </patternFill>
      </fill>
    </dxf>
    <dxf>
      <numFmt numFmtId="30" formatCode="@"/>
    </dxf>
    <dxf>
      <numFmt numFmtId="176" formatCode="&quot;₩&quot;#,##0"/>
    </dxf>
    <dxf>
      <fill>
        <patternFill patternType="solid">
          <fgColor indexed="64"/>
          <bgColor theme="8" tint="0.79998168889431442"/>
        </patternFill>
      </fill>
      <alignment horizontal="general" vertical="bottom" textRotation="0" wrapText="0" indent="0" justifyLastLine="0" shrinkToFit="0" readingOrder="0"/>
    </dxf>
    <dxf>
      <numFmt numFmtId="176" formatCode="&quot;₩&quot;#,##0"/>
    </dxf>
    <dxf>
      <fill>
        <patternFill patternType="solid">
          <fgColor indexed="64"/>
          <bgColor theme="8" tint="0.79998168889431442"/>
        </patternFill>
      </fill>
      <alignment horizontal="general" vertical="bottom" textRotation="0" wrapText="0" indent="0" justifyLastLine="0" shrinkToFit="0" readingOrder="0"/>
    </dxf>
    <dxf>
      <numFmt numFmtId="176" formatCode="&quot;₩&quot;#,##0"/>
    </dxf>
    <dxf>
      <font>
        <color rgb="FF9C0006"/>
      </font>
      <fill>
        <patternFill>
          <bgColor rgb="FFFFC7CE"/>
        </patternFill>
      </fill>
    </dxf>
    <dxf>
      <fill>
        <patternFill>
          <bgColor rgb="FFFF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ABAB"/>
        </patternFill>
      </fill>
    </dxf>
    <dxf>
      <fill>
        <patternFill>
          <bgColor rgb="FF92D050"/>
        </patternFill>
      </fill>
    </dxf>
    <dxf>
      <fill>
        <patternFill>
          <bgColor rgb="FFD0EBB3"/>
        </patternFill>
      </fill>
    </dxf>
    <dxf>
      <fill>
        <patternFill>
          <bgColor rgb="FFC9A4E4"/>
        </patternFill>
      </fill>
    </dxf>
    <dxf>
      <fill>
        <patternFill>
          <bgColor rgb="FFFFED9F"/>
        </patternFill>
      </fill>
    </dxf>
    <dxf>
      <fill>
        <patternFill>
          <bgColor rgb="FF71C2FF"/>
        </patternFill>
      </fill>
    </dxf>
    <dxf>
      <fill>
        <patternFill>
          <bgColor rgb="FFBABABA"/>
        </patternFill>
      </fill>
    </dxf>
    <dxf>
      <fill>
        <patternFill>
          <bgColor rgb="FFFEF9E7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ABAB"/>
        </patternFill>
      </fill>
    </dxf>
    <dxf>
      <fill>
        <patternFill>
          <bgColor rgb="FF92D050"/>
        </patternFill>
      </fill>
    </dxf>
    <dxf>
      <fill>
        <patternFill>
          <bgColor rgb="FFD0EBB3"/>
        </patternFill>
      </fill>
    </dxf>
    <dxf>
      <fill>
        <patternFill>
          <bgColor rgb="FFC9A4E4"/>
        </patternFill>
      </fill>
    </dxf>
    <dxf>
      <fill>
        <patternFill>
          <bgColor rgb="FFFFED9F"/>
        </patternFill>
      </fill>
    </dxf>
    <dxf>
      <fill>
        <patternFill>
          <bgColor rgb="FF71C2FF"/>
        </patternFill>
      </fill>
    </dxf>
    <dxf>
      <fill>
        <patternFill>
          <bgColor rgb="FFBABABA"/>
        </patternFill>
      </fill>
    </dxf>
    <dxf>
      <fill>
        <patternFill>
          <bgColor rgb="FFFEF9E7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</dxfs>
  <tableStyles count="0" defaultTableStyle="TableStyleMedium2" defaultPivotStyle="PivotStyleLight16"/>
  <colors>
    <mruColors>
      <color rgb="FFFEF9E7"/>
      <color rgb="FFDDEBF7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530823-EEEE-4BD6-8D04-A14C50547544}" name="settlement_att" displayName="settlement_att" ref="A4:D6" totalsRowShown="0" headerRowDxfId="53">
  <autoFilter ref="A4:D6" xr:uid="{24530823-EEEE-4BD6-8D04-A14C50547544}"/>
  <tableColumns count="4">
    <tableColumn id="1" xr3:uid="{C54B0AB5-12E3-4211-AC4E-DC68F73F38B7}" name="FLID"/>
    <tableColumn id="2" xr3:uid="{ACE1479C-8F81-452D-AB71-68944BF18725}" name="FRID"/>
    <tableColumn id="3" xr3:uid="{1DDF22F6-1442-4898-BFBD-9B3AC91D2445}" name="FRName"/>
    <tableColumn id="4" xr3:uid="{C59BCD9A-0A58-41D6-896A-31C507BC11D5}" name="FRPosition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7578B74-2BB1-407E-A0EB-5D508073DA2C}" name="firstday_att" displayName="firstday_att" ref="H4:K6" totalsRowShown="0" headerRowDxfId="52">
  <autoFilter ref="H4:K6" xr:uid="{E7578B74-2BB1-407E-A0EB-5D508073DA2C}"/>
  <tableColumns count="4">
    <tableColumn id="1" xr3:uid="{6E93DA15-CD83-47EC-8B14-59D13CADEE9F}" name="FLID"/>
    <tableColumn id="2" xr3:uid="{374334C7-79B4-4783-B042-78BB0E4AD511}" name="FRID"/>
    <tableColumn id="3" xr3:uid="{B3C10080-521F-42B3-97AF-AD9B71B6E27A}" name="FRName"/>
    <tableColumn id="4" xr3:uid="{7AF2DCCA-5F26-4D56-9412-066A11B21FD4}" name="FRPosition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B26C0A-83CC-4ED5-89A5-C6C53DA32231}" name="표9" displayName="표9" ref="A1:H3" totalsRowShown="0" headerRowDxfId="0" headerRowCellStyle="표준 2">
  <autoFilter ref="A1:H3" xr:uid="{1EB26C0A-83CC-4ED5-89A5-C6C53DA32231}"/>
  <tableColumns count="8">
    <tableColumn id="1" xr3:uid="{07EBF113-7474-441C-AF25-3101AD888187}" name="사원번호" dataDxfId="8" dataCellStyle="표준 2"/>
    <tableColumn id="2" xr3:uid="{58230783-33AA-4F4A-8864-F443C157BB9B}" name="주민등록번호" dataDxfId="7" dataCellStyle="표준 2"/>
    <tableColumn id="3" xr3:uid="{429F1EDA-98CB-476C-B9A2-4B0AC7B9233A}" name="성명" dataDxfId="6" dataCellStyle="표준 2"/>
    <tableColumn id="4" xr3:uid="{0A14696D-5CC5-4FF7-B14F-1A1C4CE3B560}" name="급여통장 은행코드" dataDxfId="5" dataCellStyle="표준 2"/>
    <tableColumn id="5" xr3:uid="{D945EF4E-D723-48C3-85AF-BA2BE2BCDCDE}" name="급여통장 은행명" dataDxfId="4" dataCellStyle="표준 2"/>
    <tableColumn id="6" xr3:uid="{76B82E81-EFAC-4D1C-B15F-8300935457B2}" name="계좌번호" dataDxfId="3" dataCellStyle="표준 2"/>
    <tableColumn id="7" xr3:uid="{34BB1639-ABA5-457A-A7E4-3EF7F82B8E69}" name="예금주" dataDxfId="2" dataCellStyle="표준 2"/>
    <tableColumn id="8" xr3:uid="{0BE6BADB-3739-4057-A3D9-4EDF3FAA2428}" name="Email" dataDxfId="1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2FA066-D7A9-4D35-A685-1150AC83F1FF}" name="표3" displayName="표3" ref="A1:D3" totalsRowShown="0" headerRowDxfId="22">
  <autoFilter ref="A1:D3" xr:uid="{FA2FA066-D7A9-4D35-A685-1150AC83F1FF}"/>
  <tableColumns count="4">
    <tableColumn id="1" xr3:uid="{F0EC38FE-0390-4DB5-9D8A-DE139BBDD867}" name="FRID"/>
    <tableColumn id="2" xr3:uid="{4AFDAA98-2063-470E-8873-55833E2278A3}" name="FRName"/>
    <tableColumn id="3" xr3:uid="{8264501B-BC01-499A-8F40-14831CC47F6A}" name="Unsettled_Salary" dataDxfId="23"/>
    <tableColumn id="4" xr3:uid="{47D0859E-182C-4BE9-B6CB-3F65E98FDBB6}" name="Memo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F7D3206-E3D9-46AA-9FA7-A2F7BD518704}" name="표4" displayName="표4" ref="A1:D3" totalsRowShown="0" headerRowDxfId="20">
  <autoFilter ref="A1:D3" xr:uid="{3F7D3206-E3D9-46AA-9FA7-A2F7BD518704}"/>
  <tableColumns count="4">
    <tableColumn id="1" xr3:uid="{EC0CD3C4-E6A5-4661-AC4B-90496D22A54D}" name="frid"/>
    <tableColumn id="2" xr3:uid="{734A9BE1-6BE0-4C2C-92A1-2D96FE88C436}" name="frname"/>
    <tableColumn id="3" xr3:uid="{9710D7F3-254F-4490-A614-D5431CDAEC5F}" name="days"/>
    <tableColumn id="4" xr3:uid="{7BD7A9D3-04AA-4A5B-9A50-960A7217CF15}" name="fee" dataDxfId="21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5F7925F-8283-4AF5-8F2D-202D884A09DB}" name="표5" displayName="표5" ref="A1:C3" totalsRowShown="0">
  <autoFilter ref="A1:C3" xr:uid="{65F7925F-8283-4AF5-8F2D-202D884A09DB}"/>
  <tableColumns count="3">
    <tableColumn id="1" xr3:uid="{629A8DF6-B644-4DF8-B3DA-C3D1EA5FC0A1}" name="frid"/>
    <tableColumn id="2" xr3:uid="{2F6818D1-5B48-4534-A038-7A426420A3BE}" name="frname"/>
    <tableColumn id="3" xr3:uid="{562F3C74-5F66-4027-B6F3-B0E3376A8B95}" name="bonus" dataDxfId="19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07AA36-204E-48D9-BAE3-E958AC3899C6}" name="표6" displayName="표6" ref="A1:Q3" totalsRowShown="0" headerRowDxfId="17">
  <autoFilter ref="A1:Q3" xr:uid="{8307AA36-204E-48D9-BAE3-E958AC3899C6}"/>
  <tableColumns count="17">
    <tableColumn id="1" xr3:uid="{02CEF302-062F-429D-B99C-5F283E5602C7}" name="일자"/>
    <tableColumn id="2" xr3:uid="{D15103B8-0354-4DBB-A1F9-BD18D893CCDC}" name="시리얼"/>
    <tableColumn id="3" xr3:uid="{DE4A57D8-AEB2-4975-926D-C9A4BBA0FFA1}" name="사이트"/>
    <tableColumn id="4" xr3:uid="{F10C74BD-EC5B-4779-827E-5C3DCA728A2F}" name="시간"/>
    <tableColumn id="5" xr3:uid="{E067CC89-12EB-4D49-B644-B96D069097F8}" name="기관"/>
    <tableColumn id="6" xr3:uid="{44568A55-9F9D-4847-A6FE-142193858700}" name="나이"/>
    <tableColumn id="7" xr3:uid="{0E5BE100-7C50-4BCC-837E-169857E67BA4}" name="등록상태"/>
    <tableColumn id="8" xr3:uid="{DD1E7CF0-8BED-495D-9ED0-3645FE39A3A2}" name="등록약정액"/>
    <tableColumn id="9" xr3:uid="{28AD44C5-58B8-424E-BA63-524EE138CA7A}" name="출금상태"/>
    <tableColumn id="10" xr3:uid="{E0C4DB23-145B-458E-B7E3-F274F46F6A82}" name="출금액"/>
    <tableColumn id="11" xr3:uid="{3A351063-42EA-42CE-82F6-376BAF19D093}" name="정산급여"/>
    <tableColumn id="12" xr3:uid="{4992A551-7B8F-4B6C-92DE-222CD53D79FC}" name="직책"/>
    <tableColumn id="13" xr3:uid="{3DB01FF2-0894-4044-BF59-1D7DAD0F4807}" name="FRID"/>
    <tableColumn id="14" xr3:uid="{74D12459-DADA-45BD-BF9D-CF5C183D3A38}" name="FRName"/>
    <tableColumn id="15" xr3:uid="{0BBC3C41-6016-413E-99F1-1D165BB1A3AB}" name="treecode"/>
    <tableColumn id="16" xr3:uid="{E9B09C8F-8D01-4CCA-BC8D-C38A7C3EB4E2}" name="salarymonth" dataDxfId="18"/>
    <tableColumn id="17" xr3:uid="{88F4B1D9-3436-4029-83F6-16C6FAB5961D}" name="rate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DF82E3-A0DD-404F-BD2E-A4F60C70FFA5}" name="표7" displayName="표7" ref="A1:H3" totalsRowShown="0" headerRowDxfId="11">
  <autoFilter ref="A1:H3" xr:uid="{6FDF82E3-A0DD-404F-BD2E-A4F60C70FFA5}"/>
  <tableColumns count="8">
    <tableColumn id="1" xr3:uid="{E832856E-AD6E-480D-AFB5-C85BD598DCDA}" name="FRID"/>
    <tableColumn id="2" xr3:uid="{94ACA8FA-E7A7-434B-B5B6-3FCEF331E015}" name="FRName"/>
    <tableColumn id="3" xr3:uid="{90B986B9-DBA5-4574-AEF8-A274223B3A5B}" name="Position"/>
    <tableColumn id="4" xr3:uid="{DD02ACC0-E3EE-46E6-906D-17DECC3A33EF}" name="팀인정월급액" dataDxfId="16"/>
    <tableColumn id="5" xr3:uid="{7B33F0FA-9CAF-4620-AD15-C2DB53741C0D}" name="전월모금액" dataDxfId="15"/>
    <tableColumn id="6" xr3:uid="{2B6A726B-0CEE-4D8C-97D6-C87432DD0051}" name="비율" dataDxfId="14"/>
    <tableColumn id="7" xr3:uid="{6845EC25-B947-4F2F-87F0-9DE5F1B73188}" name="인정override" dataDxfId="13"/>
    <tableColumn id="8" xr3:uid="{A09825AF-9B5F-42E4-9A47-D708270F41C6}" name="final_override" dataDxfId="1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B50182-0CD6-42F4-A981-62F4F148E7C6}" name="표8" displayName="표8" ref="K1:M3" totalsRowShown="0" headerRowDxfId="9">
  <autoFilter ref="K1:M3" xr:uid="{4BB50182-0CD6-42F4-A981-62F4F148E7C6}"/>
  <tableColumns count="3">
    <tableColumn id="1" xr3:uid="{0A7BE3EE-AF60-4E2C-947B-886784EA1EBC}" name="FLID"/>
    <tableColumn id="2" xr3:uid="{AA0BEBB1-3121-4DB0-BC11-1BA2A37BD862}" name="FRID"/>
    <tableColumn id="3" xr3:uid="{9749DB3F-0A59-4BBE-A36F-ED2B44671B54}" name="down_override" dataDxfId="1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AF5B9-D11D-4E98-BF48-964C47A35012}">
  <sheetPr codeName="Sheet1">
    <tabColor theme="4" tint="0.59999389629810485"/>
  </sheetPr>
  <dimension ref="A1:L6"/>
  <sheetViews>
    <sheetView tabSelected="1" workbookViewId="0">
      <selection activeCell="F19" sqref="F19"/>
    </sheetView>
  </sheetViews>
  <sheetFormatPr defaultRowHeight="16.5" x14ac:dyDescent="0.3"/>
  <cols>
    <col min="3" max="3" width="10.25" customWidth="1"/>
    <col min="4" max="4" width="12.125" customWidth="1"/>
    <col min="10" max="10" width="10.25" customWidth="1"/>
    <col min="11" max="11" width="12.125" customWidth="1"/>
  </cols>
  <sheetData>
    <row r="1" spans="1:12" x14ac:dyDescent="0.3">
      <c r="A1" s="68" t="s">
        <v>74</v>
      </c>
      <c r="B1" s="69"/>
      <c r="C1" s="68" t="s">
        <v>75</v>
      </c>
      <c r="D1" s="69"/>
    </row>
    <row r="3" spans="1:12" x14ac:dyDescent="0.3">
      <c r="A3" s="70" t="s">
        <v>62</v>
      </c>
      <c r="B3" s="70"/>
      <c r="C3" s="70"/>
      <c r="D3" s="70"/>
      <c r="H3" s="70" t="s">
        <v>73</v>
      </c>
      <c r="I3" s="70"/>
      <c r="J3" s="70"/>
      <c r="K3" s="70"/>
    </row>
    <row r="4" spans="1:12" x14ac:dyDescent="0.3">
      <c r="A4" s="8" t="s">
        <v>26</v>
      </c>
      <c r="B4" s="8" t="s">
        <v>11</v>
      </c>
      <c r="C4" s="8" t="s">
        <v>12</v>
      </c>
      <c r="D4" s="8" t="s">
        <v>32</v>
      </c>
      <c r="H4" s="8" t="s">
        <v>26</v>
      </c>
      <c r="I4" s="8" t="s">
        <v>11</v>
      </c>
      <c r="J4" s="8" t="s">
        <v>12</v>
      </c>
      <c r="K4" s="8" t="s">
        <v>32</v>
      </c>
      <c r="L4" s="11" t="s">
        <v>35</v>
      </c>
    </row>
    <row r="5" spans="1:12" x14ac:dyDescent="0.3">
      <c r="L5" cm="1">
        <f t="array" ref="L5:L6">((firstday_att[FRPosition]="TL")+(firstday_att[FRPosition]="STL")+(firstday_att[FRPosition]="D")+(firstday_att[FRPosition]="SD"))*(COUNTIF(settlement_att[FLID],firstday_att[FRID])&gt;0)</f>
        <v>0</v>
      </c>
    </row>
    <row r="6" spans="1:12" x14ac:dyDescent="0.3">
      <c r="L6">
        <v>0</v>
      </c>
    </row>
  </sheetData>
  <mergeCells count="2">
    <mergeCell ref="A3:D3"/>
    <mergeCell ref="H3:K3"/>
  </mergeCells>
  <phoneticPr fontId="1" type="noConversion"/>
  <pageMargins left="0.7" right="0.7" top="0.75" bottom="0.75" header="0.3" footer="0.3"/>
  <pageSetup paperSize="9" orientation="portrait" horizontalDpi="300" verticalDpi="3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F5A4D-3C80-4A42-B36B-CE0BA9FCD7CD}">
  <sheetPr codeName="Sheet12">
    <tabColor theme="4" tint="0.59999389629810485"/>
  </sheetPr>
  <dimension ref="A1:N4"/>
  <sheetViews>
    <sheetView workbookViewId="0">
      <selection activeCell="G20" sqref="G20"/>
    </sheetView>
  </sheetViews>
  <sheetFormatPr defaultRowHeight="16.5" x14ac:dyDescent="0.3"/>
  <cols>
    <col min="3" max="3" width="11.5" customWidth="1"/>
    <col min="4" max="4" width="10.25" customWidth="1"/>
    <col min="5" max="5" width="12.375" customWidth="1"/>
    <col min="6" max="6" width="13.5" style="3" customWidth="1"/>
    <col min="7" max="7" width="13.625" style="3" bestFit="1" customWidth="1"/>
    <col min="8" max="8" width="11.875" style="3" customWidth="1"/>
    <col min="9" max="10" width="12.5" style="3" customWidth="1"/>
    <col min="11" max="12" width="14.875" style="3" bestFit="1" customWidth="1"/>
    <col min="13" max="13" width="12.375" style="3" bestFit="1" customWidth="1"/>
    <col min="14" max="14" width="14.875" style="3" bestFit="1" customWidth="1"/>
    <col min="16" max="18" width="10" customWidth="1"/>
  </cols>
  <sheetData>
    <row r="1" spans="1:14" x14ac:dyDescent="0.3">
      <c r="F1"/>
      <c r="G1"/>
      <c r="H1"/>
      <c r="I1"/>
      <c r="J1"/>
      <c r="K1"/>
      <c r="L1"/>
      <c r="M1"/>
      <c r="N1"/>
    </row>
    <row r="2" spans="1:14" x14ac:dyDescent="0.3">
      <c r="C2" s="49" t="s">
        <v>62</v>
      </c>
      <c r="D2">
        <f>COUNTIF(data!I:I,"출금완료")</f>
        <v>0</v>
      </c>
      <c r="E2" s="31">
        <f>SUMIF(data!I:I,"출금완료",data!J:J)</f>
        <v>0</v>
      </c>
      <c r="F2" s="31">
        <f>SUMIF(data!I:I,"출금완료",data!K:K)</f>
        <v>0</v>
      </c>
      <c r="G2" s="31">
        <f>SUM(override!H2:H1000)</f>
        <v>0</v>
      </c>
      <c r="H2" s="31">
        <f>SUM(training_fee!D2:D1000)</f>
        <v>0</v>
      </c>
      <c r="I2" s="31">
        <f>SUM(unsettled!C2:C1000)</f>
        <v>0</v>
      </c>
      <c r="J2" s="31">
        <f>SUM(bonus!C2:C1000)</f>
        <v>0</v>
      </c>
      <c r="K2" s="31">
        <f>F2+G2+H2+I2+J2</f>
        <v>0</v>
      </c>
      <c r="L2" s="31">
        <f>SUMIF(K5:K2000,"&gt;0")</f>
        <v>0</v>
      </c>
      <c r="M2" s="31" cm="1">
        <f t="array" ref="M2">SUM(ROUNDDOWN((L5:L1000)*3%,-1))+SUM(ROUNDDOWN((L5:L1000)*0.3%,-1))</f>
        <v>0</v>
      </c>
      <c r="N2" s="31">
        <f>L2-M2</f>
        <v>0</v>
      </c>
    </row>
    <row r="3" spans="1:14" x14ac:dyDescent="0.3">
      <c r="A3" s="71" t="s">
        <v>11</v>
      </c>
      <c r="B3" s="71" t="s">
        <v>12</v>
      </c>
      <c r="C3" s="71" t="s">
        <v>27</v>
      </c>
      <c r="D3" s="27" t="s">
        <v>47</v>
      </c>
      <c r="E3" s="27" t="s">
        <v>48</v>
      </c>
      <c r="F3" s="30" t="s">
        <v>53</v>
      </c>
      <c r="G3" s="27" t="s">
        <v>49</v>
      </c>
      <c r="H3" s="27" t="s">
        <v>50</v>
      </c>
      <c r="I3" s="27" t="s">
        <v>63</v>
      </c>
      <c r="J3" s="51" t="s">
        <v>66</v>
      </c>
      <c r="K3" s="27" t="s">
        <v>7</v>
      </c>
      <c r="L3" s="27" t="s">
        <v>64</v>
      </c>
      <c r="M3" s="27" t="s">
        <v>51</v>
      </c>
      <c r="N3" s="27" t="s">
        <v>52</v>
      </c>
    </row>
    <row r="4" spans="1:14" x14ac:dyDescent="0.3">
      <c r="A4" s="71"/>
      <c r="B4" s="71"/>
      <c r="C4" s="71"/>
      <c r="D4" s="28">
        <f>SUM(D5:D1000)</f>
        <v>0</v>
      </c>
      <c r="E4" s="28">
        <f t="shared" ref="E4:N4" si="0">SUM(E5:E1000)</f>
        <v>0</v>
      </c>
      <c r="F4" s="28">
        <f t="shared" si="0"/>
        <v>0</v>
      </c>
      <c r="G4" s="28">
        <f t="shared" si="0"/>
        <v>0</v>
      </c>
      <c r="H4" s="28">
        <f t="shared" si="0"/>
        <v>0</v>
      </c>
      <c r="I4" s="28">
        <f t="shared" si="0"/>
        <v>0</v>
      </c>
      <c r="J4" s="28">
        <f t="shared" si="0"/>
        <v>0</v>
      </c>
      <c r="K4" s="28">
        <f t="shared" si="0"/>
        <v>0</v>
      </c>
      <c r="L4" s="28">
        <f t="shared" si="0"/>
        <v>0</v>
      </c>
      <c r="M4" s="28">
        <f t="shared" si="0"/>
        <v>0</v>
      </c>
      <c r="N4" s="28">
        <f t="shared" si="0"/>
        <v>0</v>
      </c>
    </row>
  </sheetData>
  <mergeCells count="3">
    <mergeCell ref="A3:A4"/>
    <mergeCell ref="B3:B4"/>
    <mergeCell ref="C3:C4"/>
  </mergeCells>
  <phoneticPr fontId="1" type="noConversion"/>
  <conditionalFormatting sqref="D2:N2">
    <cfRule type="expression" dxfId="51" priority="2">
      <formula>D2&lt;&gt;D4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487DD-00FD-4C50-8AA7-2D687BEFE4DF}">
  <sheetPr codeName="Sheet8">
    <pageSetUpPr fitToPage="1"/>
  </sheetPr>
  <dimension ref="A1:P13"/>
  <sheetViews>
    <sheetView view="pageBreakPreview" zoomScale="85" zoomScaleNormal="100" zoomScaleSheetLayoutView="85" workbookViewId="0">
      <selection activeCell="M5" sqref="M5"/>
    </sheetView>
  </sheetViews>
  <sheetFormatPr defaultRowHeight="16.5" x14ac:dyDescent="0.3"/>
  <cols>
    <col min="1" max="1" width="13.875" style="15" bestFit="1" customWidth="1"/>
    <col min="2" max="2" width="12.125" style="14" customWidth="1"/>
    <col min="3" max="3" width="27.625" style="14" bestFit="1" customWidth="1"/>
    <col min="4" max="4" width="7.125" style="16" customWidth="1"/>
    <col min="5" max="5" width="9" style="14"/>
    <col min="6" max="6" width="6.25" style="14" customWidth="1"/>
    <col min="7" max="7" width="9" style="14"/>
    <col min="8" max="8" width="10.375" style="3" customWidth="1"/>
    <col min="9" max="9" width="9" style="48"/>
    <col min="10" max="10" width="9.125" style="3" bestFit="1" customWidth="1"/>
    <col min="11" max="11" width="10.625" style="3" bestFit="1" customWidth="1"/>
    <col min="12" max="12" width="9" style="14" customWidth="1"/>
    <col min="15" max="16" width="11.125" bestFit="1" customWidth="1"/>
  </cols>
  <sheetData>
    <row r="1" spans="1:16" ht="39" x14ac:dyDescent="0.3">
      <c r="A1" s="73" t="str">
        <f>setting!B1&amp;"년 "&amp;setting!D1&amp;"월 PROJECT-N 급여명세서"</f>
        <v>년 월 PROJECT-N 급여명세서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t="e">
        <f>AND(M2:M9)</f>
        <v>#N/A</v>
      </c>
    </row>
    <row r="2" spans="1:16" x14ac:dyDescent="0.3">
      <c r="A2" s="6"/>
      <c r="B2"/>
      <c r="C2"/>
      <c r="D2" s="7"/>
      <c r="E2"/>
      <c r="F2"/>
      <c r="I2"/>
      <c r="J2" s="19" t="str">
        <f>IF(K2=0,"","이월 (-)급여 : ")</f>
        <v/>
      </c>
      <c r="K2" s="75">
        <f>_xlfn.XLOOKUP(B5,unsettled!A:A,unsettled!C:C,0)</f>
        <v>0</v>
      </c>
      <c r="L2" s="75"/>
      <c r="M2" t="e">
        <f>K2=_xlfn.XLOOKUP(B5,종합!A:A,종합!I:I)</f>
        <v>#N/A</v>
      </c>
    </row>
    <row r="3" spans="1:16" x14ac:dyDescent="0.3">
      <c r="A3" s="6"/>
      <c r="B3"/>
      <c r="C3"/>
      <c r="D3" s="7"/>
      <c r="E3"/>
      <c r="F3"/>
      <c r="I3"/>
      <c r="J3" s="19" t="str">
        <f>IF(K3=0,"","신입교육비 : ")</f>
        <v/>
      </c>
      <c r="K3" s="75">
        <f>_xlfn.XLOOKUP(B5,training_fee!A:A,training_fee!D:D,0)</f>
        <v>0</v>
      </c>
      <c r="L3" s="75"/>
      <c r="M3" t="e">
        <f>K3=_xlfn.XLOOKUP(B5,종합!A:A,종합!H:H)</f>
        <v>#N/A</v>
      </c>
    </row>
    <row r="4" spans="1:16" x14ac:dyDescent="0.3">
      <c r="A4" s="6"/>
      <c r="B4"/>
      <c r="C4"/>
      <c r="D4" s="7"/>
      <c r="E4"/>
      <c r="F4"/>
      <c r="G4" s="53"/>
      <c r="I4"/>
      <c r="J4" s="52" t="str">
        <f>IF(K4=0,"","보너스 : ")</f>
        <v/>
      </c>
      <c r="K4" s="75">
        <f>_xlfn.XLOOKUP(B5,bonus!A:A,bonus!C:C,0)</f>
        <v>0</v>
      </c>
      <c r="L4" s="75"/>
      <c r="M4" t="e">
        <f>K4=_xlfn.XLOOKUP(B5,종합!A:A,종합!J:J)</f>
        <v>#N/A</v>
      </c>
    </row>
    <row r="5" spans="1:16" x14ac:dyDescent="0.3">
      <c r="A5" s="12" t="s">
        <v>36</v>
      </c>
      <c r="B5" s="39" t="s">
        <v>67</v>
      </c>
      <c r="C5"/>
      <c r="D5" s="7"/>
      <c r="E5"/>
      <c r="F5"/>
      <c r="I5"/>
      <c r="J5" s="13" t="s">
        <v>54</v>
      </c>
      <c r="K5" s="74">
        <f>SUMIF(I13:I2003,"출금완료",K13:K2003)</f>
        <v>0</v>
      </c>
      <c r="L5" s="74"/>
      <c r="M5" t="e">
        <f>K5=_xlfn.XLOOKUP(B5,종합!A:A,종합!F:F)</f>
        <v>#N/A</v>
      </c>
    </row>
    <row r="6" spans="1:16" x14ac:dyDescent="0.3">
      <c r="A6" s="12" t="s">
        <v>37</v>
      </c>
      <c r="B6" s="39" t="e">
        <f>_xlfn.XLOOKUP(B5,members!A:A,members!C:C)</f>
        <v>#N/A</v>
      </c>
      <c r="C6"/>
      <c r="D6" s="7"/>
      <c r="E6"/>
      <c r="F6"/>
      <c r="I6"/>
      <c r="J6" s="13" t="s">
        <v>39</v>
      </c>
      <c r="K6" s="74">
        <f>_xlfn.XLOOKUP(B5,override!A:A,override!H:H,0)</f>
        <v>0</v>
      </c>
      <c r="L6" s="74"/>
      <c r="M6" t="e">
        <f>K6=_xlfn.XLOOKUP(B5,종합!A:A,종합!G:G)</f>
        <v>#N/A</v>
      </c>
    </row>
    <row r="7" spans="1:16" x14ac:dyDescent="0.3">
      <c r="A7" s="12" t="s">
        <v>38</v>
      </c>
      <c r="B7" s="39" t="e">
        <f>_xlfn.XLOOKUP(B5,종합!A:A,종합!C:C)</f>
        <v>#N/A</v>
      </c>
      <c r="C7"/>
      <c r="D7" s="7"/>
      <c r="E7"/>
      <c r="F7"/>
      <c r="G7"/>
      <c r="H7" s="18"/>
      <c r="I7"/>
      <c r="J7" s="13" t="s">
        <v>42</v>
      </c>
      <c r="K7" s="74">
        <f>K2+K3+K4+K5+K6</f>
        <v>0</v>
      </c>
      <c r="L7" s="74"/>
      <c r="M7" t="e">
        <f>K7=_xlfn.XLOOKUP(B5,종합!A:A,종합!K:K)</f>
        <v>#N/A</v>
      </c>
    </row>
    <row r="8" spans="1:16" x14ac:dyDescent="0.3">
      <c r="A8" s="12"/>
      <c r="B8"/>
      <c r="C8"/>
      <c r="D8" s="7"/>
      <c r="E8"/>
      <c r="F8"/>
      <c r="G8" s="17" t="s">
        <v>43</v>
      </c>
      <c r="H8" s="29">
        <f>COUNTIF(I13:I1048576,"출금완료")</f>
        <v>0</v>
      </c>
      <c r="I8"/>
      <c r="J8" s="13" t="s">
        <v>40</v>
      </c>
      <c r="K8" s="74">
        <f>IF(K7&lt;0,0,ROUNDDOWN(K7*3%,-1) + ROUNDDOWN(K7*0.3%,-1))</f>
        <v>0</v>
      </c>
      <c r="L8" s="74"/>
      <c r="M8" t="e">
        <f>K8=_xlfn.XLOOKUP(B5,종합!A:A,종합!M:M)</f>
        <v>#N/A</v>
      </c>
    </row>
    <row r="9" spans="1:16" x14ac:dyDescent="0.3">
      <c r="A9" s="12"/>
      <c r="B9"/>
      <c r="C9"/>
      <c r="D9" s="7"/>
      <c r="E9"/>
      <c r="F9"/>
      <c r="G9" s="17" t="s">
        <v>44</v>
      </c>
      <c r="H9" s="29">
        <f>COUNTIF(I13:I1048576,"진행중")</f>
        <v>0</v>
      </c>
      <c r="I9"/>
      <c r="J9" s="13" t="s">
        <v>41</v>
      </c>
      <c r="K9" s="72">
        <f>IF(K7&lt;0,0,K7-K8)</f>
        <v>0</v>
      </c>
      <c r="L9" s="72"/>
      <c r="M9" t="e">
        <f>K9=_xlfn.XLOOKUP(B5,종합!A:A,종합!N:N)</f>
        <v>#N/A</v>
      </c>
    </row>
    <row r="10" spans="1:16" x14ac:dyDescent="0.3">
      <c r="A10" s="12"/>
      <c r="B10"/>
      <c r="C10"/>
      <c r="D10" s="7"/>
      <c r="E10"/>
      <c r="F10"/>
      <c r="G10"/>
      <c r="I10"/>
      <c r="L10"/>
    </row>
    <row r="11" spans="1:16" x14ac:dyDescent="0.3">
      <c r="A11" s="6"/>
      <c r="B11"/>
      <c r="C11"/>
      <c r="D11" s="7"/>
      <c r="E11"/>
      <c r="F11"/>
      <c r="G11"/>
      <c r="I11"/>
      <c r="L11"/>
    </row>
    <row r="12" spans="1:16" ht="17.25" thickBot="1" x14ac:dyDescent="0.35">
      <c r="A12" s="35" t="s">
        <v>0</v>
      </c>
      <c r="B12" s="36" t="s">
        <v>1</v>
      </c>
      <c r="C12" s="36" t="s">
        <v>13</v>
      </c>
      <c r="D12" s="37" t="s">
        <v>2</v>
      </c>
      <c r="E12" s="36" t="s">
        <v>3</v>
      </c>
      <c r="F12" s="36" t="s">
        <v>9</v>
      </c>
      <c r="G12" s="36" t="s">
        <v>4</v>
      </c>
      <c r="H12" s="38" t="s">
        <v>5</v>
      </c>
      <c r="I12" s="36" t="s">
        <v>8</v>
      </c>
      <c r="J12" s="38" t="s">
        <v>6</v>
      </c>
      <c r="K12" s="38" t="s">
        <v>7</v>
      </c>
      <c r="L12" s="36" t="s">
        <v>10</v>
      </c>
      <c r="O12" s="4"/>
      <c r="P12" s="4"/>
    </row>
    <row r="13" spans="1:16" ht="17.25" thickTop="1" x14ac:dyDescent="0.3">
      <c r="A13" s="15" t="str" cm="1">
        <f t="array" ref="A13">IFERROR(_xlfn._xlws.FILTER(data!A:L,data!M:M=B5),"내역없음")</f>
        <v>내역없음</v>
      </c>
    </row>
  </sheetData>
  <mergeCells count="9">
    <mergeCell ref="K9:L9"/>
    <mergeCell ref="A1:L1"/>
    <mergeCell ref="K5:L5"/>
    <mergeCell ref="K6:L6"/>
    <mergeCell ref="K7:L7"/>
    <mergeCell ref="K8:L8"/>
    <mergeCell ref="K2:L2"/>
    <mergeCell ref="K3:L3"/>
    <mergeCell ref="K4:L4"/>
  </mergeCells>
  <phoneticPr fontId="1" type="noConversion"/>
  <conditionalFormatting sqref="A13:L671">
    <cfRule type="expression" dxfId="50" priority="11">
      <formula>AND($A13&lt;&gt;"",$A14="")</formula>
    </cfRule>
    <cfRule type="expression" dxfId="49" priority="13">
      <formula>$A13&lt;&gt;$A14</formula>
    </cfRule>
  </conditionalFormatting>
  <conditionalFormatting sqref="A13:L1001">
    <cfRule type="expression" dxfId="48" priority="1">
      <formula>$I13="진행중"</formula>
    </cfRule>
    <cfRule type="expression" dxfId="47" priority="2">
      <formula>$I13="보류"</formula>
    </cfRule>
    <cfRule type="expression" dxfId="46" priority="3">
      <formula>$I13="금액미만"</formula>
    </cfRule>
    <cfRule type="expression" dxfId="45" priority="4">
      <formula>$I13="나이미만"</formula>
    </cfRule>
    <cfRule type="expression" dxfId="44" priority="5">
      <formula>$I13="정보오류"</formula>
    </cfRule>
    <cfRule type="expression" dxfId="43" priority="6">
      <formula>$I13="일시후원"</formula>
    </cfRule>
    <cfRule type="expression" dxfId="42" priority="7">
      <formula>$I13="기간한정"</formula>
    </cfRule>
    <cfRule type="expression" dxfId="41" priority="8">
      <formula>$I13="취소"</formula>
    </cfRule>
  </conditionalFormatting>
  <pageMargins left="0.70866141732283472" right="0.70866141732283472" top="0.74803149606299213" bottom="0.74803149606299213" header="0.31496062992125984" footer="0.31496062992125984"/>
  <pageSetup paperSize="9" scale="60" fitToHeight="0" orientation="portrait" horizontalDpi="300" verticalDpi="300" r:id="rId1"/>
  <headerFooter>
    <oddHeader>&amp;L&amp;G</oddHeader>
    <oddFooter>&amp;C&amp;P/&amp;N&amp;R&amp;G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B24E6-5D8E-4024-8FC0-35746D2E0262}">
  <sheetPr codeName="Sheet9">
    <pageSetUpPr fitToPage="1"/>
  </sheetPr>
  <dimension ref="A1:Q11"/>
  <sheetViews>
    <sheetView view="pageBreakPreview" zoomScale="85" zoomScaleNormal="100" zoomScaleSheetLayoutView="85" workbookViewId="0">
      <selection sqref="A1:N1"/>
    </sheetView>
  </sheetViews>
  <sheetFormatPr defaultRowHeight="16.5" x14ac:dyDescent="0.3"/>
  <cols>
    <col min="1" max="1" width="13.875" style="15" bestFit="1" customWidth="1"/>
    <col min="2" max="2" width="10.375" style="14" customWidth="1"/>
    <col min="3" max="3" width="30.25" style="14" bestFit="1" customWidth="1"/>
    <col min="4" max="4" width="6.375" style="16" customWidth="1"/>
    <col min="5" max="5" width="9" style="14"/>
    <col min="6" max="6" width="5.25" style="14" bestFit="1" customWidth="1"/>
    <col min="7" max="7" width="9" style="14"/>
    <col min="8" max="8" width="9.875" style="9" bestFit="1" customWidth="1"/>
    <col min="9" max="9" width="11.25" style="48" bestFit="1" customWidth="1"/>
    <col min="10" max="11" width="9.875" style="9" bestFit="1" customWidth="1"/>
    <col min="12" max="12" width="7.625" style="14" customWidth="1"/>
    <col min="13" max="14" width="9" style="14"/>
    <col min="16" max="16" width="13.25" customWidth="1"/>
    <col min="17" max="17" width="11.25" bestFit="1" customWidth="1"/>
  </cols>
  <sheetData>
    <row r="1" spans="1:17" ht="39" x14ac:dyDescent="0.3">
      <c r="A1" s="73" t="str">
        <f>setting!B1&amp;"년 "&amp;setting!D1&amp;"월 PROJECT-N 팀 출금명세서"</f>
        <v>년 월 PROJECT-N 팀 출금명세서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t="b">
        <f>AND(O2:O7)</f>
        <v>1</v>
      </c>
    </row>
    <row r="2" spans="1:17" x14ac:dyDescent="0.3">
      <c r="A2" s="6"/>
      <c r="B2"/>
      <c r="C2"/>
      <c r="D2" s="7"/>
      <c r="E2"/>
      <c r="F2"/>
      <c r="G2" s="77" t="str">
        <f>IF(G3="","","차하위멤버의 오버라이드")</f>
        <v/>
      </c>
      <c r="H2" s="77"/>
      <c r="I2" s="77"/>
      <c r="L2" s="17" t="s">
        <v>60</v>
      </c>
      <c r="M2" s="76">
        <f>SUMIF(I:I,"출금완료",K:K)</f>
        <v>0</v>
      </c>
      <c r="N2" s="76"/>
      <c r="O2" t="b">
        <f>M2=Q2</f>
        <v>1</v>
      </c>
      <c r="Q2" s="3">
        <f>SUMIFS(data!K:K,data!I:I,"출금완료",data!O:O,"*"&amp;B3&amp;"*")</f>
        <v>0</v>
      </c>
    </row>
    <row r="3" spans="1:17" x14ac:dyDescent="0.3">
      <c r="A3" s="12" t="s">
        <v>36</v>
      </c>
      <c r="B3" s="39" t="s">
        <v>68</v>
      </c>
      <c r="C3"/>
      <c r="D3" s="7"/>
      <c r="E3"/>
      <c r="F3"/>
      <c r="G3" t="str" cm="1">
        <f t="array" ref="G3">IFERROR(_xlfn._xlws.FILTER(override!A:B,override!#REF!=B3),"")</f>
        <v/>
      </c>
      <c r="I3" s="34" cm="1">
        <f t="array" ref="I3">IFERROR(_xlfn._xlws.FILTER(override!G:G,override!#REF!=B3),0)</f>
        <v>0</v>
      </c>
      <c r="L3" s="17" t="s">
        <v>59</v>
      </c>
      <c r="M3" s="76">
        <f>SUMIF(I:I,"출금완료",K:K)-SUMIFS(K:K,I:I,"출금완료",L:L,"INTERN")</f>
        <v>0</v>
      </c>
      <c r="N3" s="76"/>
      <c r="O3" t="b">
        <f>IF(P3="",M3=Q3,M3=P3)</f>
        <v>1</v>
      </c>
      <c r="P3" s="33" t="str" cm="1">
        <f t="array" ref="P3">TRANSPOSE(_xlfn.XLOOKUP(B3,override!A:A,override!D:G,""))</f>
        <v/>
      </c>
      <c r="Q3" s="3">
        <f>SUMIFS(data!K:K,data!L:L,"&lt;&gt;INTERN",data!I:I,"출금완료",data!O:O,"*"&amp;B3&amp;"*")</f>
        <v>0</v>
      </c>
    </row>
    <row r="4" spans="1:17" x14ac:dyDescent="0.3">
      <c r="A4" s="12" t="s">
        <v>37</v>
      </c>
      <c r="B4" s="39" t="e">
        <f>_xlfn.XLOOKUP(B3,members!A:A,members!C:C)</f>
        <v>#N/A</v>
      </c>
      <c r="C4"/>
      <c r="D4" s="7"/>
      <c r="E4"/>
      <c r="F4"/>
      <c r="G4"/>
      <c r="I4" s="34"/>
      <c r="L4" s="17" t="s">
        <v>57</v>
      </c>
      <c r="M4" s="76" cm="1">
        <f t="array" ref="M4">IFERROR(SUM(_xlfn._xlws.FILTER(H11:H10002,(YEAR(A11:A10002)=setting!#REF!)*(MONTH(A11:A10002)=setting!#REF!)*(G11:G10002="정기후원")*(L11:L10002&lt;&gt;"INTERN"))),0)</f>
        <v>0</v>
      </c>
      <c r="N4" s="76"/>
      <c r="O4" t="b">
        <f>IF(P4="",M4=Q4,M4=P4)</f>
        <v>1</v>
      </c>
      <c r="P4" s="33"/>
      <c r="Q4" s="3" cm="1">
        <f t="array" ref="Q4">IFERROR(SUM(_xlfn._xlws.FILTER(data!#REF!,(YEAR(data!#REF!)=setting!#REF!)*(MONTH(data!#REF!)=setting!#REF!)*(ISNUMBER(FIND(B3,data!#REF!)))*(data!#REF!="정기후원")*(data!#REF!&lt;&gt;"INTERN"))),0)</f>
        <v>0</v>
      </c>
    </row>
    <row r="5" spans="1:17" x14ac:dyDescent="0.3">
      <c r="A5" s="12" t="s">
        <v>38</v>
      </c>
      <c r="B5" s="39" t="e">
        <f>_xlfn.XLOOKUP(B3,종합!A:A,종합!C:C)</f>
        <v>#N/A</v>
      </c>
      <c r="C5"/>
      <c r="D5" s="7"/>
      <c r="E5"/>
      <c r="F5"/>
      <c r="G5"/>
      <c r="I5" s="34"/>
      <c r="L5" s="17" t="s">
        <v>55</v>
      </c>
      <c r="M5" s="78">
        <f>IF(COUNTIF(override!A:A,B3)=0,0,IF(B5="TL",5%,IF(B5="STL",10%,IF(M4&gt;=8000000,25%,20%))))</f>
        <v>0</v>
      </c>
      <c r="N5" s="78"/>
      <c r="O5" t="b">
        <f t="shared" ref="O5:O7" si="0">M5=P5</f>
        <v>1</v>
      </c>
      <c r="P5" s="50"/>
    </row>
    <row r="6" spans="1:17" x14ac:dyDescent="0.3">
      <c r="A6" s="6"/>
      <c r="B6"/>
      <c r="C6"/>
      <c r="D6" s="7"/>
      <c r="E6"/>
      <c r="F6"/>
      <c r="G6"/>
      <c r="I6" s="34"/>
      <c r="L6" s="17" t="s">
        <v>56</v>
      </c>
      <c r="M6" s="76">
        <f>M3*M5</f>
        <v>0</v>
      </c>
      <c r="N6" s="76"/>
      <c r="O6" t="b">
        <f t="shared" si="0"/>
        <v>1</v>
      </c>
      <c r="P6" s="33"/>
    </row>
    <row r="7" spans="1:17" x14ac:dyDescent="0.3">
      <c r="A7" s="6"/>
      <c r="B7"/>
      <c r="C7"/>
      <c r="D7" s="7"/>
      <c r="E7"/>
      <c r="F7"/>
      <c r="G7"/>
      <c r="I7" s="34"/>
      <c r="L7" s="17" t="s">
        <v>58</v>
      </c>
      <c r="M7" s="76">
        <f>M6-SUM(I3:I7)+I9</f>
        <v>0</v>
      </c>
      <c r="N7" s="76"/>
      <c r="O7" t="b">
        <f t="shared" si="0"/>
        <v>1</v>
      </c>
      <c r="P7" s="33"/>
    </row>
    <row r="8" spans="1:17" x14ac:dyDescent="0.3">
      <c r="A8" s="6"/>
      <c r="B8"/>
      <c r="C8"/>
      <c r="D8" s="7"/>
      <c r="E8"/>
      <c r="F8"/>
      <c r="G8" s="70" t="str">
        <f>IF(B3="AM0001","하위 브랜치 급여계 * 5%","")</f>
        <v/>
      </c>
      <c r="H8" s="70"/>
      <c r="I8" s="70"/>
      <c r="L8" s="17"/>
      <c r="M8" s="33"/>
      <c r="N8" s="33"/>
    </row>
    <row r="9" spans="1:17" x14ac:dyDescent="0.3">
      <c r="A9" s="6"/>
      <c r="B9"/>
      <c r="C9"/>
      <c r="D9" s="7"/>
      <c r="E9"/>
      <c r="F9"/>
      <c r="G9" t="str">
        <f>IF(B3="AM0001","HA0001","")</f>
        <v/>
      </c>
      <c r="I9" s="34">
        <f>IFERROR(_xlfn.XLOOKUP(G9,override!A:A,override!D:D)*5%,0)</f>
        <v>0</v>
      </c>
      <c r="L9" s="17"/>
      <c r="M9" s="33"/>
      <c r="N9" s="33"/>
    </row>
    <row r="10" spans="1:17" ht="17.25" thickBot="1" x14ac:dyDescent="0.35">
      <c r="A10" s="41" t="s">
        <v>0</v>
      </c>
      <c r="B10" s="42" t="s">
        <v>1</v>
      </c>
      <c r="C10" s="42" t="s">
        <v>13</v>
      </c>
      <c r="D10" s="43" t="s">
        <v>2</v>
      </c>
      <c r="E10" s="42" t="s">
        <v>3</v>
      </c>
      <c r="F10" s="42" t="s">
        <v>9</v>
      </c>
      <c r="G10" s="42" t="s">
        <v>4</v>
      </c>
      <c r="H10" s="44" t="s">
        <v>5</v>
      </c>
      <c r="I10" s="42" t="s">
        <v>8</v>
      </c>
      <c r="J10" s="44" t="s">
        <v>6</v>
      </c>
      <c r="K10" s="44" t="s">
        <v>7</v>
      </c>
      <c r="L10" s="42" t="s">
        <v>10</v>
      </c>
      <c r="M10" s="45" t="s">
        <v>11</v>
      </c>
      <c r="N10" s="45" t="s">
        <v>12</v>
      </c>
    </row>
    <row r="11" spans="1:17" ht="17.25" thickTop="1" x14ac:dyDescent="0.3">
      <c r="A11" s="15" t="e" cm="1" vm="1">
        <f t="array" ref="A11">_xlfn._xlws.SORT(_xlfn._xlws.FILTER(data!A:N,ISNUMBER(FIND(B3,data!O:O))),13)</f>
        <v>#VALUE!</v>
      </c>
    </row>
  </sheetData>
  <mergeCells count="9">
    <mergeCell ref="M6:N6"/>
    <mergeCell ref="M7:N7"/>
    <mergeCell ref="G2:I2"/>
    <mergeCell ref="G8:I8"/>
    <mergeCell ref="A1:N1"/>
    <mergeCell ref="M2:N2"/>
    <mergeCell ref="M3:N3"/>
    <mergeCell ref="M4:N4"/>
    <mergeCell ref="M5:N5"/>
  </mergeCells>
  <phoneticPr fontId="1" type="noConversion"/>
  <conditionalFormatting sqref="G8:I8">
    <cfRule type="expression" dxfId="40" priority="14">
      <formula>G8&lt;&gt;""</formula>
    </cfRule>
  </conditionalFormatting>
  <conditionalFormatting sqref="G2:I2">
    <cfRule type="expression" dxfId="39" priority="13">
      <formula>G2&lt;&gt;""</formula>
    </cfRule>
  </conditionalFormatting>
  <conditionalFormatting sqref="A11:N2537">
    <cfRule type="expression" dxfId="38" priority="11">
      <formula>$M11&lt;&gt;$M12</formula>
    </cfRule>
    <cfRule type="expression" dxfId="37" priority="12">
      <formula>$A11&lt;&gt;$A12</formula>
    </cfRule>
  </conditionalFormatting>
  <conditionalFormatting sqref="A11:N2000">
    <cfRule type="expression" dxfId="36" priority="1">
      <formula>$I11="진행중"</formula>
    </cfRule>
    <cfRule type="expression" dxfId="35" priority="2">
      <formula>$I11="보류"</formula>
    </cfRule>
    <cfRule type="expression" dxfId="34" priority="3">
      <formula>$I11="금액미만"</formula>
    </cfRule>
    <cfRule type="expression" dxfId="33" priority="4">
      <formula>$I11="나이미만"</formula>
    </cfRule>
    <cfRule type="expression" dxfId="32" priority="5">
      <formula>$I11="정보오류"</formula>
    </cfRule>
    <cfRule type="expression" dxfId="31" priority="6">
      <formula>$I11="일시후원"</formula>
    </cfRule>
    <cfRule type="expression" dxfId="30" priority="7">
      <formula>$I11="기간한정"</formula>
    </cfRule>
    <cfRule type="expression" dxfId="29" priority="8">
      <formula>$I11="취소"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3" fitToHeight="0" orientation="portrait" r:id="rId1"/>
  <headerFooter>
    <oddHeader>&amp;L&amp;G</oddHeader>
    <oddFooter>&amp;C&amp;P/&amp;N&amp;R&amp;G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952E2-7E38-48A4-8860-20C4BBB9E8DB}">
  <sheetPr codeName="Sheet10"/>
  <dimension ref="A1:K267"/>
  <sheetViews>
    <sheetView workbookViewId="0">
      <selection activeCell="F1" sqref="F1"/>
    </sheetView>
  </sheetViews>
  <sheetFormatPr defaultRowHeight="16.5" x14ac:dyDescent="0.3"/>
  <cols>
    <col min="4" max="4" width="6.75" style="59" customWidth="1"/>
    <col min="5" max="5" width="14.125" style="61" bestFit="1" customWidth="1"/>
    <col min="6" max="6" width="15.625" style="54" bestFit="1" customWidth="1"/>
    <col min="7" max="7" width="6.75" style="55" bestFit="1" customWidth="1"/>
    <col min="8" max="8" width="15.5" style="56" bestFit="1" customWidth="1"/>
    <col min="9" max="9" width="10.125" style="56" bestFit="1" customWidth="1"/>
    <col min="10" max="10" width="15.625" style="57" bestFit="1" customWidth="1"/>
    <col min="11" max="11" width="12.25" style="57" bestFit="1" customWidth="1"/>
    <col min="12" max="16384" width="9" style="58"/>
  </cols>
  <sheetData>
    <row r="1" spans="1:11" customFormat="1" x14ac:dyDescent="0.3">
      <c r="D1" s="40"/>
      <c r="E1" s="40" t="str">
        <f>""</f>
        <v/>
      </c>
      <c r="F1" s="32" t="e" vm="2">
        <f>SUM(F2:F10000)</f>
        <v>#VALUE!</v>
      </c>
      <c r="G1" t="e" vm="2">
        <f>F1=종합!N4</f>
        <v>#VALUE!</v>
      </c>
      <c r="J1" s="32" t="e" vm="2">
        <f>SUM(J2:J10000)</f>
        <v>#VALUE!</v>
      </c>
      <c r="K1" t="e" vm="2">
        <f>J1=종합!L4</f>
        <v>#VALUE!</v>
      </c>
    </row>
    <row r="2" spans="1:11" customFormat="1" x14ac:dyDescent="0.3">
      <c r="A2" t="e" cm="1" vm="1">
        <f t="array" ref="A2">_xlfn._xlws.FILTER(종합!A5:B1000,종합!A5:A1000&lt;&gt;"")</f>
        <v>#VALUE!</v>
      </c>
      <c r="D2" s="59" t="e" cm="1" vm="2">
        <f t="array" ref="D2">_xlfn.XLOOKUP(_xlfn._xlws.FILTER(A2:A1000,A2:A1000&lt;&gt;""),members!A:A,members!D:D,"NoData")</f>
        <v>#VALUE!</v>
      </c>
      <c r="E2" s="60" t="e" cm="1" vm="2">
        <f t="array" ref="E2">_xlfn.XLOOKUP(_xlfn._xlws.FILTER(A2:A1000,A2:A1000&lt;&gt;""),members!A:A,members!F:F,"NoData")</f>
        <v>#VALUE!</v>
      </c>
      <c r="F2" s="20" t="e" vm="2">
        <f>IF(A2="","",J2-ROUNDDOWN(J2*3%,-1)-ROUNDDOWN(J2*0.3%,-1))</f>
        <v>#VALUE!</v>
      </c>
      <c r="G2" s="21" t="e" cm="1" vm="2">
        <f t="array" ref="G2">_xlfn.XLOOKUP(_xlfn._xlws.FILTER(A2:A1000,A2:A1000&lt;&gt;""),members!A:A,members!G:G,"NoData")</f>
        <v>#VALUE!</v>
      </c>
      <c r="H2" s="22" t="e" cm="1" vm="2">
        <f t="array" ref="H2">IF(_xlfn._xlws.FILTER(A2:A1000,A2:A1000&lt;&gt;"")="","","㈜프로젝트엔급여")</f>
        <v>#VALUE!</v>
      </c>
      <c r="I2" s="22" t="e" cm="1" vm="2">
        <f t="array" ref="I2">IF(_xlfn._xlws.FILTER(A2:A1000,A2:A1000&lt;&gt;"")="","","업무커미션")</f>
        <v>#VALUE!</v>
      </c>
      <c r="J2" s="23" t="e" cm="1" vm="2">
        <f t="array" ref="J2">_xlfn.XLOOKUP(_xlfn._xlws.FILTER(A2:A1000,A2:A1000&lt;&gt;""),종합!A:A,종합!L:L)</f>
        <v>#VALUE!</v>
      </c>
      <c r="K2" s="24" t="e" cm="1" vm="2">
        <f t="array" ref="K2">_xlfn.XLOOKUP(_xlfn._xlws.FILTER(A2:A1000,A2:A1000&lt;&gt;""),members!A:A,members!B:B,"NoData")</f>
        <v>#VALUE!</v>
      </c>
    </row>
    <row r="3" spans="1:11" customFormat="1" x14ac:dyDescent="0.3">
      <c r="D3" s="59"/>
      <c r="E3" s="60"/>
      <c r="F3" s="20" t="str">
        <f t="shared" ref="F3:F66" si="0">IF(A3="","",J3-ROUNDDOWN(J3*3%,-1)-ROUNDDOWN(J3*0.3%,-1))</f>
        <v/>
      </c>
      <c r="G3" s="21"/>
      <c r="H3" s="22"/>
      <c r="I3" s="22"/>
      <c r="J3" s="23"/>
      <c r="K3" s="24"/>
    </row>
    <row r="4" spans="1:11" customFormat="1" x14ac:dyDescent="0.3">
      <c r="D4" s="59"/>
      <c r="E4" s="60"/>
      <c r="F4" s="20" t="str">
        <f t="shared" si="0"/>
        <v/>
      </c>
      <c r="G4" s="21"/>
      <c r="H4" s="22"/>
      <c r="I4" s="22"/>
      <c r="J4" s="23"/>
      <c r="K4" s="24"/>
    </row>
    <row r="5" spans="1:11" customFormat="1" x14ac:dyDescent="0.3">
      <c r="D5" s="59"/>
      <c r="E5" s="60"/>
      <c r="F5" s="20" t="str">
        <f t="shared" si="0"/>
        <v/>
      </c>
      <c r="G5" s="21"/>
      <c r="H5" s="22"/>
      <c r="I5" s="22"/>
      <c r="J5" s="23"/>
      <c r="K5" s="24"/>
    </row>
    <row r="6" spans="1:11" customFormat="1" x14ac:dyDescent="0.3">
      <c r="D6" s="59"/>
      <c r="E6" s="60"/>
      <c r="F6" s="20" t="str">
        <f t="shared" si="0"/>
        <v/>
      </c>
      <c r="G6" s="21"/>
      <c r="H6" s="22"/>
      <c r="I6" s="22"/>
      <c r="J6" s="23"/>
      <c r="K6" s="24"/>
    </row>
    <row r="7" spans="1:11" customFormat="1" x14ac:dyDescent="0.3">
      <c r="D7" s="59"/>
      <c r="E7" s="60"/>
      <c r="F7" s="20" t="str">
        <f t="shared" si="0"/>
        <v/>
      </c>
      <c r="G7" s="21"/>
      <c r="H7" s="22"/>
      <c r="I7" s="22"/>
      <c r="J7" s="23"/>
      <c r="K7" s="24"/>
    </row>
    <row r="8" spans="1:11" customFormat="1" x14ac:dyDescent="0.3">
      <c r="D8" s="59"/>
      <c r="E8" s="60"/>
      <c r="F8" s="20" t="str">
        <f t="shared" si="0"/>
        <v/>
      </c>
      <c r="G8" s="21"/>
      <c r="H8" s="22"/>
      <c r="I8" s="22"/>
      <c r="J8" s="23"/>
      <c r="K8" s="24"/>
    </row>
    <row r="9" spans="1:11" customFormat="1" x14ac:dyDescent="0.3">
      <c r="D9" s="59"/>
      <c r="E9" s="60"/>
      <c r="F9" s="20" t="str">
        <f t="shared" si="0"/>
        <v/>
      </c>
      <c r="G9" s="21"/>
      <c r="H9" s="22"/>
      <c r="I9" s="22"/>
      <c r="J9" s="23"/>
      <c r="K9" s="24"/>
    </row>
    <row r="10" spans="1:11" customFormat="1" x14ac:dyDescent="0.3">
      <c r="D10" s="59"/>
      <c r="E10" s="60"/>
      <c r="F10" s="20" t="str">
        <f t="shared" si="0"/>
        <v/>
      </c>
      <c r="G10" s="21"/>
      <c r="H10" s="22"/>
      <c r="I10" s="22"/>
      <c r="J10" s="23"/>
      <c r="K10" s="24"/>
    </row>
    <row r="11" spans="1:11" customFormat="1" x14ac:dyDescent="0.3">
      <c r="D11" s="59"/>
      <c r="E11" s="60"/>
      <c r="F11" s="20" t="str">
        <f t="shared" si="0"/>
        <v/>
      </c>
      <c r="G11" s="21"/>
      <c r="H11" s="22"/>
      <c r="I11" s="22"/>
      <c r="J11" s="23"/>
      <c r="K11" s="24"/>
    </row>
    <row r="12" spans="1:11" customFormat="1" x14ac:dyDescent="0.3">
      <c r="D12" s="59"/>
      <c r="E12" s="60"/>
      <c r="F12" s="20" t="str">
        <f t="shared" si="0"/>
        <v/>
      </c>
      <c r="G12" s="21"/>
      <c r="H12" s="22"/>
      <c r="I12" s="22"/>
      <c r="J12" s="23"/>
      <c r="K12" s="24"/>
    </row>
    <row r="13" spans="1:11" customFormat="1" x14ac:dyDescent="0.3">
      <c r="D13" s="59"/>
      <c r="E13" s="60"/>
      <c r="F13" s="20" t="str">
        <f t="shared" si="0"/>
        <v/>
      </c>
      <c r="G13" s="21"/>
      <c r="H13" s="22"/>
      <c r="I13" s="22"/>
      <c r="J13" s="23"/>
      <c r="K13" s="24"/>
    </row>
    <row r="14" spans="1:11" customFormat="1" x14ac:dyDescent="0.3">
      <c r="D14" s="59"/>
      <c r="E14" s="60"/>
      <c r="F14" s="20" t="str">
        <f t="shared" si="0"/>
        <v/>
      </c>
      <c r="G14" s="21"/>
      <c r="H14" s="22"/>
      <c r="I14" s="22"/>
      <c r="J14" s="23"/>
      <c r="K14" s="24"/>
    </row>
    <row r="15" spans="1:11" customFormat="1" x14ac:dyDescent="0.3">
      <c r="D15" s="59"/>
      <c r="E15" s="60"/>
      <c r="F15" s="20" t="str">
        <f t="shared" si="0"/>
        <v/>
      </c>
      <c r="G15" s="21"/>
      <c r="H15" s="22"/>
      <c r="I15" s="22"/>
      <c r="J15" s="23"/>
      <c r="K15" s="24"/>
    </row>
    <row r="16" spans="1:11" customFormat="1" x14ac:dyDescent="0.3">
      <c r="D16" s="59"/>
      <c r="E16" s="60"/>
      <c r="F16" s="20" t="str">
        <f t="shared" si="0"/>
        <v/>
      </c>
      <c r="G16" s="21"/>
      <c r="H16" s="22"/>
      <c r="I16" s="22"/>
      <c r="J16" s="23"/>
      <c r="K16" s="24"/>
    </row>
    <row r="17" spans="4:11" customFormat="1" x14ac:dyDescent="0.3">
      <c r="D17" s="59"/>
      <c r="E17" s="60"/>
      <c r="F17" s="20" t="str">
        <f t="shared" si="0"/>
        <v/>
      </c>
      <c r="G17" s="21"/>
      <c r="H17" s="22"/>
      <c r="I17" s="22"/>
      <c r="J17" s="23"/>
      <c r="K17" s="24"/>
    </row>
    <row r="18" spans="4:11" customFormat="1" x14ac:dyDescent="0.3">
      <c r="D18" s="59"/>
      <c r="E18" s="60"/>
      <c r="F18" s="20" t="str">
        <f t="shared" si="0"/>
        <v/>
      </c>
      <c r="G18" s="21"/>
      <c r="H18" s="22"/>
      <c r="I18" s="22"/>
      <c r="J18" s="23"/>
      <c r="K18" s="24"/>
    </row>
    <row r="19" spans="4:11" customFormat="1" x14ac:dyDescent="0.3">
      <c r="D19" s="59"/>
      <c r="E19" s="60"/>
      <c r="F19" s="20" t="str">
        <f t="shared" si="0"/>
        <v/>
      </c>
      <c r="G19" s="21"/>
      <c r="H19" s="22"/>
      <c r="I19" s="22"/>
      <c r="J19" s="23"/>
      <c r="K19" s="24"/>
    </row>
    <row r="20" spans="4:11" customFormat="1" x14ac:dyDescent="0.3">
      <c r="D20" s="59"/>
      <c r="E20" s="60"/>
      <c r="F20" s="20" t="str">
        <f t="shared" si="0"/>
        <v/>
      </c>
      <c r="G20" s="21"/>
      <c r="H20" s="22"/>
      <c r="I20" s="22"/>
      <c r="J20" s="23"/>
      <c r="K20" s="24"/>
    </row>
    <row r="21" spans="4:11" customFormat="1" x14ac:dyDescent="0.3">
      <c r="D21" s="59"/>
      <c r="E21" s="60"/>
      <c r="F21" s="20" t="str">
        <f t="shared" si="0"/>
        <v/>
      </c>
      <c r="G21" s="21"/>
      <c r="H21" s="22"/>
      <c r="I21" s="22"/>
      <c r="J21" s="23"/>
      <c r="K21" s="24"/>
    </row>
    <row r="22" spans="4:11" customFormat="1" x14ac:dyDescent="0.3">
      <c r="D22" s="59"/>
      <c r="E22" s="60"/>
      <c r="F22" s="20" t="str">
        <f t="shared" si="0"/>
        <v/>
      </c>
      <c r="G22" s="21"/>
      <c r="H22" s="22"/>
      <c r="I22" s="22"/>
      <c r="J22" s="23"/>
      <c r="K22" s="24"/>
    </row>
    <row r="23" spans="4:11" customFormat="1" x14ac:dyDescent="0.3">
      <c r="D23" s="59"/>
      <c r="E23" s="60"/>
      <c r="F23" s="20" t="str">
        <f t="shared" si="0"/>
        <v/>
      </c>
      <c r="G23" s="21"/>
      <c r="H23" s="22"/>
      <c r="I23" s="22"/>
      <c r="J23" s="23"/>
      <c r="K23" s="24"/>
    </row>
    <row r="24" spans="4:11" customFormat="1" x14ac:dyDescent="0.3">
      <c r="D24" s="59"/>
      <c r="E24" s="60"/>
      <c r="F24" s="20" t="str">
        <f t="shared" si="0"/>
        <v/>
      </c>
      <c r="G24" s="21"/>
      <c r="H24" s="22"/>
      <c r="I24" s="22"/>
      <c r="J24" s="23"/>
      <c r="K24" s="24"/>
    </row>
    <row r="25" spans="4:11" customFormat="1" x14ac:dyDescent="0.3">
      <c r="D25" s="59"/>
      <c r="E25" s="60"/>
      <c r="F25" s="20" t="str">
        <f t="shared" si="0"/>
        <v/>
      </c>
      <c r="G25" s="21"/>
      <c r="H25" s="22"/>
      <c r="I25" s="22"/>
      <c r="J25" s="23"/>
      <c r="K25" s="24"/>
    </row>
    <row r="26" spans="4:11" customFormat="1" x14ac:dyDescent="0.3">
      <c r="D26" s="59"/>
      <c r="E26" s="60"/>
      <c r="F26" s="20" t="str">
        <f t="shared" si="0"/>
        <v/>
      </c>
      <c r="G26" s="21"/>
      <c r="H26" s="22"/>
      <c r="I26" s="22"/>
      <c r="J26" s="23"/>
      <c r="K26" s="24"/>
    </row>
    <row r="27" spans="4:11" customFormat="1" x14ac:dyDescent="0.3">
      <c r="D27" s="59"/>
      <c r="E27" s="60"/>
      <c r="F27" s="20" t="str">
        <f t="shared" si="0"/>
        <v/>
      </c>
      <c r="G27" s="21"/>
      <c r="H27" s="22"/>
      <c r="I27" s="22"/>
      <c r="J27" s="23"/>
      <c r="K27" s="24"/>
    </row>
    <row r="28" spans="4:11" customFormat="1" x14ac:dyDescent="0.3">
      <c r="D28" s="59"/>
      <c r="E28" s="60"/>
      <c r="F28" s="20" t="str">
        <f t="shared" si="0"/>
        <v/>
      </c>
      <c r="G28" s="21"/>
      <c r="H28" s="22"/>
      <c r="I28" s="22"/>
      <c r="J28" s="23"/>
      <c r="K28" s="24"/>
    </row>
    <row r="29" spans="4:11" customFormat="1" x14ac:dyDescent="0.3">
      <c r="D29" s="59"/>
      <c r="E29" s="60"/>
      <c r="F29" s="20" t="str">
        <f t="shared" si="0"/>
        <v/>
      </c>
      <c r="G29" s="21"/>
      <c r="H29" s="22"/>
      <c r="I29" s="22"/>
      <c r="J29" s="23"/>
      <c r="K29" s="24"/>
    </row>
    <row r="30" spans="4:11" customFormat="1" x14ac:dyDescent="0.3">
      <c r="D30" s="59"/>
      <c r="E30" s="60"/>
      <c r="F30" s="20" t="str">
        <f t="shared" si="0"/>
        <v/>
      </c>
      <c r="G30" s="21"/>
      <c r="H30" s="22"/>
      <c r="I30" s="22"/>
      <c r="J30" s="23"/>
      <c r="K30" s="24"/>
    </row>
    <row r="31" spans="4:11" customFormat="1" x14ac:dyDescent="0.3">
      <c r="D31" s="59"/>
      <c r="E31" s="60"/>
      <c r="F31" s="20" t="str">
        <f t="shared" si="0"/>
        <v/>
      </c>
      <c r="G31" s="21"/>
      <c r="H31" s="22"/>
      <c r="I31" s="22"/>
      <c r="J31" s="23"/>
      <c r="K31" s="24"/>
    </row>
    <row r="32" spans="4:11" customFormat="1" x14ac:dyDescent="0.3">
      <c r="D32" s="59"/>
      <c r="E32" s="60"/>
      <c r="F32" s="20" t="str">
        <f t="shared" si="0"/>
        <v/>
      </c>
      <c r="G32" s="21"/>
      <c r="H32" s="22"/>
      <c r="I32" s="22"/>
      <c r="J32" s="23"/>
      <c r="K32" s="24"/>
    </row>
    <row r="33" spans="4:11" customFormat="1" x14ac:dyDescent="0.3">
      <c r="D33" s="59"/>
      <c r="E33" s="60"/>
      <c r="F33" s="20" t="str">
        <f t="shared" si="0"/>
        <v/>
      </c>
      <c r="G33" s="21"/>
      <c r="H33" s="22"/>
      <c r="I33" s="22"/>
      <c r="J33" s="23"/>
      <c r="K33" s="24"/>
    </row>
    <row r="34" spans="4:11" customFormat="1" x14ac:dyDescent="0.3">
      <c r="D34" s="59"/>
      <c r="E34" s="60"/>
      <c r="F34" s="20" t="str">
        <f t="shared" si="0"/>
        <v/>
      </c>
      <c r="G34" s="21"/>
      <c r="H34" s="22"/>
      <c r="I34" s="22"/>
      <c r="J34" s="23"/>
      <c r="K34" s="24"/>
    </row>
    <row r="35" spans="4:11" customFormat="1" x14ac:dyDescent="0.3">
      <c r="D35" s="59"/>
      <c r="E35" s="60"/>
      <c r="F35" s="20" t="str">
        <f t="shared" si="0"/>
        <v/>
      </c>
      <c r="G35" s="21"/>
      <c r="H35" s="22"/>
      <c r="I35" s="22"/>
      <c r="J35" s="23"/>
      <c r="K35" s="24"/>
    </row>
    <row r="36" spans="4:11" customFormat="1" x14ac:dyDescent="0.3">
      <c r="D36" s="59"/>
      <c r="E36" s="60"/>
      <c r="F36" s="20" t="str">
        <f t="shared" si="0"/>
        <v/>
      </c>
      <c r="G36" s="21"/>
      <c r="H36" s="22"/>
      <c r="I36" s="22"/>
      <c r="J36" s="23"/>
      <c r="K36" s="24"/>
    </row>
    <row r="37" spans="4:11" customFormat="1" x14ac:dyDescent="0.3">
      <c r="D37" s="59"/>
      <c r="E37" s="60"/>
      <c r="F37" s="20" t="str">
        <f t="shared" si="0"/>
        <v/>
      </c>
      <c r="G37" s="21"/>
      <c r="H37" s="22"/>
      <c r="I37" s="22"/>
      <c r="J37" s="23"/>
      <c r="K37" s="24"/>
    </row>
    <row r="38" spans="4:11" customFormat="1" x14ac:dyDescent="0.3">
      <c r="D38" s="59"/>
      <c r="E38" s="60"/>
      <c r="F38" s="20" t="str">
        <f t="shared" si="0"/>
        <v/>
      </c>
      <c r="G38" s="21"/>
      <c r="H38" s="22"/>
      <c r="I38" s="22"/>
      <c r="J38" s="23"/>
      <c r="K38" s="24"/>
    </row>
    <row r="39" spans="4:11" customFormat="1" x14ac:dyDescent="0.3">
      <c r="D39" s="59"/>
      <c r="E39" s="60"/>
      <c r="F39" s="20" t="str">
        <f t="shared" si="0"/>
        <v/>
      </c>
      <c r="G39" s="21"/>
      <c r="H39" s="22"/>
      <c r="I39" s="22"/>
      <c r="J39" s="23"/>
      <c r="K39" s="24"/>
    </row>
    <row r="40" spans="4:11" customFormat="1" x14ac:dyDescent="0.3">
      <c r="D40" s="59"/>
      <c r="E40" s="60"/>
      <c r="F40" s="20" t="str">
        <f t="shared" si="0"/>
        <v/>
      </c>
      <c r="G40" s="21"/>
      <c r="H40" s="22"/>
      <c r="I40" s="22"/>
      <c r="J40" s="23"/>
      <c r="K40" s="24"/>
    </row>
    <row r="41" spans="4:11" customFormat="1" x14ac:dyDescent="0.3">
      <c r="D41" s="59"/>
      <c r="E41" s="60"/>
      <c r="F41" s="20" t="str">
        <f t="shared" si="0"/>
        <v/>
      </c>
      <c r="G41" s="21"/>
      <c r="H41" s="22"/>
      <c r="I41" s="22"/>
      <c r="J41" s="23"/>
      <c r="K41" s="24"/>
    </row>
    <row r="42" spans="4:11" customFormat="1" x14ac:dyDescent="0.3">
      <c r="D42" s="59"/>
      <c r="E42" s="60"/>
      <c r="F42" s="20" t="str">
        <f t="shared" si="0"/>
        <v/>
      </c>
      <c r="G42" s="21"/>
      <c r="H42" s="22"/>
      <c r="I42" s="22"/>
      <c r="J42" s="23"/>
      <c r="K42" s="24"/>
    </row>
    <row r="43" spans="4:11" customFormat="1" x14ac:dyDescent="0.3">
      <c r="D43" s="59"/>
      <c r="E43" s="60"/>
      <c r="F43" s="20" t="str">
        <f t="shared" si="0"/>
        <v/>
      </c>
      <c r="G43" s="21"/>
      <c r="H43" s="22"/>
      <c r="I43" s="22"/>
      <c r="J43" s="23"/>
      <c r="K43" s="24"/>
    </row>
    <row r="44" spans="4:11" customFormat="1" x14ac:dyDescent="0.3">
      <c r="D44" s="59"/>
      <c r="E44" s="60"/>
      <c r="F44" s="20" t="str">
        <f t="shared" si="0"/>
        <v/>
      </c>
      <c r="G44" s="21"/>
      <c r="H44" s="22"/>
      <c r="I44" s="22"/>
      <c r="J44" s="23"/>
      <c r="K44" s="24"/>
    </row>
    <row r="45" spans="4:11" customFormat="1" x14ac:dyDescent="0.3">
      <c r="D45" s="59"/>
      <c r="E45" s="60"/>
      <c r="F45" s="20" t="str">
        <f t="shared" si="0"/>
        <v/>
      </c>
      <c r="G45" s="21"/>
      <c r="H45" s="22"/>
      <c r="I45" s="22"/>
      <c r="J45" s="23"/>
      <c r="K45" s="24"/>
    </row>
    <row r="46" spans="4:11" customFormat="1" x14ac:dyDescent="0.3">
      <c r="D46" s="59"/>
      <c r="E46" s="60"/>
      <c r="F46" s="20" t="str">
        <f t="shared" si="0"/>
        <v/>
      </c>
      <c r="G46" s="21"/>
      <c r="H46" s="22"/>
      <c r="I46" s="22"/>
      <c r="J46" s="23"/>
      <c r="K46" s="24"/>
    </row>
    <row r="47" spans="4:11" customFormat="1" x14ac:dyDescent="0.3">
      <c r="D47" s="59"/>
      <c r="E47" s="60"/>
      <c r="F47" s="20" t="str">
        <f t="shared" si="0"/>
        <v/>
      </c>
      <c r="G47" s="21"/>
      <c r="H47" s="22"/>
      <c r="I47" s="22"/>
      <c r="J47" s="23"/>
      <c r="K47" s="24"/>
    </row>
    <row r="48" spans="4:11" customFormat="1" x14ac:dyDescent="0.3">
      <c r="D48" s="59"/>
      <c r="E48" s="60"/>
      <c r="F48" s="20" t="str">
        <f t="shared" si="0"/>
        <v/>
      </c>
      <c r="G48" s="21"/>
      <c r="H48" s="22"/>
      <c r="I48" s="22"/>
      <c r="J48" s="23"/>
      <c r="K48" s="24"/>
    </row>
    <row r="49" spans="4:11" customFormat="1" x14ac:dyDescent="0.3">
      <c r="D49" s="59"/>
      <c r="E49" s="60"/>
      <c r="F49" s="20" t="str">
        <f t="shared" si="0"/>
        <v/>
      </c>
      <c r="G49" s="21"/>
      <c r="H49" s="22"/>
      <c r="I49" s="22"/>
      <c r="J49" s="23"/>
      <c r="K49" s="24"/>
    </row>
    <row r="50" spans="4:11" customFormat="1" x14ac:dyDescent="0.3">
      <c r="D50" s="59"/>
      <c r="E50" s="60"/>
      <c r="F50" s="20" t="str">
        <f t="shared" si="0"/>
        <v/>
      </c>
      <c r="G50" s="21"/>
      <c r="H50" s="22"/>
      <c r="I50" s="22"/>
      <c r="J50" s="23"/>
      <c r="K50" s="24"/>
    </row>
    <row r="51" spans="4:11" customFormat="1" x14ac:dyDescent="0.3">
      <c r="D51" s="59"/>
      <c r="E51" s="60"/>
      <c r="F51" s="20" t="str">
        <f t="shared" si="0"/>
        <v/>
      </c>
      <c r="G51" s="21"/>
      <c r="H51" s="22"/>
      <c r="I51" s="22"/>
      <c r="J51" s="23"/>
      <c r="K51" s="24"/>
    </row>
    <row r="52" spans="4:11" customFormat="1" x14ac:dyDescent="0.3">
      <c r="D52" s="59"/>
      <c r="E52" s="60"/>
      <c r="F52" s="20" t="str">
        <f t="shared" si="0"/>
        <v/>
      </c>
      <c r="G52" s="21"/>
      <c r="H52" s="22"/>
      <c r="I52" s="22"/>
      <c r="J52" s="23"/>
      <c r="K52" s="24"/>
    </row>
    <row r="53" spans="4:11" customFormat="1" x14ac:dyDescent="0.3">
      <c r="D53" s="59"/>
      <c r="E53" s="60"/>
      <c r="F53" s="20" t="str">
        <f t="shared" si="0"/>
        <v/>
      </c>
      <c r="G53" s="21"/>
      <c r="H53" s="22"/>
      <c r="I53" s="22"/>
      <c r="J53" s="23"/>
      <c r="K53" s="24"/>
    </row>
    <row r="54" spans="4:11" customFormat="1" x14ac:dyDescent="0.3">
      <c r="D54" s="59"/>
      <c r="E54" s="60"/>
      <c r="F54" s="20" t="str">
        <f t="shared" si="0"/>
        <v/>
      </c>
      <c r="G54" s="21"/>
      <c r="H54" s="22"/>
      <c r="I54" s="22"/>
      <c r="J54" s="23"/>
      <c r="K54" s="24"/>
    </row>
    <row r="55" spans="4:11" customFormat="1" x14ac:dyDescent="0.3">
      <c r="D55" s="59"/>
      <c r="E55" s="60"/>
      <c r="F55" s="20" t="str">
        <f t="shared" si="0"/>
        <v/>
      </c>
      <c r="G55" s="21"/>
      <c r="H55" s="22"/>
      <c r="I55" s="22"/>
      <c r="J55" s="23"/>
      <c r="K55" s="24"/>
    </row>
    <row r="56" spans="4:11" customFormat="1" x14ac:dyDescent="0.3">
      <c r="D56" s="59"/>
      <c r="E56" s="60"/>
      <c r="F56" s="20" t="str">
        <f t="shared" si="0"/>
        <v/>
      </c>
      <c r="G56" s="21"/>
      <c r="H56" s="22"/>
      <c r="I56" s="22"/>
      <c r="J56" s="23"/>
      <c r="K56" s="24"/>
    </row>
    <row r="57" spans="4:11" customFormat="1" x14ac:dyDescent="0.3">
      <c r="D57" s="59"/>
      <c r="E57" s="60"/>
      <c r="F57" s="20" t="str">
        <f t="shared" si="0"/>
        <v/>
      </c>
      <c r="G57" s="21"/>
      <c r="H57" s="22"/>
      <c r="I57" s="22"/>
      <c r="J57" s="23"/>
      <c r="K57" s="24"/>
    </row>
    <row r="58" spans="4:11" customFormat="1" x14ac:dyDescent="0.3">
      <c r="D58" s="59"/>
      <c r="E58" s="60"/>
      <c r="F58" s="20" t="str">
        <f t="shared" si="0"/>
        <v/>
      </c>
      <c r="G58" s="21"/>
      <c r="H58" s="22"/>
      <c r="I58" s="22"/>
      <c r="J58" s="23"/>
      <c r="K58" s="24"/>
    </row>
    <row r="59" spans="4:11" customFormat="1" x14ac:dyDescent="0.3">
      <c r="D59" s="59"/>
      <c r="E59" s="60"/>
      <c r="F59" s="20" t="str">
        <f t="shared" si="0"/>
        <v/>
      </c>
      <c r="G59" s="21"/>
      <c r="H59" s="22"/>
      <c r="I59" s="22"/>
      <c r="J59" s="23"/>
      <c r="K59" s="24"/>
    </row>
    <row r="60" spans="4:11" customFormat="1" x14ac:dyDescent="0.3">
      <c r="D60" s="59"/>
      <c r="E60" s="60"/>
      <c r="F60" s="20" t="str">
        <f t="shared" si="0"/>
        <v/>
      </c>
      <c r="G60" s="21"/>
      <c r="H60" s="22"/>
      <c r="I60" s="22"/>
      <c r="J60" s="23"/>
      <c r="K60" s="24"/>
    </row>
    <row r="61" spans="4:11" customFormat="1" x14ac:dyDescent="0.3">
      <c r="D61" s="59"/>
      <c r="E61" s="60"/>
      <c r="F61" s="20" t="str">
        <f t="shared" si="0"/>
        <v/>
      </c>
      <c r="G61" s="21"/>
      <c r="H61" s="22"/>
      <c r="I61" s="22"/>
      <c r="J61" s="23"/>
      <c r="K61" s="24"/>
    </row>
    <row r="62" spans="4:11" customFormat="1" x14ac:dyDescent="0.3">
      <c r="D62" s="59"/>
      <c r="E62" s="60"/>
      <c r="F62" s="20" t="str">
        <f t="shared" si="0"/>
        <v/>
      </c>
      <c r="G62" s="21"/>
      <c r="H62" s="22"/>
      <c r="I62" s="22"/>
      <c r="J62" s="23"/>
      <c r="K62" s="24"/>
    </row>
    <row r="63" spans="4:11" customFormat="1" x14ac:dyDescent="0.3">
      <c r="D63" s="59"/>
      <c r="E63" s="60"/>
      <c r="F63" s="20" t="str">
        <f t="shared" si="0"/>
        <v/>
      </c>
      <c r="G63" s="21"/>
      <c r="H63" s="22"/>
      <c r="I63" s="22"/>
      <c r="J63" s="23"/>
      <c r="K63" s="24"/>
    </row>
    <row r="64" spans="4:11" customFormat="1" x14ac:dyDescent="0.3">
      <c r="D64" s="59"/>
      <c r="E64" s="60"/>
      <c r="F64" s="20" t="str">
        <f t="shared" si="0"/>
        <v/>
      </c>
      <c r="G64" s="21"/>
      <c r="H64" s="22"/>
      <c r="I64" s="22"/>
      <c r="J64" s="23"/>
      <c r="K64" s="24"/>
    </row>
    <row r="65" spans="4:11" customFormat="1" x14ac:dyDescent="0.3">
      <c r="D65" s="59"/>
      <c r="E65" s="60"/>
      <c r="F65" s="20" t="str">
        <f t="shared" si="0"/>
        <v/>
      </c>
      <c r="G65" s="21"/>
      <c r="H65" s="22"/>
      <c r="I65" s="22"/>
      <c r="J65" s="23"/>
      <c r="K65" s="24"/>
    </row>
    <row r="66" spans="4:11" customFormat="1" x14ac:dyDescent="0.3">
      <c r="D66" s="59"/>
      <c r="E66" s="60"/>
      <c r="F66" s="20" t="str">
        <f t="shared" si="0"/>
        <v/>
      </c>
      <c r="G66" s="21"/>
      <c r="H66" s="22"/>
      <c r="I66" s="22"/>
      <c r="J66" s="23"/>
      <c r="K66" s="24"/>
    </row>
    <row r="67" spans="4:11" customFormat="1" x14ac:dyDescent="0.3">
      <c r="D67" s="59"/>
      <c r="E67" s="60"/>
      <c r="F67" s="20" t="str">
        <f t="shared" ref="F67:F130" si="1">IF(A67="","",J67-ROUNDDOWN(J67*3%,-1)-ROUNDDOWN(J67*0.3%,-1))</f>
        <v/>
      </c>
      <c r="G67" s="21"/>
      <c r="H67" s="22"/>
      <c r="I67" s="22"/>
      <c r="J67" s="23"/>
      <c r="K67" s="24"/>
    </row>
    <row r="68" spans="4:11" customFormat="1" x14ac:dyDescent="0.3">
      <c r="D68" s="59"/>
      <c r="E68" s="60"/>
      <c r="F68" s="20" t="str">
        <f t="shared" si="1"/>
        <v/>
      </c>
      <c r="G68" s="21"/>
      <c r="H68" s="22"/>
      <c r="I68" s="22"/>
      <c r="J68" s="23"/>
      <c r="K68" s="24"/>
    </row>
    <row r="69" spans="4:11" customFormat="1" x14ac:dyDescent="0.3">
      <c r="D69" s="59"/>
      <c r="E69" s="60"/>
      <c r="F69" s="20" t="str">
        <f t="shared" si="1"/>
        <v/>
      </c>
      <c r="G69" s="21"/>
      <c r="H69" s="22"/>
      <c r="I69" s="22"/>
      <c r="J69" s="23"/>
      <c r="K69" s="24"/>
    </row>
    <row r="70" spans="4:11" customFormat="1" x14ac:dyDescent="0.3">
      <c r="D70" s="59"/>
      <c r="E70" s="60"/>
      <c r="F70" s="20" t="str">
        <f t="shared" si="1"/>
        <v/>
      </c>
      <c r="G70" s="21"/>
      <c r="H70" s="22"/>
      <c r="I70" s="22"/>
      <c r="J70" s="23"/>
      <c r="K70" s="24"/>
    </row>
    <row r="71" spans="4:11" customFormat="1" x14ac:dyDescent="0.3">
      <c r="D71" s="59"/>
      <c r="E71" s="60"/>
      <c r="F71" s="20" t="str">
        <f t="shared" si="1"/>
        <v/>
      </c>
      <c r="G71" s="21"/>
      <c r="H71" s="22"/>
      <c r="I71" s="22"/>
      <c r="J71" s="23"/>
      <c r="K71" s="24"/>
    </row>
    <row r="72" spans="4:11" customFormat="1" x14ac:dyDescent="0.3">
      <c r="D72" s="59"/>
      <c r="E72" s="60"/>
      <c r="F72" s="20" t="str">
        <f t="shared" si="1"/>
        <v/>
      </c>
      <c r="G72" s="21"/>
      <c r="H72" s="22"/>
      <c r="I72" s="22"/>
      <c r="J72" s="23"/>
      <c r="K72" s="24"/>
    </row>
    <row r="73" spans="4:11" customFormat="1" x14ac:dyDescent="0.3">
      <c r="D73" s="59"/>
      <c r="E73" s="60"/>
      <c r="F73" s="20" t="str">
        <f t="shared" si="1"/>
        <v/>
      </c>
      <c r="G73" s="21"/>
      <c r="H73" s="22"/>
      <c r="I73" s="22"/>
      <c r="J73" s="23"/>
      <c r="K73" s="24"/>
    </row>
    <row r="74" spans="4:11" customFormat="1" x14ac:dyDescent="0.3">
      <c r="D74" s="59"/>
      <c r="E74" s="60"/>
      <c r="F74" s="20" t="str">
        <f t="shared" si="1"/>
        <v/>
      </c>
      <c r="G74" s="21"/>
      <c r="H74" s="22"/>
      <c r="I74" s="22"/>
      <c r="J74" s="23"/>
      <c r="K74" s="24"/>
    </row>
    <row r="75" spans="4:11" customFormat="1" x14ac:dyDescent="0.3">
      <c r="D75" s="59"/>
      <c r="E75" s="60"/>
      <c r="F75" s="20" t="str">
        <f t="shared" si="1"/>
        <v/>
      </c>
      <c r="G75" s="21"/>
      <c r="H75" s="22"/>
      <c r="I75" s="22"/>
      <c r="J75" s="23"/>
      <c r="K75" s="24"/>
    </row>
    <row r="76" spans="4:11" customFormat="1" x14ac:dyDescent="0.3">
      <c r="D76" s="59"/>
      <c r="E76" s="60"/>
      <c r="F76" s="20" t="str">
        <f t="shared" si="1"/>
        <v/>
      </c>
      <c r="G76" s="21"/>
      <c r="H76" s="22"/>
      <c r="I76" s="22"/>
      <c r="J76" s="23"/>
      <c r="K76" s="24"/>
    </row>
    <row r="77" spans="4:11" customFormat="1" x14ac:dyDescent="0.3">
      <c r="D77" s="59"/>
      <c r="E77" s="60"/>
      <c r="F77" s="20" t="str">
        <f t="shared" si="1"/>
        <v/>
      </c>
      <c r="G77" s="21"/>
      <c r="H77" s="22"/>
      <c r="I77" s="22"/>
      <c r="J77" s="23"/>
      <c r="K77" s="24"/>
    </row>
    <row r="78" spans="4:11" customFormat="1" x14ac:dyDescent="0.3">
      <c r="D78" s="59"/>
      <c r="E78" s="60"/>
      <c r="F78" s="20" t="str">
        <f t="shared" si="1"/>
        <v/>
      </c>
      <c r="G78" s="21"/>
      <c r="H78" s="22"/>
      <c r="I78" s="22"/>
      <c r="J78" s="23"/>
      <c r="K78" s="24"/>
    </row>
    <row r="79" spans="4:11" customFormat="1" x14ac:dyDescent="0.3">
      <c r="D79" s="59"/>
      <c r="E79" s="60"/>
      <c r="F79" s="20" t="str">
        <f t="shared" si="1"/>
        <v/>
      </c>
      <c r="G79" s="21"/>
      <c r="H79" s="22"/>
      <c r="I79" s="22"/>
      <c r="J79" s="23"/>
      <c r="K79" s="24"/>
    </row>
    <row r="80" spans="4:11" customFormat="1" x14ac:dyDescent="0.3">
      <c r="D80" s="59"/>
      <c r="E80" s="60"/>
      <c r="F80" s="20" t="str">
        <f t="shared" si="1"/>
        <v/>
      </c>
      <c r="G80" s="21"/>
      <c r="H80" s="22"/>
      <c r="I80" s="22"/>
      <c r="J80" s="23"/>
      <c r="K80" s="24"/>
    </row>
    <row r="81" spans="4:11" customFormat="1" x14ac:dyDescent="0.3">
      <c r="D81" s="59"/>
      <c r="E81" s="60"/>
      <c r="F81" s="20" t="str">
        <f t="shared" si="1"/>
        <v/>
      </c>
      <c r="G81" s="21"/>
      <c r="H81" s="22"/>
      <c r="I81" s="22"/>
      <c r="J81" s="23"/>
      <c r="K81" s="24"/>
    </row>
    <row r="82" spans="4:11" customFormat="1" x14ac:dyDescent="0.3">
      <c r="D82" s="59"/>
      <c r="E82" s="60"/>
      <c r="F82" s="20" t="str">
        <f t="shared" si="1"/>
        <v/>
      </c>
      <c r="G82" s="21"/>
      <c r="H82" s="22"/>
      <c r="I82" s="22"/>
      <c r="J82" s="23"/>
      <c r="K82" s="24"/>
    </row>
    <row r="83" spans="4:11" customFormat="1" x14ac:dyDescent="0.3">
      <c r="D83" s="59"/>
      <c r="E83" s="60"/>
      <c r="F83" s="20" t="str">
        <f t="shared" si="1"/>
        <v/>
      </c>
      <c r="G83" s="21"/>
      <c r="H83" s="22"/>
      <c r="I83" s="22"/>
      <c r="J83" s="23"/>
      <c r="K83" s="24"/>
    </row>
    <row r="84" spans="4:11" customFormat="1" x14ac:dyDescent="0.3">
      <c r="D84" s="59"/>
      <c r="E84" s="60"/>
      <c r="F84" s="20" t="str">
        <f t="shared" si="1"/>
        <v/>
      </c>
      <c r="G84" s="21"/>
      <c r="H84" s="22"/>
      <c r="I84" s="22"/>
      <c r="J84" s="23"/>
      <c r="K84" s="24"/>
    </row>
    <row r="85" spans="4:11" customFormat="1" x14ac:dyDescent="0.3">
      <c r="D85" s="59"/>
      <c r="E85" s="60"/>
      <c r="F85" s="20" t="str">
        <f t="shared" si="1"/>
        <v/>
      </c>
      <c r="G85" s="21"/>
      <c r="H85" s="22"/>
      <c r="I85" s="22"/>
      <c r="J85" s="23"/>
      <c r="K85" s="24"/>
    </row>
    <row r="86" spans="4:11" customFormat="1" x14ac:dyDescent="0.3">
      <c r="D86" s="59"/>
      <c r="E86" s="60"/>
      <c r="F86" s="20" t="str">
        <f t="shared" si="1"/>
        <v/>
      </c>
      <c r="G86" s="21"/>
      <c r="H86" s="22"/>
      <c r="I86" s="22"/>
      <c r="J86" s="23"/>
      <c r="K86" s="24"/>
    </row>
    <row r="87" spans="4:11" customFormat="1" x14ac:dyDescent="0.3">
      <c r="D87" s="59"/>
      <c r="E87" s="60"/>
      <c r="F87" s="20" t="str">
        <f t="shared" si="1"/>
        <v/>
      </c>
      <c r="G87" s="21"/>
      <c r="H87" s="22"/>
      <c r="I87" s="22"/>
      <c r="J87" s="23"/>
      <c r="K87" s="24"/>
    </row>
    <row r="88" spans="4:11" customFormat="1" x14ac:dyDescent="0.3">
      <c r="D88" s="59"/>
      <c r="E88" s="60"/>
      <c r="F88" s="20" t="str">
        <f t="shared" si="1"/>
        <v/>
      </c>
      <c r="G88" s="21"/>
      <c r="H88" s="22"/>
      <c r="I88" s="22"/>
      <c r="J88" s="23"/>
      <c r="K88" s="24"/>
    </row>
    <row r="89" spans="4:11" customFormat="1" x14ac:dyDescent="0.3">
      <c r="D89" s="59"/>
      <c r="E89" s="60"/>
      <c r="F89" s="20" t="str">
        <f t="shared" si="1"/>
        <v/>
      </c>
      <c r="G89" s="21"/>
      <c r="H89" s="22"/>
      <c r="I89" s="22"/>
      <c r="J89" s="23"/>
      <c r="K89" s="24"/>
    </row>
    <row r="90" spans="4:11" customFormat="1" x14ac:dyDescent="0.3">
      <c r="D90" s="59"/>
      <c r="E90" s="60"/>
      <c r="F90" s="20" t="str">
        <f t="shared" si="1"/>
        <v/>
      </c>
      <c r="G90" s="21"/>
      <c r="H90" s="22"/>
      <c r="I90" s="22"/>
      <c r="J90" s="23"/>
      <c r="K90" s="24"/>
    </row>
    <row r="91" spans="4:11" customFormat="1" x14ac:dyDescent="0.3">
      <c r="D91" s="59"/>
      <c r="E91" s="60"/>
      <c r="F91" s="20" t="str">
        <f t="shared" si="1"/>
        <v/>
      </c>
      <c r="G91" s="21"/>
      <c r="H91" s="22"/>
      <c r="I91" s="22"/>
      <c r="J91" s="23"/>
      <c r="K91" s="24"/>
    </row>
    <row r="92" spans="4:11" customFormat="1" x14ac:dyDescent="0.3">
      <c r="D92" s="59"/>
      <c r="E92" s="60"/>
      <c r="F92" s="20" t="str">
        <f t="shared" si="1"/>
        <v/>
      </c>
      <c r="G92" s="21"/>
      <c r="H92" s="22"/>
      <c r="I92" s="22"/>
      <c r="J92" s="23"/>
      <c r="K92" s="24"/>
    </row>
    <row r="93" spans="4:11" customFormat="1" x14ac:dyDescent="0.3">
      <c r="D93" s="59"/>
      <c r="E93" s="60"/>
      <c r="F93" s="20" t="str">
        <f t="shared" si="1"/>
        <v/>
      </c>
      <c r="G93" s="21"/>
      <c r="H93" s="22"/>
      <c r="I93" s="22"/>
      <c r="J93" s="23"/>
      <c r="K93" s="24"/>
    </row>
    <row r="94" spans="4:11" customFormat="1" x14ac:dyDescent="0.3">
      <c r="D94" s="59"/>
      <c r="E94" s="60"/>
      <c r="F94" s="20" t="str">
        <f t="shared" si="1"/>
        <v/>
      </c>
      <c r="G94" s="21"/>
      <c r="H94" s="22"/>
      <c r="I94" s="22"/>
      <c r="J94" s="23"/>
      <c r="K94" s="24"/>
    </row>
    <row r="95" spans="4:11" customFormat="1" x14ac:dyDescent="0.3">
      <c r="D95" s="59"/>
      <c r="E95" s="60"/>
      <c r="F95" s="20" t="str">
        <f t="shared" si="1"/>
        <v/>
      </c>
      <c r="G95" s="21"/>
      <c r="H95" s="22"/>
      <c r="I95" s="22"/>
      <c r="J95" s="23"/>
      <c r="K95" s="24"/>
    </row>
    <row r="96" spans="4:11" customFormat="1" x14ac:dyDescent="0.3">
      <c r="D96" s="59"/>
      <c r="E96" s="60"/>
      <c r="F96" s="20" t="str">
        <f t="shared" si="1"/>
        <v/>
      </c>
      <c r="G96" s="21"/>
      <c r="H96" s="22"/>
      <c r="I96" s="22"/>
      <c r="J96" s="23"/>
      <c r="K96" s="24"/>
    </row>
    <row r="97" spans="4:11" customFormat="1" x14ac:dyDescent="0.3">
      <c r="D97" s="59"/>
      <c r="E97" s="60"/>
      <c r="F97" s="20" t="str">
        <f t="shared" si="1"/>
        <v/>
      </c>
      <c r="G97" s="21"/>
      <c r="H97" s="22"/>
      <c r="I97" s="22"/>
      <c r="J97" s="23"/>
      <c r="K97" s="24"/>
    </row>
    <row r="98" spans="4:11" customFormat="1" x14ac:dyDescent="0.3">
      <c r="D98" s="59"/>
      <c r="E98" s="60"/>
      <c r="F98" s="20" t="str">
        <f t="shared" si="1"/>
        <v/>
      </c>
      <c r="G98" s="21"/>
      <c r="H98" s="22"/>
      <c r="I98" s="22"/>
      <c r="J98" s="23"/>
      <c r="K98" s="24"/>
    </row>
    <row r="99" spans="4:11" customFormat="1" x14ac:dyDescent="0.3">
      <c r="D99" s="59"/>
      <c r="E99" s="60"/>
      <c r="F99" s="20" t="str">
        <f t="shared" si="1"/>
        <v/>
      </c>
      <c r="G99" s="21"/>
      <c r="H99" s="22"/>
      <c r="I99" s="22"/>
      <c r="J99" s="23"/>
      <c r="K99" s="24"/>
    </row>
    <row r="100" spans="4:11" customFormat="1" x14ac:dyDescent="0.3">
      <c r="D100" s="59"/>
      <c r="E100" s="60"/>
      <c r="F100" s="20" t="str">
        <f t="shared" si="1"/>
        <v/>
      </c>
      <c r="G100" s="21"/>
      <c r="H100" s="22"/>
      <c r="I100" s="22"/>
      <c r="J100" s="23"/>
      <c r="K100" s="24"/>
    </row>
    <row r="101" spans="4:11" customFormat="1" x14ac:dyDescent="0.3">
      <c r="D101" s="59"/>
      <c r="E101" s="60"/>
      <c r="F101" s="20" t="str">
        <f t="shared" si="1"/>
        <v/>
      </c>
      <c r="G101" s="21"/>
      <c r="H101" s="22"/>
      <c r="I101" s="22"/>
      <c r="J101" s="23"/>
      <c r="K101" s="24"/>
    </row>
    <row r="102" spans="4:11" customFormat="1" x14ac:dyDescent="0.3">
      <c r="D102" s="59"/>
      <c r="E102" s="60"/>
      <c r="F102" s="20" t="str">
        <f t="shared" si="1"/>
        <v/>
      </c>
      <c r="G102" s="21"/>
      <c r="H102" s="22"/>
      <c r="I102" s="22"/>
      <c r="J102" s="23"/>
      <c r="K102" s="24"/>
    </row>
    <row r="103" spans="4:11" customFormat="1" x14ac:dyDescent="0.3">
      <c r="D103" s="59"/>
      <c r="E103" s="60"/>
      <c r="F103" s="20" t="str">
        <f t="shared" si="1"/>
        <v/>
      </c>
      <c r="G103" s="21"/>
      <c r="H103" s="22"/>
      <c r="I103" s="22"/>
      <c r="J103" s="23"/>
      <c r="K103" s="24"/>
    </row>
    <row r="104" spans="4:11" customFormat="1" x14ac:dyDescent="0.3">
      <c r="D104" s="59"/>
      <c r="E104" s="60"/>
      <c r="F104" s="20" t="str">
        <f t="shared" si="1"/>
        <v/>
      </c>
      <c r="G104" s="21"/>
      <c r="H104" s="22"/>
      <c r="I104" s="22"/>
      <c r="J104" s="23"/>
      <c r="K104" s="24"/>
    </row>
    <row r="105" spans="4:11" customFormat="1" x14ac:dyDescent="0.3">
      <c r="D105" s="59"/>
      <c r="E105" s="60"/>
      <c r="F105" s="20" t="str">
        <f t="shared" si="1"/>
        <v/>
      </c>
      <c r="G105" s="21"/>
      <c r="H105" s="22"/>
      <c r="I105" s="22"/>
      <c r="J105" s="23"/>
      <c r="K105" s="24"/>
    </row>
    <row r="106" spans="4:11" customFormat="1" x14ac:dyDescent="0.3">
      <c r="D106" s="59"/>
      <c r="E106" s="60"/>
      <c r="F106" s="20" t="str">
        <f t="shared" si="1"/>
        <v/>
      </c>
      <c r="G106" s="21"/>
      <c r="H106" s="22"/>
      <c r="I106" s="22"/>
      <c r="J106" s="23"/>
      <c r="K106" s="24"/>
    </row>
    <row r="107" spans="4:11" customFormat="1" x14ac:dyDescent="0.3">
      <c r="D107" s="59"/>
      <c r="E107" s="60"/>
      <c r="F107" s="20" t="str">
        <f t="shared" si="1"/>
        <v/>
      </c>
      <c r="G107" s="21"/>
      <c r="H107" s="22"/>
      <c r="I107" s="22"/>
      <c r="J107" s="23"/>
      <c r="K107" s="24"/>
    </row>
    <row r="108" spans="4:11" customFormat="1" x14ac:dyDescent="0.3">
      <c r="D108" s="59"/>
      <c r="E108" s="60"/>
      <c r="F108" s="20" t="str">
        <f t="shared" si="1"/>
        <v/>
      </c>
      <c r="G108" s="21"/>
      <c r="H108" s="22"/>
      <c r="I108" s="22"/>
      <c r="J108" s="23"/>
      <c r="K108" s="24"/>
    </row>
    <row r="109" spans="4:11" customFormat="1" x14ac:dyDescent="0.3">
      <c r="D109" s="59"/>
      <c r="E109" s="60"/>
      <c r="F109" s="20" t="str">
        <f t="shared" si="1"/>
        <v/>
      </c>
      <c r="G109" s="21"/>
      <c r="H109" s="22"/>
      <c r="I109" s="22"/>
      <c r="J109" s="23"/>
      <c r="K109" s="24"/>
    </row>
    <row r="110" spans="4:11" customFormat="1" x14ac:dyDescent="0.3">
      <c r="D110" s="59"/>
      <c r="E110" s="60"/>
      <c r="F110" s="20" t="str">
        <f t="shared" si="1"/>
        <v/>
      </c>
      <c r="G110" s="21"/>
      <c r="H110" s="22"/>
      <c r="I110" s="22"/>
      <c r="J110" s="23"/>
      <c r="K110" s="24"/>
    </row>
    <row r="111" spans="4:11" customFormat="1" x14ac:dyDescent="0.3">
      <c r="D111" s="59"/>
      <c r="E111" s="60"/>
      <c r="F111" s="20" t="str">
        <f t="shared" si="1"/>
        <v/>
      </c>
      <c r="G111" s="21"/>
      <c r="H111" s="22"/>
      <c r="I111" s="22"/>
      <c r="J111" s="23"/>
      <c r="K111" s="24"/>
    </row>
    <row r="112" spans="4:11" customFormat="1" x14ac:dyDescent="0.3">
      <c r="D112" s="59"/>
      <c r="E112" s="60"/>
      <c r="F112" s="20" t="str">
        <f t="shared" si="1"/>
        <v/>
      </c>
      <c r="G112" s="21"/>
      <c r="H112" s="22"/>
      <c r="I112" s="22"/>
      <c r="J112" s="23"/>
      <c r="K112" s="24"/>
    </row>
    <row r="113" spans="4:11" customFormat="1" x14ac:dyDescent="0.3">
      <c r="D113" s="59"/>
      <c r="E113" s="60"/>
      <c r="F113" s="20" t="str">
        <f t="shared" si="1"/>
        <v/>
      </c>
      <c r="G113" s="21"/>
      <c r="H113" s="22"/>
      <c r="I113" s="22"/>
      <c r="J113" s="23"/>
      <c r="K113" s="24"/>
    </row>
    <row r="114" spans="4:11" customFormat="1" x14ac:dyDescent="0.3">
      <c r="D114" s="59"/>
      <c r="E114" s="60"/>
      <c r="F114" s="20" t="str">
        <f t="shared" si="1"/>
        <v/>
      </c>
      <c r="G114" s="21"/>
      <c r="H114" s="22"/>
      <c r="I114" s="22"/>
      <c r="J114" s="23"/>
      <c r="K114" s="24"/>
    </row>
    <row r="115" spans="4:11" customFormat="1" x14ac:dyDescent="0.3">
      <c r="D115" s="59"/>
      <c r="E115" s="60"/>
      <c r="F115" s="20" t="str">
        <f t="shared" si="1"/>
        <v/>
      </c>
      <c r="G115" s="21"/>
      <c r="H115" s="22"/>
      <c r="I115" s="22"/>
      <c r="J115" s="23"/>
      <c r="K115" s="24"/>
    </row>
    <row r="116" spans="4:11" customFormat="1" x14ac:dyDescent="0.3">
      <c r="D116" s="59"/>
      <c r="E116" s="60"/>
      <c r="F116" s="20" t="str">
        <f t="shared" si="1"/>
        <v/>
      </c>
      <c r="G116" s="21"/>
      <c r="H116" s="22"/>
      <c r="I116" s="22"/>
      <c r="J116" s="23"/>
      <c r="K116" s="24"/>
    </row>
    <row r="117" spans="4:11" customFormat="1" x14ac:dyDescent="0.3">
      <c r="D117" s="59"/>
      <c r="E117" s="60"/>
      <c r="F117" s="20" t="str">
        <f t="shared" si="1"/>
        <v/>
      </c>
      <c r="G117" s="21"/>
      <c r="H117" s="22"/>
      <c r="I117" s="22"/>
      <c r="J117" s="23"/>
      <c r="K117" s="24"/>
    </row>
    <row r="118" spans="4:11" customFormat="1" x14ac:dyDescent="0.3">
      <c r="D118" s="59"/>
      <c r="E118" s="60"/>
      <c r="F118" s="20" t="str">
        <f t="shared" si="1"/>
        <v/>
      </c>
      <c r="G118" s="21"/>
      <c r="H118" s="22"/>
      <c r="I118" s="22"/>
      <c r="J118" s="23"/>
      <c r="K118" s="24"/>
    </row>
    <row r="119" spans="4:11" customFormat="1" x14ac:dyDescent="0.3">
      <c r="D119" s="59"/>
      <c r="E119" s="60"/>
      <c r="F119" s="20" t="str">
        <f t="shared" si="1"/>
        <v/>
      </c>
      <c r="G119" s="21"/>
      <c r="H119" s="22"/>
      <c r="I119" s="22"/>
      <c r="J119" s="23"/>
      <c r="K119" s="24"/>
    </row>
    <row r="120" spans="4:11" customFormat="1" x14ac:dyDescent="0.3">
      <c r="D120" s="59"/>
      <c r="E120" s="60"/>
      <c r="F120" s="20" t="str">
        <f t="shared" si="1"/>
        <v/>
      </c>
      <c r="G120" s="21"/>
      <c r="H120" s="22"/>
      <c r="I120" s="22"/>
      <c r="J120" s="23"/>
      <c r="K120" s="24"/>
    </row>
    <row r="121" spans="4:11" customFormat="1" x14ac:dyDescent="0.3">
      <c r="D121" s="59"/>
      <c r="E121" s="60"/>
      <c r="F121" s="20" t="str">
        <f t="shared" si="1"/>
        <v/>
      </c>
      <c r="G121" s="21"/>
      <c r="H121" s="22"/>
      <c r="I121" s="22"/>
      <c r="J121" s="23"/>
      <c r="K121" s="24"/>
    </row>
    <row r="122" spans="4:11" customFormat="1" x14ac:dyDescent="0.3">
      <c r="D122" s="59"/>
      <c r="E122" s="60"/>
      <c r="F122" s="20" t="str">
        <f t="shared" si="1"/>
        <v/>
      </c>
      <c r="G122" s="21"/>
      <c r="H122" s="22"/>
      <c r="I122" s="22"/>
      <c r="J122" s="23"/>
      <c r="K122" s="24"/>
    </row>
    <row r="123" spans="4:11" customFormat="1" x14ac:dyDescent="0.3">
      <c r="D123" s="59"/>
      <c r="E123" s="60"/>
      <c r="F123" s="20" t="str">
        <f t="shared" si="1"/>
        <v/>
      </c>
      <c r="G123" s="21"/>
      <c r="H123" s="22"/>
      <c r="I123" s="22"/>
      <c r="J123" s="23"/>
      <c r="K123" s="24"/>
    </row>
    <row r="124" spans="4:11" customFormat="1" x14ac:dyDescent="0.3">
      <c r="D124" s="59"/>
      <c r="E124" s="60"/>
      <c r="F124" s="20" t="str">
        <f t="shared" si="1"/>
        <v/>
      </c>
      <c r="G124" s="21"/>
      <c r="H124" s="22"/>
      <c r="I124" s="22"/>
      <c r="J124" s="23"/>
      <c r="K124" s="24"/>
    </row>
    <row r="125" spans="4:11" customFormat="1" x14ac:dyDescent="0.3">
      <c r="D125" s="59"/>
      <c r="E125" s="60"/>
      <c r="F125" s="20" t="str">
        <f t="shared" si="1"/>
        <v/>
      </c>
      <c r="G125" s="21"/>
      <c r="H125" s="22"/>
      <c r="I125" s="22"/>
      <c r="J125" s="23"/>
      <c r="K125" s="24"/>
    </row>
    <row r="126" spans="4:11" customFormat="1" x14ac:dyDescent="0.3">
      <c r="D126" s="59"/>
      <c r="E126" s="60"/>
      <c r="F126" s="20" t="str">
        <f t="shared" si="1"/>
        <v/>
      </c>
      <c r="G126" s="21"/>
      <c r="H126" s="22"/>
      <c r="I126" s="22"/>
      <c r="J126" s="23"/>
      <c r="K126" s="24"/>
    </row>
    <row r="127" spans="4:11" customFormat="1" x14ac:dyDescent="0.3">
      <c r="D127" s="59"/>
      <c r="E127" s="60"/>
      <c r="F127" s="20" t="str">
        <f t="shared" si="1"/>
        <v/>
      </c>
      <c r="G127" s="21"/>
      <c r="H127" s="22"/>
      <c r="I127" s="22"/>
      <c r="J127" s="23"/>
      <c r="K127" s="24"/>
    </row>
    <row r="128" spans="4:11" customFormat="1" x14ac:dyDescent="0.3">
      <c r="D128" s="59"/>
      <c r="E128" s="60"/>
      <c r="F128" s="20" t="str">
        <f t="shared" si="1"/>
        <v/>
      </c>
      <c r="G128" s="21"/>
      <c r="H128" s="22"/>
      <c r="I128" s="22"/>
      <c r="J128" s="23"/>
      <c r="K128" s="24"/>
    </row>
    <row r="129" spans="4:11" customFormat="1" x14ac:dyDescent="0.3">
      <c r="D129" s="59"/>
      <c r="E129" s="60"/>
      <c r="F129" s="20" t="str">
        <f t="shared" si="1"/>
        <v/>
      </c>
      <c r="G129" s="21"/>
      <c r="H129" s="22"/>
      <c r="I129" s="22"/>
      <c r="J129" s="23"/>
      <c r="K129" s="24"/>
    </row>
    <row r="130" spans="4:11" customFormat="1" x14ac:dyDescent="0.3">
      <c r="D130" s="59"/>
      <c r="E130" s="60"/>
      <c r="F130" s="20" t="str">
        <f t="shared" si="1"/>
        <v/>
      </c>
      <c r="G130" s="21"/>
      <c r="H130" s="22"/>
      <c r="I130" s="22"/>
      <c r="J130" s="23"/>
      <c r="K130" s="24"/>
    </row>
    <row r="131" spans="4:11" customFormat="1" x14ac:dyDescent="0.3">
      <c r="D131" s="59"/>
      <c r="E131" s="60"/>
      <c r="F131" s="20" t="str">
        <f t="shared" ref="F131:F194" si="2">IF(A131="","",J131-ROUNDDOWN(J131*3%,-1)-ROUNDDOWN(J131*0.3%,-1))</f>
        <v/>
      </c>
      <c r="G131" s="21"/>
      <c r="H131" s="22"/>
      <c r="I131" s="22"/>
      <c r="J131" s="23"/>
      <c r="K131" s="24"/>
    </row>
    <row r="132" spans="4:11" customFormat="1" x14ac:dyDescent="0.3">
      <c r="D132" s="59"/>
      <c r="E132" s="60"/>
      <c r="F132" s="20" t="str">
        <f t="shared" si="2"/>
        <v/>
      </c>
      <c r="G132" s="21"/>
      <c r="H132" s="22"/>
      <c r="I132" s="22"/>
      <c r="J132" s="23"/>
      <c r="K132" s="24"/>
    </row>
    <row r="133" spans="4:11" customFormat="1" x14ac:dyDescent="0.3">
      <c r="D133" s="59"/>
      <c r="E133" s="60"/>
      <c r="F133" s="20" t="str">
        <f t="shared" si="2"/>
        <v/>
      </c>
      <c r="G133" s="21"/>
      <c r="H133" s="22"/>
      <c r="I133" s="22"/>
      <c r="J133" s="23"/>
      <c r="K133" s="24"/>
    </row>
    <row r="134" spans="4:11" customFormat="1" x14ac:dyDescent="0.3">
      <c r="D134" s="59"/>
      <c r="E134" s="60"/>
      <c r="F134" s="20" t="str">
        <f t="shared" si="2"/>
        <v/>
      </c>
      <c r="G134" s="21"/>
      <c r="H134" s="22"/>
      <c r="I134" s="22"/>
      <c r="J134" s="23"/>
      <c r="K134" s="24"/>
    </row>
    <row r="135" spans="4:11" customFormat="1" x14ac:dyDescent="0.3">
      <c r="D135" s="59"/>
      <c r="E135" s="60"/>
      <c r="F135" s="20" t="str">
        <f t="shared" si="2"/>
        <v/>
      </c>
      <c r="G135" s="21"/>
      <c r="H135" s="22"/>
      <c r="I135" s="22"/>
      <c r="J135" s="23"/>
      <c r="K135" s="24"/>
    </row>
    <row r="136" spans="4:11" customFormat="1" x14ac:dyDescent="0.3">
      <c r="D136" s="59"/>
      <c r="E136" s="60"/>
      <c r="F136" s="20" t="str">
        <f t="shared" si="2"/>
        <v/>
      </c>
      <c r="G136" s="21"/>
      <c r="H136" s="22"/>
      <c r="I136" s="22"/>
      <c r="J136" s="23"/>
      <c r="K136" s="24"/>
    </row>
    <row r="137" spans="4:11" customFormat="1" x14ac:dyDescent="0.3">
      <c r="D137" s="59"/>
      <c r="E137" s="60"/>
      <c r="F137" s="20" t="str">
        <f t="shared" si="2"/>
        <v/>
      </c>
      <c r="G137" s="21"/>
      <c r="H137" s="22"/>
      <c r="I137" s="22"/>
      <c r="J137" s="23"/>
      <c r="K137" s="24"/>
    </row>
    <row r="138" spans="4:11" customFormat="1" x14ac:dyDescent="0.3">
      <c r="D138" s="59"/>
      <c r="E138" s="60"/>
      <c r="F138" s="20" t="str">
        <f t="shared" si="2"/>
        <v/>
      </c>
      <c r="G138" s="21"/>
      <c r="H138" s="22"/>
      <c r="I138" s="22"/>
      <c r="J138" s="23"/>
      <c r="K138" s="24"/>
    </row>
    <row r="139" spans="4:11" customFormat="1" x14ac:dyDescent="0.3">
      <c r="D139" s="59"/>
      <c r="E139" s="60"/>
      <c r="F139" s="20" t="str">
        <f t="shared" si="2"/>
        <v/>
      </c>
      <c r="G139" s="21"/>
      <c r="H139" s="22"/>
      <c r="I139" s="22"/>
      <c r="J139" s="23"/>
      <c r="K139" s="24"/>
    </row>
    <row r="140" spans="4:11" customFormat="1" x14ac:dyDescent="0.3">
      <c r="D140" s="59"/>
      <c r="E140" s="60"/>
      <c r="F140" s="20" t="str">
        <f t="shared" si="2"/>
        <v/>
      </c>
      <c r="G140" s="21"/>
      <c r="H140" s="22"/>
      <c r="I140" s="22"/>
      <c r="J140" s="23"/>
      <c r="K140" s="24"/>
    </row>
    <row r="141" spans="4:11" customFormat="1" x14ac:dyDescent="0.3">
      <c r="D141" s="59"/>
      <c r="E141" s="60"/>
      <c r="F141" s="20" t="str">
        <f t="shared" si="2"/>
        <v/>
      </c>
      <c r="G141" s="21"/>
      <c r="H141" s="22"/>
      <c r="I141" s="22"/>
      <c r="J141" s="23"/>
      <c r="K141" s="24"/>
    </row>
    <row r="142" spans="4:11" customFormat="1" x14ac:dyDescent="0.3">
      <c r="D142" s="59"/>
      <c r="E142" s="60"/>
      <c r="F142" s="20" t="str">
        <f t="shared" si="2"/>
        <v/>
      </c>
      <c r="G142" s="21"/>
      <c r="H142" s="22"/>
      <c r="I142" s="22"/>
      <c r="J142" s="23"/>
      <c r="K142" s="24"/>
    </row>
    <row r="143" spans="4:11" customFormat="1" x14ac:dyDescent="0.3">
      <c r="D143" s="59"/>
      <c r="E143" s="60"/>
      <c r="F143" s="20" t="str">
        <f t="shared" si="2"/>
        <v/>
      </c>
      <c r="G143" s="21"/>
      <c r="H143" s="22"/>
      <c r="I143" s="22"/>
      <c r="J143" s="23"/>
      <c r="K143" s="24"/>
    </row>
    <row r="144" spans="4:11" customFormat="1" x14ac:dyDescent="0.3">
      <c r="D144" s="59"/>
      <c r="E144" s="60"/>
      <c r="F144" s="20" t="str">
        <f t="shared" si="2"/>
        <v/>
      </c>
      <c r="G144" s="21"/>
      <c r="H144" s="22"/>
      <c r="I144" s="22"/>
      <c r="J144" s="23"/>
      <c r="K144" s="24"/>
    </row>
    <row r="145" spans="4:11" customFormat="1" x14ac:dyDescent="0.3">
      <c r="D145" s="59"/>
      <c r="E145" s="60"/>
      <c r="F145" s="20" t="str">
        <f t="shared" si="2"/>
        <v/>
      </c>
      <c r="G145" s="21"/>
      <c r="H145" s="22"/>
      <c r="I145" s="22"/>
      <c r="J145" s="23"/>
      <c r="K145" s="24"/>
    </row>
    <row r="146" spans="4:11" customFormat="1" x14ac:dyDescent="0.3">
      <c r="D146" s="59"/>
      <c r="E146" s="60"/>
      <c r="F146" s="20" t="str">
        <f t="shared" si="2"/>
        <v/>
      </c>
      <c r="G146" s="21"/>
      <c r="H146" s="22"/>
      <c r="I146" s="22"/>
      <c r="J146" s="23"/>
      <c r="K146" s="24"/>
    </row>
    <row r="147" spans="4:11" customFormat="1" x14ac:dyDescent="0.3">
      <c r="D147" s="59"/>
      <c r="E147" s="60"/>
      <c r="F147" s="20" t="str">
        <f t="shared" si="2"/>
        <v/>
      </c>
      <c r="G147" s="21"/>
      <c r="H147" s="22"/>
      <c r="I147" s="22"/>
      <c r="J147" s="23"/>
      <c r="K147" s="24"/>
    </row>
    <row r="148" spans="4:11" customFormat="1" x14ac:dyDescent="0.3">
      <c r="D148" s="59"/>
      <c r="E148" s="60"/>
      <c r="F148" s="20" t="str">
        <f t="shared" si="2"/>
        <v/>
      </c>
      <c r="G148" s="21"/>
      <c r="H148" s="22"/>
      <c r="I148" s="22"/>
      <c r="J148" s="23"/>
      <c r="K148" s="24"/>
    </row>
    <row r="149" spans="4:11" customFormat="1" x14ac:dyDescent="0.3">
      <c r="D149" s="59"/>
      <c r="E149" s="60"/>
      <c r="F149" s="20" t="str">
        <f t="shared" si="2"/>
        <v/>
      </c>
      <c r="G149" s="21"/>
      <c r="H149" s="22"/>
      <c r="I149" s="22"/>
      <c r="J149" s="23"/>
      <c r="K149" s="24"/>
    </row>
    <row r="150" spans="4:11" customFormat="1" x14ac:dyDescent="0.3">
      <c r="D150" s="59"/>
      <c r="E150" s="60"/>
      <c r="F150" s="20" t="str">
        <f t="shared" si="2"/>
        <v/>
      </c>
      <c r="G150" s="21"/>
      <c r="H150" s="22"/>
      <c r="I150" s="22"/>
      <c r="J150" s="23"/>
      <c r="K150" s="24"/>
    </row>
    <row r="151" spans="4:11" customFormat="1" x14ac:dyDescent="0.3">
      <c r="D151" s="59"/>
      <c r="E151" s="60"/>
      <c r="F151" s="20" t="str">
        <f t="shared" si="2"/>
        <v/>
      </c>
      <c r="G151" s="21"/>
      <c r="H151" s="22"/>
      <c r="I151" s="22"/>
      <c r="J151" s="23"/>
      <c r="K151" s="24"/>
    </row>
    <row r="152" spans="4:11" customFormat="1" x14ac:dyDescent="0.3">
      <c r="D152" s="59"/>
      <c r="E152" s="60"/>
      <c r="F152" s="20" t="str">
        <f t="shared" si="2"/>
        <v/>
      </c>
      <c r="G152" s="21"/>
      <c r="H152" s="22"/>
      <c r="I152" s="22"/>
      <c r="J152" s="23"/>
      <c r="K152" s="24"/>
    </row>
    <row r="153" spans="4:11" customFormat="1" x14ac:dyDescent="0.3">
      <c r="D153" s="59"/>
      <c r="E153" s="60"/>
      <c r="F153" s="20" t="str">
        <f t="shared" si="2"/>
        <v/>
      </c>
      <c r="G153" s="21"/>
      <c r="H153" s="22"/>
      <c r="I153" s="22"/>
      <c r="J153" s="23"/>
      <c r="K153" s="24"/>
    </row>
    <row r="154" spans="4:11" customFormat="1" x14ac:dyDescent="0.3">
      <c r="D154" s="59"/>
      <c r="E154" s="60"/>
      <c r="F154" s="20" t="str">
        <f t="shared" si="2"/>
        <v/>
      </c>
      <c r="G154" s="21"/>
      <c r="H154" s="22"/>
      <c r="I154" s="22"/>
      <c r="J154" s="23"/>
      <c r="K154" s="24"/>
    </row>
    <row r="155" spans="4:11" customFormat="1" x14ac:dyDescent="0.3">
      <c r="D155" s="59"/>
      <c r="E155" s="60"/>
      <c r="F155" s="20" t="str">
        <f t="shared" si="2"/>
        <v/>
      </c>
      <c r="G155" s="21"/>
      <c r="H155" s="22"/>
      <c r="I155" s="22"/>
      <c r="J155" s="23"/>
      <c r="K155" s="24"/>
    </row>
    <row r="156" spans="4:11" customFormat="1" x14ac:dyDescent="0.3">
      <c r="D156" s="59"/>
      <c r="E156" s="60"/>
      <c r="F156" s="20" t="str">
        <f t="shared" si="2"/>
        <v/>
      </c>
      <c r="G156" s="21"/>
      <c r="H156" s="22"/>
      <c r="I156" s="22"/>
      <c r="J156" s="23"/>
      <c r="K156" s="24"/>
    </row>
    <row r="157" spans="4:11" customFormat="1" x14ac:dyDescent="0.3">
      <c r="D157" s="59"/>
      <c r="E157" s="60"/>
      <c r="F157" s="20" t="str">
        <f t="shared" si="2"/>
        <v/>
      </c>
      <c r="G157" s="21"/>
      <c r="H157" s="22"/>
      <c r="I157" s="22"/>
      <c r="J157" s="23"/>
      <c r="K157" s="24"/>
    </row>
    <row r="158" spans="4:11" customFormat="1" x14ac:dyDescent="0.3">
      <c r="D158" s="59"/>
      <c r="E158" s="60"/>
      <c r="F158" s="20" t="str">
        <f t="shared" si="2"/>
        <v/>
      </c>
      <c r="G158" s="21"/>
      <c r="H158" s="22"/>
      <c r="I158" s="22"/>
      <c r="J158" s="23"/>
      <c r="K158" s="24"/>
    </row>
    <row r="159" spans="4:11" customFormat="1" x14ac:dyDescent="0.3">
      <c r="D159" s="59"/>
      <c r="E159" s="60"/>
      <c r="F159" s="20" t="str">
        <f t="shared" si="2"/>
        <v/>
      </c>
      <c r="G159" s="21"/>
      <c r="H159" s="22"/>
      <c r="I159" s="22"/>
      <c r="J159" s="23"/>
      <c r="K159" s="24"/>
    </row>
    <row r="160" spans="4:11" customFormat="1" x14ac:dyDescent="0.3">
      <c r="D160" s="59"/>
      <c r="E160" s="60"/>
      <c r="F160" s="20" t="str">
        <f t="shared" si="2"/>
        <v/>
      </c>
      <c r="G160" s="21"/>
      <c r="H160" s="22"/>
      <c r="I160" s="22"/>
      <c r="J160" s="23"/>
      <c r="K160" s="24"/>
    </row>
    <row r="161" spans="4:11" customFormat="1" x14ac:dyDescent="0.3">
      <c r="D161" s="59"/>
      <c r="E161" s="60"/>
      <c r="F161" s="20" t="str">
        <f t="shared" si="2"/>
        <v/>
      </c>
      <c r="G161" s="21"/>
      <c r="H161" s="22"/>
      <c r="I161" s="22"/>
      <c r="J161" s="23"/>
      <c r="K161" s="24"/>
    </row>
    <row r="162" spans="4:11" customFormat="1" x14ac:dyDescent="0.3">
      <c r="D162" s="59"/>
      <c r="E162" s="60"/>
      <c r="F162" s="20" t="str">
        <f t="shared" si="2"/>
        <v/>
      </c>
      <c r="G162" s="21"/>
      <c r="H162" s="22"/>
      <c r="I162" s="22"/>
      <c r="J162" s="23"/>
      <c r="K162" s="24"/>
    </row>
    <row r="163" spans="4:11" customFormat="1" x14ac:dyDescent="0.3">
      <c r="D163" s="59"/>
      <c r="E163" s="60"/>
      <c r="F163" s="20" t="str">
        <f t="shared" si="2"/>
        <v/>
      </c>
      <c r="G163" s="21"/>
      <c r="H163" s="22"/>
      <c r="I163" s="22"/>
      <c r="J163" s="23"/>
      <c r="K163" s="24"/>
    </row>
    <row r="164" spans="4:11" customFormat="1" x14ac:dyDescent="0.3">
      <c r="D164" s="59"/>
      <c r="E164" s="60"/>
      <c r="F164" s="20" t="str">
        <f t="shared" si="2"/>
        <v/>
      </c>
      <c r="G164" s="21"/>
      <c r="H164" s="22"/>
      <c r="I164" s="22"/>
      <c r="J164" s="23"/>
      <c r="K164" s="24"/>
    </row>
    <row r="165" spans="4:11" customFormat="1" x14ac:dyDescent="0.3">
      <c r="D165" s="59"/>
      <c r="E165" s="60"/>
      <c r="F165" s="20" t="str">
        <f t="shared" si="2"/>
        <v/>
      </c>
      <c r="G165" s="21"/>
      <c r="H165" s="22"/>
      <c r="I165" s="22"/>
      <c r="J165" s="23"/>
      <c r="K165" s="24"/>
    </row>
    <row r="166" spans="4:11" customFormat="1" x14ac:dyDescent="0.3">
      <c r="D166" s="59"/>
      <c r="E166" s="60"/>
      <c r="F166" s="20" t="str">
        <f t="shared" si="2"/>
        <v/>
      </c>
      <c r="G166" s="21"/>
      <c r="H166" s="22"/>
      <c r="I166" s="22"/>
      <c r="J166" s="23"/>
      <c r="K166" s="24"/>
    </row>
    <row r="167" spans="4:11" customFormat="1" x14ac:dyDescent="0.3">
      <c r="D167" s="59"/>
      <c r="E167" s="60"/>
      <c r="F167" s="20" t="str">
        <f t="shared" si="2"/>
        <v/>
      </c>
      <c r="G167" s="21"/>
      <c r="H167" s="22"/>
      <c r="I167" s="22"/>
      <c r="J167" s="23"/>
      <c r="K167" s="24"/>
    </row>
    <row r="168" spans="4:11" customFormat="1" x14ac:dyDescent="0.3">
      <c r="D168" s="59"/>
      <c r="E168" s="60"/>
      <c r="F168" s="20" t="str">
        <f t="shared" si="2"/>
        <v/>
      </c>
      <c r="G168" s="21"/>
      <c r="H168" s="22"/>
      <c r="I168" s="22"/>
      <c r="J168" s="23"/>
      <c r="K168" s="24"/>
    </row>
    <row r="169" spans="4:11" customFormat="1" x14ac:dyDescent="0.3">
      <c r="D169" s="59"/>
      <c r="E169" s="60"/>
      <c r="F169" s="20" t="str">
        <f t="shared" si="2"/>
        <v/>
      </c>
      <c r="G169" s="21"/>
      <c r="H169" s="22"/>
      <c r="I169" s="22"/>
      <c r="J169" s="23"/>
      <c r="K169" s="24"/>
    </row>
    <row r="170" spans="4:11" customFormat="1" x14ac:dyDescent="0.3">
      <c r="D170" s="59"/>
      <c r="E170" s="60"/>
      <c r="F170" s="20" t="str">
        <f t="shared" si="2"/>
        <v/>
      </c>
      <c r="G170" s="21"/>
      <c r="H170" s="22"/>
      <c r="I170" s="22"/>
      <c r="J170" s="23"/>
      <c r="K170" s="24"/>
    </row>
    <row r="171" spans="4:11" customFormat="1" x14ac:dyDescent="0.3">
      <c r="D171" s="59"/>
      <c r="E171" s="60"/>
      <c r="F171" s="20" t="str">
        <f t="shared" si="2"/>
        <v/>
      </c>
      <c r="G171" s="21"/>
      <c r="H171" s="22"/>
      <c r="I171" s="22"/>
      <c r="J171" s="23"/>
      <c r="K171" s="24"/>
    </row>
    <row r="172" spans="4:11" customFormat="1" x14ac:dyDescent="0.3">
      <c r="D172" s="59"/>
      <c r="E172" s="60"/>
      <c r="F172" s="20" t="str">
        <f t="shared" si="2"/>
        <v/>
      </c>
      <c r="G172" s="21"/>
      <c r="H172" s="22"/>
      <c r="I172" s="22"/>
      <c r="J172" s="23"/>
      <c r="K172" s="24"/>
    </row>
    <row r="173" spans="4:11" customFormat="1" x14ac:dyDescent="0.3">
      <c r="D173" s="59"/>
      <c r="E173" s="60"/>
      <c r="F173" s="20" t="str">
        <f t="shared" si="2"/>
        <v/>
      </c>
      <c r="G173" s="21"/>
      <c r="H173" s="22"/>
      <c r="I173" s="22"/>
      <c r="J173" s="23"/>
      <c r="K173" s="24"/>
    </row>
    <row r="174" spans="4:11" customFormat="1" x14ac:dyDescent="0.3">
      <c r="D174" s="59"/>
      <c r="E174" s="60"/>
      <c r="F174" s="20" t="str">
        <f t="shared" si="2"/>
        <v/>
      </c>
      <c r="G174" s="21"/>
      <c r="H174" s="22"/>
      <c r="I174" s="22"/>
      <c r="J174" s="23"/>
      <c r="K174" s="24"/>
    </row>
    <row r="175" spans="4:11" customFormat="1" x14ac:dyDescent="0.3">
      <c r="D175" s="59"/>
      <c r="E175" s="60"/>
      <c r="F175" s="20" t="str">
        <f t="shared" si="2"/>
        <v/>
      </c>
      <c r="G175" s="21"/>
      <c r="H175" s="22"/>
      <c r="I175" s="22"/>
      <c r="J175" s="23"/>
      <c r="K175" s="24"/>
    </row>
    <row r="176" spans="4:11" customFormat="1" x14ac:dyDescent="0.3">
      <c r="D176" s="59"/>
      <c r="E176" s="60"/>
      <c r="F176" s="20" t="str">
        <f t="shared" si="2"/>
        <v/>
      </c>
      <c r="G176" s="21"/>
      <c r="H176" s="22"/>
      <c r="I176" s="22"/>
      <c r="J176" s="23"/>
      <c r="K176" s="24"/>
    </row>
    <row r="177" spans="4:11" customFormat="1" x14ac:dyDescent="0.3">
      <c r="D177" s="59"/>
      <c r="E177" s="60"/>
      <c r="F177" s="20" t="str">
        <f t="shared" si="2"/>
        <v/>
      </c>
      <c r="G177" s="21"/>
      <c r="H177" s="22"/>
      <c r="I177" s="22"/>
      <c r="J177" s="23"/>
      <c r="K177" s="24"/>
    </row>
    <row r="178" spans="4:11" customFormat="1" x14ac:dyDescent="0.3">
      <c r="D178" s="59"/>
      <c r="E178" s="60"/>
      <c r="F178" s="20" t="str">
        <f t="shared" si="2"/>
        <v/>
      </c>
      <c r="G178" s="21"/>
      <c r="H178" s="22"/>
      <c r="I178" s="22"/>
      <c r="J178" s="23"/>
      <c r="K178" s="24"/>
    </row>
    <row r="179" spans="4:11" customFormat="1" x14ac:dyDescent="0.3">
      <c r="D179" s="59"/>
      <c r="E179" s="60"/>
      <c r="F179" s="20" t="str">
        <f t="shared" si="2"/>
        <v/>
      </c>
      <c r="G179" s="21"/>
      <c r="H179" s="22"/>
      <c r="I179" s="22"/>
      <c r="J179" s="23"/>
      <c r="K179" s="24"/>
    </row>
    <row r="180" spans="4:11" customFormat="1" x14ac:dyDescent="0.3">
      <c r="D180" s="59"/>
      <c r="E180" s="60"/>
      <c r="F180" s="20" t="str">
        <f t="shared" si="2"/>
        <v/>
      </c>
      <c r="G180" s="21"/>
      <c r="H180" s="22"/>
      <c r="I180" s="22"/>
      <c r="J180" s="23"/>
      <c r="K180" s="24"/>
    </row>
    <row r="181" spans="4:11" customFormat="1" x14ac:dyDescent="0.3">
      <c r="D181" s="59"/>
      <c r="E181" s="60"/>
      <c r="F181" s="20" t="str">
        <f t="shared" si="2"/>
        <v/>
      </c>
      <c r="G181" s="21"/>
      <c r="H181" s="22"/>
      <c r="I181" s="22"/>
      <c r="J181" s="23"/>
      <c r="K181" s="24"/>
    </row>
    <row r="182" spans="4:11" customFormat="1" x14ac:dyDescent="0.3">
      <c r="D182" s="59"/>
      <c r="E182" s="60"/>
      <c r="F182" s="20" t="str">
        <f t="shared" si="2"/>
        <v/>
      </c>
      <c r="G182" s="21"/>
      <c r="H182" s="22"/>
      <c r="I182" s="22"/>
      <c r="J182" s="23"/>
      <c r="K182" s="24"/>
    </row>
    <row r="183" spans="4:11" customFormat="1" x14ac:dyDescent="0.3">
      <c r="D183" s="59"/>
      <c r="E183" s="60"/>
      <c r="F183" s="20" t="str">
        <f t="shared" si="2"/>
        <v/>
      </c>
      <c r="G183" s="21"/>
      <c r="H183" s="22"/>
      <c r="I183" s="22"/>
      <c r="J183" s="23"/>
      <c r="K183" s="24"/>
    </row>
    <row r="184" spans="4:11" customFormat="1" x14ac:dyDescent="0.3">
      <c r="D184" s="59"/>
      <c r="E184" s="60"/>
      <c r="F184" s="20" t="str">
        <f t="shared" si="2"/>
        <v/>
      </c>
      <c r="G184" s="21"/>
      <c r="H184" s="22"/>
      <c r="I184" s="22"/>
      <c r="J184" s="23"/>
      <c r="K184" s="24"/>
    </row>
    <row r="185" spans="4:11" customFormat="1" x14ac:dyDescent="0.3">
      <c r="D185" s="59"/>
      <c r="E185" s="60"/>
      <c r="F185" s="20" t="str">
        <f t="shared" si="2"/>
        <v/>
      </c>
      <c r="G185" s="21"/>
      <c r="H185" s="22"/>
      <c r="I185" s="22"/>
      <c r="J185" s="23"/>
      <c r="K185" s="24"/>
    </row>
    <row r="186" spans="4:11" customFormat="1" x14ac:dyDescent="0.3">
      <c r="D186" s="59"/>
      <c r="E186" s="60"/>
      <c r="F186" s="20" t="str">
        <f t="shared" si="2"/>
        <v/>
      </c>
      <c r="G186" s="21"/>
      <c r="H186" s="22"/>
      <c r="I186" s="22"/>
      <c r="J186" s="23"/>
      <c r="K186" s="24"/>
    </row>
    <row r="187" spans="4:11" customFormat="1" x14ac:dyDescent="0.3">
      <c r="D187" s="59"/>
      <c r="E187" s="60"/>
      <c r="F187" s="20" t="str">
        <f t="shared" si="2"/>
        <v/>
      </c>
      <c r="G187" s="21"/>
      <c r="H187" s="22"/>
      <c r="I187" s="22"/>
      <c r="J187" s="23"/>
      <c r="K187" s="24"/>
    </row>
    <row r="188" spans="4:11" customFormat="1" x14ac:dyDescent="0.3">
      <c r="D188" s="59"/>
      <c r="E188" s="60"/>
      <c r="F188" s="20" t="str">
        <f t="shared" si="2"/>
        <v/>
      </c>
      <c r="G188" s="21"/>
      <c r="H188" s="22"/>
      <c r="I188" s="22"/>
      <c r="J188" s="23"/>
      <c r="K188" s="24"/>
    </row>
    <row r="189" spans="4:11" customFormat="1" x14ac:dyDescent="0.3">
      <c r="D189" s="59"/>
      <c r="E189" s="60"/>
      <c r="F189" s="20" t="str">
        <f t="shared" si="2"/>
        <v/>
      </c>
      <c r="G189" s="21"/>
      <c r="H189" s="22"/>
      <c r="I189" s="22"/>
      <c r="J189" s="23"/>
      <c r="K189" s="24"/>
    </row>
    <row r="190" spans="4:11" customFormat="1" x14ac:dyDescent="0.3">
      <c r="D190" s="59"/>
      <c r="E190" s="60"/>
      <c r="F190" s="20" t="str">
        <f t="shared" si="2"/>
        <v/>
      </c>
      <c r="G190" s="21"/>
      <c r="H190" s="22"/>
      <c r="I190" s="22"/>
      <c r="J190" s="23"/>
      <c r="K190" s="24"/>
    </row>
    <row r="191" spans="4:11" customFormat="1" x14ac:dyDescent="0.3">
      <c r="D191" s="59"/>
      <c r="E191" s="60"/>
      <c r="F191" s="20" t="str">
        <f t="shared" si="2"/>
        <v/>
      </c>
      <c r="G191" s="21"/>
      <c r="H191" s="22"/>
      <c r="I191" s="22"/>
      <c r="J191" s="23"/>
      <c r="K191" s="24"/>
    </row>
    <row r="192" spans="4:11" customFormat="1" x14ac:dyDescent="0.3">
      <c r="D192" s="59"/>
      <c r="E192" s="60"/>
      <c r="F192" s="20" t="str">
        <f t="shared" si="2"/>
        <v/>
      </c>
      <c r="G192" s="21"/>
      <c r="H192" s="22"/>
      <c r="I192" s="22"/>
      <c r="J192" s="23"/>
      <c r="K192" s="24"/>
    </row>
    <row r="193" spans="4:11" customFormat="1" x14ac:dyDescent="0.3">
      <c r="D193" s="59"/>
      <c r="E193" s="60"/>
      <c r="F193" s="20" t="str">
        <f t="shared" si="2"/>
        <v/>
      </c>
      <c r="G193" s="21"/>
      <c r="H193" s="22"/>
      <c r="I193" s="22"/>
      <c r="J193" s="23"/>
      <c r="K193" s="24"/>
    </row>
    <row r="194" spans="4:11" customFormat="1" x14ac:dyDescent="0.3">
      <c r="D194" s="59"/>
      <c r="E194" s="60"/>
      <c r="F194" s="20" t="str">
        <f t="shared" si="2"/>
        <v/>
      </c>
      <c r="G194" s="21"/>
      <c r="H194" s="22"/>
      <c r="I194" s="22"/>
      <c r="J194" s="23"/>
      <c r="K194" s="24"/>
    </row>
    <row r="195" spans="4:11" customFormat="1" x14ac:dyDescent="0.3">
      <c r="D195" s="59"/>
      <c r="E195" s="60"/>
      <c r="F195" s="20" t="str">
        <f t="shared" ref="F195:F258" si="3">IF(A195="","",J195-ROUNDDOWN(J195*3%,-1)-ROUNDDOWN(J195*0.3%,-1))</f>
        <v/>
      </c>
      <c r="G195" s="21"/>
      <c r="H195" s="22"/>
      <c r="I195" s="22"/>
      <c r="J195" s="23"/>
      <c r="K195" s="24"/>
    </row>
    <row r="196" spans="4:11" customFormat="1" x14ac:dyDescent="0.3">
      <c r="D196" s="59"/>
      <c r="E196" s="60"/>
      <c r="F196" s="20" t="str">
        <f t="shared" si="3"/>
        <v/>
      </c>
      <c r="G196" s="21"/>
      <c r="H196" s="22"/>
      <c r="I196" s="22"/>
      <c r="J196" s="23"/>
      <c r="K196" s="24"/>
    </row>
    <row r="197" spans="4:11" customFormat="1" x14ac:dyDescent="0.3">
      <c r="D197" s="59"/>
      <c r="E197" s="60"/>
      <c r="F197" s="20" t="str">
        <f t="shared" si="3"/>
        <v/>
      </c>
      <c r="G197" s="21"/>
      <c r="H197" s="22"/>
      <c r="I197" s="22"/>
      <c r="J197" s="23"/>
      <c r="K197" s="24"/>
    </row>
    <row r="198" spans="4:11" customFormat="1" x14ac:dyDescent="0.3">
      <c r="D198" s="59"/>
      <c r="E198" s="60"/>
      <c r="F198" s="20" t="str">
        <f t="shared" si="3"/>
        <v/>
      </c>
      <c r="G198" s="21"/>
      <c r="H198" s="22"/>
      <c r="I198" s="22"/>
      <c r="J198" s="23"/>
      <c r="K198" s="24"/>
    </row>
    <row r="199" spans="4:11" customFormat="1" x14ac:dyDescent="0.3">
      <c r="D199" s="59"/>
      <c r="E199" s="60"/>
      <c r="F199" s="20" t="str">
        <f t="shared" si="3"/>
        <v/>
      </c>
      <c r="G199" s="21"/>
      <c r="H199" s="22"/>
      <c r="I199" s="22"/>
      <c r="J199" s="23"/>
      <c r="K199" s="24"/>
    </row>
    <row r="200" spans="4:11" customFormat="1" x14ac:dyDescent="0.3">
      <c r="D200" s="59"/>
      <c r="E200" s="60"/>
      <c r="F200" s="20" t="str">
        <f t="shared" si="3"/>
        <v/>
      </c>
      <c r="G200" s="21"/>
      <c r="H200" s="22"/>
      <c r="I200" s="22"/>
      <c r="J200" s="23"/>
      <c r="K200" s="24"/>
    </row>
    <row r="201" spans="4:11" customFormat="1" x14ac:dyDescent="0.3">
      <c r="D201" s="59"/>
      <c r="E201" s="60"/>
      <c r="F201" s="20" t="str">
        <f t="shared" si="3"/>
        <v/>
      </c>
      <c r="G201" s="21"/>
      <c r="H201" s="22"/>
      <c r="I201" s="22"/>
      <c r="J201" s="23"/>
      <c r="K201" s="24"/>
    </row>
    <row r="202" spans="4:11" customFormat="1" x14ac:dyDescent="0.3">
      <c r="D202" s="59"/>
      <c r="E202" s="60"/>
      <c r="F202" s="20" t="str">
        <f t="shared" si="3"/>
        <v/>
      </c>
      <c r="G202" s="21"/>
      <c r="H202" s="22"/>
      <c r="I202" s="22"/>
      <c r="J202" s="23"/>
      <c r="K202" s="24"/>
    </row>
    <row r="203" spans="4:11" customFormat="1" x14ac:dyDescent="0.3">
      <c r="D203" s="59"/>
      <c r="E203" s="60"/>
      <c r="F203" s="20" t="str">
        <f t="shared" si="3"/>
        <v/>
      </c>
      <c r="G203" s="21"/>
      <c r="H203" s="22"/>
      <c r="I203" s="22"/>
      <c r="J203" s="23"/>
      <c r="K203" s="24"/>
    </row>
    <row r="204" spans="4:11" customFormat="1" x14ac:dyDescent="0.3">
      <c r="D204" s="59"/>
      <c r="E204" s="60"/>
      <c r="F204" s="20" t="str">
        <f t="shared" si="3"/>
        <v/>
      </c>
      <c r="G204" s="21"/>
      <c r="H204" s="22"/>
      <c r="I204" s="22"/>
      <c r="J204" s="23"/>
      <c r="K204" s="24"/>
    </row>
    <row r="205" spans="4:11" customFormat="1" x14ac:dyDescent="0.3">
      <c r="D205" s="59"/>
      <c r="E205" s="60"/>
      <c r="F205" s="20" t="str">
        <f t="shared" si="3"/>
        <v/>
      </c>
      <c r="G205" s="21"/>
      <c r="H205" s="22"/>
      <c r="I205" s="22"/>
      <c r="J205" s="23"/>
      <c r="K205" s="24"/>
    </row>
    <row r="206" spans="4:11" customFormat="1" x14ac:dyDescent="0.3">
      <c r="D206" s="59"/>
      <c r="E206" s="60"/>
      <c r="F206" s="20" t="str">
        <f t="shared" si="3"/>
        <v/>
      </c>
      <c r="G206" s="21"/>
      <c r="H206" s="22"/>
      <c r="I206" s="22"/>
      <c r="J206" s="23"/>
      <c r="K206" s="24"/>
    </row>
    <row r="207" spans="4:11" customFormat="1" x14ac:dyDescent="0.3">
      <c r="D207" s="59"/>
      <c r="E207" s="60"/>
      <c r="F207" s="20" t="str">
        <f t="shared" si="3"/>
        <v/>
      </c>
      <c r="G207" s="21"/>
      <c r="H207" s="22"/>
      <c r="I207" s="22"/>
      <c r="J207" s="23"/>
      <c r="K207" s="24"/>
    </row>
    <row r="208" spans="4:11" customFormat="1" x14ac:dyDescent="0.3">
      <c r="D208" s="59"/>
      <c r="E208" s="60"/>
      <c r="F208" s="20" t="str">
        <f t="shared" si="3"/>
        <v/>
      </c>
      <c r="G208" s="21"/>
      <c r="H208" s="22"/>
      <c r="I208" s="22"/>
      <c r="J208" s="23"/>
      <c r="K208" s="24"/>
    </row>
    <row r="209" spans="4:11" customFormat="1" x14ac:dyDescent="0.3">
      <c r="D209" s="59"/>
      <c r="E209" s="60"/>
      <c r="F209" s="20" t="str">
        <f t="shared" si="3"/>
        <v/>
      </c>
      <c r="G209" s="21"/>
      <c r="H209" s="22"/>
      <c r="I209" s="22"/>
      <c r="J209" s="23"/>
      <c r="K209" s="24"/>
    </row>
    <row r="210" spans="4:11" customFormat="1" x14ac:dyDescent="0.3">
      <c r="D210" s="59"/>
      <c r="E210" s="60"/>
      <c r="F210" s="20" t="str">
        <f t="shared" si="3"/>
        <v/>
      </c>
      <c r="G210" s="21"/>
      <c r="H210" s="22"/>
      <c r="I210" s="22"/>
      <c r="J210" s="23"/>
      <c r="K210" s="24"/>
    </row>
    <row r="211" spans="4:11" customFormat="1" x14ac:dyDescent="0.3">
      <c r="D211" s="59"/>
      <c r="E211" s="60"/>
      <c r="F211" s="20" t="str">
        <f t="shared" si="3"/>
        <v/>
      </c>
      <c r="G211" s="21"/>
      <c r="H211" s="22"/>
      <c r="I211" s="22"/>
      <c r="J211" s="23"/>
      <c r="K211" s="24"/>
    </row>
    <row r="212" spans="4:11" customFormat="1" x14ac:dyDescent="0.3">
      <c r="D212" s="59"/>
      <c r="E212" s="60"/>
      <c r="F212" s="20" t="str">
        <f t="shared" si="3"/>
        <v/>
      </c>
      <c r="G212" s="21"/>
      <c r="H212" s="22"/>
      <c r="I212" s="22"/>
      <c r="J212" s="23"/>
      <c r="K212" s="24"/>
    </row>
    <row r="213" spans="4:11" customFormat="1" x14ac:dyDescent="0.3">
      <c r="D213" s="59"/>
      <c r="E213" s="60"/>
      <c r="F213" s="20" t="str">
        <f t="shared" si="3"/>
        <v/>
      </c>
      <c r="G213" s="21"/>
      <c r="H213" s="22"/>
      <c r="I213" s="22"/>
      <c r="J213" s="23"/>
      <c r="K213" s="24"/>
    </row>
    <row r="214" spans="4:11" customFormat="1" x14ac:dyDescent="0.3">
      <c r="D214" s="59"/>
      <c r="E214" s="60"/>
      <c r="F214" s="20" t="str">
        <f t="shared" si="3"/>
        <v/>
      </c>
      <c r="G214" s="21"/>
      <c r="H214" s="22"/>
      <c r="I214" s="22"/>
      <c r="J214" s="23"/>
      <c r="K214" s="24"/>
    </row>
    <row r="215" spans="4:11" customFormat="1" x14ac:dyDescent="0.3">
      <c r="D215" s="59"/>
      <c r="E215" s="60"/>
      <c r="F215" s="20" t="str">
        <f t="shared" si="3"/>
        <v/>
      </c>
      <c r="G215" s="21"/>
      <c r="H215" s="22"/>
      <c r="I215" s="22"/>
      <c r="J215" s="23"/>
      <c r="K215" s="24"/>
    </row>
    <row r="216" spans="4:11" customFormat="1" x14ac:dyDescent="0.3">
      <c r="D216" s="59"/>
      <c r="E216" s="60"/>
      <c r="F216" s="20" t="str">
        <f t="shared" si="3"/>
        <v/>
      </c>
      <c r="G216" s="21"/>
      <c r="H216" s="22"/>
      <c r="I216" s="22"/>
      <c r="J216" s="23"/>
      <c r="K216" s="24"/>
    </row>
    <row r="217" spans="4:11" customFormat="1" x14ac:dyDescent="0.3">
      <c r="D217" s="59"/>
      <c r="E217" s="60"/>
      <c r="F217" s="20" t="str">
        <f t="shared" si="3"/>
        <v/>
      </c>
      <c r="G217" s="21"/>
      <c r="H217" s="22"/>
      <c r="I217" s="22"/>
      <c r="J217" s="23"/>
      <c r="K217" s="24"/>
    </row>
    <row r="218" spans="4:11" customFormat="1" x14ac:dyDescent="0.3">
      <c r="D218" s="59"/>
      <c r="E218" s="60"/>
      <c r="F218" s="20" t="str">
        <f t="shared" si="3"/>
        <v/>
      </c>
      <c r="G218" s="21"/>
      <c r="H218" s="22"/>
      <c r="I218" s="22"/>
      <c r="J218" s="23"/>
      <c r="K218" s="24"/>
    </row>
    <row r="219" spans="4:11" customFormat="1" x14ac:dyDescent="0.3">
      <c r="D219" s="59"/>
      <c r="E219" s="60"/>
      <c r="F219" s="20" t="str">
        <f t="shared" si="3"/>
        <v/>
      </c>
      <c r="G219" s="21"/>
      <c r="H219" s="22"/>
      <c r="I219" s="22"/>
      <c r="J219" s="23"/>
      <c r="K219" s="24"/>
    </row>
    <row r="220" spans="4:11" customFormat="1" x14ac:dyDescent="0.3">
      <c r="D220" s="59"/>
      <c r="E220" s="60"/>
      <c r="F220" s="20" t="str">
        <f t="shared" si="3"/>
        <v/>
      </c>
      <c r="G220" s="21"/>
      <c r="H220" s="22"/>
      <c r="I220" s="22"/>
      <c r="J220" s="23"/>
      <c r="K220" s="24"/>
    </row>
    <row r="221" spans="4:11" customFormat="1" x14ac:dyDescent="0.3">
      <c r="D221" s="59"/>
      <c r="E221" s="60"/>
      <c r="F221" s="20" t="str">
        <f t="shared" si="3"/>
        <v/>
      </c>
      <c r="G221" s="21"/>
      <c r="H221" s="22"/>
      <c r="I221" s="22"/>
      <c r="J221" s="23"/>
      <c r="K221" s="24"/>
    </row>
    <row r="222" spans="4:11" customFormat="1" x14ac:dyDescent="0.3">
      <c r="D222" s="59"/>
      <c r="E222" s="60"/>
      <c r="F222" s="20" t="str">
        <f t="shared" si="3"/>
        <v/>
      </c>
      <c r="G222" s="21"/>
      <c r="H222" s="22"/>
      <c r="I222" s="22"/>
      <c r="J222" s="23"/>
      <c r="K222" s="24"/>
    </row>
    <row r="223" spans="4:11" customFormat="1" x14ac:dyDescent="0.3">
      <c r="D223" s="59"/>
      <c r="E223" s="60"/>
      <c r="F223" s="20" t="str">
        <f t="shared" si="3"/>
        <v/>
      </c>
      <c r="G223" s="21"/>
      <c r="H223" s="22"/>
      <c r="I223" s="22"/>
      <c r="J223" s="23"/>
      <c r="K223" s="24"/>
    </row>
    <row r="224" spans="4:11" customFormat="1" x14ac:dyDescent="0.3">
      <c r="D224" s="59"/>
      <c r="E224" s="60"/>
      <c r="F224" s="20" t="str">
        <f t="shared" si="3"/>
        <v/>
      </c>
      <c r="G224" s="21"/>
      <c r="H224" s="22"/>
      <c r="I224" s="22"/>
      <c r="J224" s="23"/>
      <c r="K224" s="24"/>
    </row>
    <row r="225" spans="4:11" customFormat="1" x14ac:dyDescent="0.3">
      <c r="D225" s="59"/>
      <c r="E225" s="60"/>
      <c r="F225" s="20" t="str">
        <f t="shared" si="3"/>
        <v/>
      </c>
      <c r="G225" s="21"/>
      <c r="H225" s="22"/>
      <c r="I225" s="22"/>
      <c r="J225" s="23"/>
      <c r="K225" s="24"/>
    </row>
    <row r="226" spans="4:11" customFormat="1" x14ac:dyDescent="0.3">
      <c r="D226" s="59"/>
      <c r="E226" s="60"/>
      <c r="F226" s="20" t="str">
        <f t="shared" si="3"/>
        <v/>
      </c>
      <c r="G226" s="21"/>
      <c r="H226" s="22"/>
      <c r="I226" s="22"/>
      <c r="J226" s="23"/>
      <c r="K226" s="24"/>
    </row>
    <row r="227" spans="4:11" customFormat="1" x14ac:dyDescent="0.3">
      <c r="D227" s="59"/>
      <c r="E227" s="60"/>
      <c r="F227" s="20" t="str">
        <f t="shared" si="3"/>
        <v/>
      </c>
      <c r="G227" s="21"/>
      <c r="H227" s="22"/>
      <c r="I227" s="22"/>
      <c r="J227" s="23"/>
      <c r="K227" s="24"/>
    </row>
    <row r="228" spans="4:11" customFormat="1" x14ac:dyDescent="0.3">
      <c r="D228" s="59"/>
      <c r="E228" s="60"/>
      <c r="F228" s="20" t="str">
        <f t="shared" si="3"/>
        <v/>
      </c>
      <c r="G228" s="21"/>
      <c r="H228" s="22"/>
      <c r="I228" s="22"/>
      <c r="J228" s="23"/>
      <c r="K228" s="24"/>
    </row>
    <row r="229" spans="4:11" customFormat="1" x14ac:dyDescent="0.3">
      <c r="D229" s="59"/>
      <c r="E229" s="60"/>
      <c r="F229" s="20" t="str">
        <f t="shared" si="3"/>
        <v/>
      </c>
      <c r="G229" s="21"/>
      <c r="H229" s="22"/>
      <c r="I229" s="22"/>
      <c r="J229" s="23"/>
      <c r="K229" s="24"/>
    </row>
    <row r="230" spans="4:11" customFormat="1" x14ac:dyDescent="0.3">
      <c r="D230" s="59"/>
      <c r="E230" s="60"/>
      <c r="F230" s="20" t="str">
        <f t="shared" si="3"/>
        <v/>
      </c>
      <c r="G230" s="21"/>
      <c r="H230" s="22"/>
      <c r="I230" s="22"/>
      <c r="J230" s="23"/>
      <c r="K230" s="24"/>
    </row>
    <row r="231" spans="4:11" customFormat="1" x14ac:dyDescent="0.3">
      <c r="D231" s="59"/>
      <c r="E231" s="60"/>
      <c r="F231" s="20" t="str">
        <f t="shared" si="3"/>
        <v/>
      </c>
      <c r="G231" s="21"/>
      <c r="H231" s="22"/>
      <c r="I231" s="22"/>
      <c r="J231" s="23"/>
      <c r="K231" s="24"/>
    </row>
    <row r="232" spans="4:11" customFormat="1" x14ac:dyDescent="0.3">
      <c r="D232" s="59"/>
      <c r="E232" s="60"/>
      <c r="F232" s="20" t="str">
        <f t="shared" si="3"/>
        <v/>
      </c>
      <c r="G232" s="21"/>
      <c r="H232" s="22"/>
      <c r="I232" s="22"/>
      <c r="J232" s="23"/>
      <c r="K232" s="24"/>
    </row>
    <row r="233" spans="4:11" customFormat="1" x14ac:dyDescent="0.3">
      <c r="D233" s="59"/>
      <c r="E233" s="60"/>
      <c r="F233" s="20" t="str">
        <f t="shared" si="3"/>
        <v/>
      </c>
      <c r="G233" s="21"/>
      <c r="H233" s="22"/>
      <c r="I233" s="22"/>
      <c r="J233" s="23"/>
      <c r="K233" s="24"/>
    </row>
    <row r="234" spans="4:11" customFormat="1" x14ac:dyDescent="0.3">
      <c r="D234" s="59"/>
      <c r="E234" s="60"/>
      <c r="F234" s="20" t="str">
        <f t="shared" si="3"/>
        <v/>
      </c>
      <c r="G234" s="21"/>
      <c r="H234" s="22"/>
      <c r="I234" s="22"/>
      <c r="J234" s="23"/>
      <c r="K234" s="24"/>
    </row>
    <row r="235" spans="4:11" customFormat="1" x14ac:dyDescent="0.3">
      <c r="D235" s="59"/>
      <c r="E235" s="60"/>
      <c r="F235" s="20" t="str">
        <f t="shared" si="3"/>
        <v/>
      </c>
      <c r="G235" s="21"/>
      <c r="H235" s="22"/>
      <c r="I235" s="22"/>
      <c r="J235" s="23"/>
      <c r="K235" s="24"/>
    </row>
    <row r="236" spans="4:11" customFormat="1" x14ac:dyDescent="0.3">
      <c r="D236" s="59"/>
      <c r="E236" s="60"/>
      <c r="F236" s="20" t="str">
        <f t="shared" si="3"/>
        <v/>
      </c>
      <c r="G236" s="21"/>
      <c r="H236" s="22"/>
      <c r="I236" s="22"/>
      <c r="J236" s="23"/>
      <c r="K236" s="24"/>
    </row>
    <row r="237" spans="4:11" customFormat="1" x14ac:dyDescent="0.3">
      <c r="D237" s="59"/>
      <c r="E237" s="60"/>
      <c r="F237" s="20" t="str">
        <f t="shared" si="3"/>
        <v/>
      </c>
      <c r="G237" s="21"/>
      <c r="H237" s="22"/>
      <c r="I237" s="22"/>
      <c r="J237" s="23"/>
      <c r="K237" s="24"/>
    </row>
    <row r="238" spans="4:11" customFormat="1" x14ac:dyDescent="0.3">
      <c r="D238" s="59"/>
      <c r="E238" s="60"/>
      <c r="F238" s="20" t="str">
        <f t="shared" si="3"/>
        <v/>
      </c>
      <c r="G238" s="21"/>
      <c r="H238" s="22"/>
      <c r="I238" s="22"/>
      <c r="J238" s="23"/>
      <c r="K238" s="24"/>
    </row>
    <row r="239" spans="4:11" customFormat="1" x14ac:dyDescent="0.3">
      <c r="D239" s="59"/>
      <c r="E239" s="60"/>
      <c r="F239" s="20" t="str">
        <f t="shared" si="3"/>
        <v/>
      </c>
      <c r="G239" s="21"/>
      <c r="H239" s="22"/>
      <c r="I239" s="22"/>
      <c r="J239" s="23"/>
      <c r="K239" s="24"/>
    </row>
    <row r="240" spans="4:11" customFormat="1" x14ac:dyDescent="0.3">
      <c r="D240" s="59"/>
      <c r="E240" s="60"/>
      <c r="F240" s="20" t="str">
        <f t="shared" si="3"/>
        <v/>
      </c>
      <c r="G240" s="21"/>
      <c r="H240" s="22"/>
      <c r="I240" s="22"/>
      <c r="J240" s="23"/>
      <c r="K240" s="24"/>
    </row>
    <row r="241" spans="4:11" customFormat="1" x14ac:dyDescent="0.3">
      <c r="D241" s="59"/>
      <c r="E241" s="60"/>
      <c r="F241" s="20" t="str">
        <f t="shared" si="3"/>
        <v/>
      </c>
      <c r="G241" s="21"/>
      <c r="H241" s="22"/>
      <c r="I241" s="22"/>
      <c r="J241" s="23"/>
      <c r="K241" s="24"/>
    </row>
    <row r="242" spans="4:11" customFormat="1" x14ac:dyDescent="0.3">
      <c r="D242" s="59"/>
      <c r="E242" s="60"/>
      <c r="F242" s="20" t="str">
        <f t="shared" si="3"/>
        <v/>
      </c>
      <c r="G242" s="21"/>
      <c r="H242" s="22"/>
      <c r="I242" s="22"/>
      <c r="J242" s="23"/>
      <c r="K242" s="24"/>
    </row>
    <row r="243" spans="4:11" customFormat="1" x14ac:dyDescent="0.3">
      <c r="D243" s="59"/>
      <c r="E243" s="60"/>
      <c r="F243" s="20" t="str">
        <f t="shared" si="3"/>
        <v/>
      </c>
      <c r="G243" s="21"/>
      <c r="H243" s="22"/>
      <c r="I243" s="22"/>
      <c r="J243" s="23"/>
      <c r="K243" s="24"/>
    </row>
    <row r="244" spans="4:11" customFormat="1" x14ac:dyDescent="0.3">
      <c r="D244" s="59"/>
      <c r="E244" s="60"/>
      <c r="F244" s="20" t="str">
        <f t="shared" si="3"/>
        <v/>
      </c>
      <c r="G244" s="21"/>
      <c r="H244" s="22"/>
      <c r="I244" s="22"/>
      <c r="J244" s="23"/>
      <c r="K244" s="24"/>
    </row>
    <row r="245" spans="4:11" customFormat="1" x14ac:dyDescent="0.3">
      <c r="D245" s="59"/>
      <c r="E245" s="60"/>
      <c r="F245" s="20" t="str">
        <f t="shared" si="3"/>
        <v/>
      </c>
      <c r="G245" s="21"/>
      <c r="H245" s="22"/>
      <c r="I245" s="22"/>
      <c r="J245" s="23"/>
      <c r="K245" s="24"/>
    </row>
    <row r="246" spans="4:11" customFormat="1" x14ac:dyDescent="0.3">
      <c r="D246" s="59"/>
      <c r="E246" s="60"/>
      <c r="F246" s="20" t="str">
        <f t="shared" si="3"/>
        <v/>
      </c>
      <c r="G246" s="21"/>
      <c r="H246" s="22"/>
      <c r="I246" s="22"/>
      <c r="J246" s="23"/>
      <c r="K246" s="24"/>
    </row>
    <row r="247" spans="4:11" customFormat="1" x14ac:dyDescent="0.3">
      <c r="D247" s="59"/>
      <c r="E247" s="60"/>
      <c r="F247" s="20" t="str">
        <f t="shared" si="3"/>
        <v/>
      </c>
      <c r="G247" s="21"/>
      <c r="H247" s="22"/>
      <c r="I247" s="22"/>
      <c r="J247" s="23"/>
      <c r="K247" s="24"/>
    </row>
    <row r="248" spans="4:11" customFormat="1" x14ac:dyDescent="0.3">
      <c r="D248" s="59"/>
      <c r="E248" s="60"/>
      <c r="F248" s="20" t="str">
        <f t="shared" si="3"/>
        <v/>
      </c>
      <c r="G248" s="21"/>
      <c r="H248" s="22"/>
      <c r="I248" s="22"/>
      <c r="J248" s="23"/>
      <c r="K248" s="24"/>
    </row>
    <row r="249" spans="4:11" customFormat="1" x14ac:dyDescent="0.3">
      <c r="D249" s="59"/>
      <c r="E249" s="60"/>
      <c r="F249" s="20" t="str">
        <f t="shared" si="3"/>
        <v/>
      </c>
      <c r="G249" s="21"/>
      <c r="H249" s="22"/>
      <c r="I249" s="22"/>
      <c r="J249" s="23"/>
      <c r="K249" s="24"/>
    </row>
    <row r="250" spans="4:11" customFormat="1" x14ac:dyDescent="0.3">
      <c r="D250" s="59"/>
      <c r="E250" s="60"/>
      <c r="F250" s="20" t="str">
        <f t="shared" si="3"/>
        <v/>
      </c>
      <c r="G250" s="21"/>
      <c r="H250" s="22"/>
      <c r="I250" s="22"/>
      <c r="J250" s="23"/>
      <c r="K250" s="24"/>
    </row>
    <row r="251" spans="4:11" customFormat="1" x14ac:dyDescent="0.3">
      <c r="D251" s="59"/>
      <c r="E251" s="60"/>
      <c r="F251" s="20" t="str">
        <f t="shared" si="3"/>
        <v/>
      </c>
      <c r="G251" s="21"/>
      <c r="H251" s="22"/>
      <c r="I251" s="22"/>
      <c r="J251" s="23"/>
      <c r="K251" s="24"/>
    </row>
    <row r="252" spans="4:11" customFormat="1" x14ac:dyDescent="0.3">
      <c r="D252" s="59"/>
      <c r="E252" s="60"/>
      <c r="F252" s="20" t="str">
        <f t="shared" si="3"/>
        <v/>
      </c>
      <c r="G252" s="21"/>
      <c r="H252" s="22"/>
      <c r="I252" s="22"/>
      <c r="J252" s="23"/>
      <c r="K252" s="24"/>
    </row>
    <row r="253" spans="4:11" customFormat="1" x14ac:dyDescent="0.3">
      <c r="D253" s="59"/>
      <c r="E253" s="60"/>
      <c r="F253" s="20" t="str">
        <f t="shared" si="3"/>
        <v/>
      </c>
      <c r="G253" s="21"/>
      <c r="H253" s="22"/>
      <c r="I253" s="22"/>
      <c r="J253" s="23"/>
      <c r="K253" s="24"/>
    </row>
    <row r="254" spans="4:11" customFormat="1" x14ac:dyDescent="0.3">
      <c r="D254" s="59"/>
      <c r="E254" s="60"/>
      <c r="F254" s="20" t="str">
        <f t="shared" si="3"/>
        <v/>
      </c>
      <c r="G254" s="21"/>
      <c r="H254" s="22"/>
      <c r="I254" s="22"/>
      <c r="J254" s="23"/>
      <c r="K254" s="24"/>
    </row>
    <row r="255" spans="4:11" customFormat="1" x14ac:dyDescent="0.3">
      <c r="D255" s="59"/>
      <c r="E255" s="60"/>
      <c r="F255" s="20" t="str">
        <f t="shared" si="3"/>
        <v/>
      </c>
      <c r="G255" s="21"/>
      <c r="H255" s="22"/>
      <c r="I255" s="22"/>
      <c r="J255" s="23"/>
      <c r="K255" s="24"/>
    </row>
    <row r="256" spans="4:11" customFormat="1" x14ac:dyDescent="0.3">
      <c r="D256" s="59"/>
      <c r="E256" s="60"/>
      <c r="F256" s="20" t="str">
        <f t="shared" si="3"/>
        <v/>
      </c>
      <c r="G256" s="21"/>
      <c r="H256" s="22"/>
      <c r="I256" s="22"/>
      <c r="J256" s="23"/>
      <c r="K256" s="24"/>
    </row>
    <row r="257" spans="4:11" customFormat="1" x14ac:dyDescent="0.3">
      <c r="D257" s="59"/>
      <c r="E257" s="60"/>
      <c r="F257" s="20" t="str">
        <f t="shared" si="3"/>
        <v/>
      </c>
      <c r="G257" s="21"/>
      <c r="H257" s="22"/>
      <c r="I257" s="22"/>
      <c r="J257" s="23"/>
      <c r="K257" s="24"/>
    </row>
    <row r="258" spans="4:11" customFormat="1" x14ac:dyDescent="0.3">
      <c r="D258" s="59"/>
      <c r="E258" s="60"/>
      <c r="F258" s="20" t="str">
        <f t="shared" si="3"/>
        <v/>
      </c>
      <c r="G258" s="21"/>
      <c r="H258" s="22"/>
      <c r="I258" s="22"/>
      <c r="J258" s="23"/>
      <c r="K258" s="24"/>
    </row>
    <row r="259" spans="4:11" customFormat="1" x14ac:dyDescent="0.3">
      <c r="D259" s="59"/>
      <c r="E259" s="60"/>
      <c r="F259" s="20" t="str">
        <f t="shared" ref="F259:F267" si="4">IF(A259="","",J259-ROUNDDOWN(J259*3%,-1)-ROUNDDOWN(J259*0.3%,-1))</f>
        <v/>
      </c>
      <c r="G259" s="21"/>
      <c r="H259" s="22"/>
      <c r="I259" s="22"/>
      <c r="J259" s="23"/>
      <c r="K259" s="24"/>
    </row>
    <row r="260" spans="4:11" customFormat="1" x14ac:dyDescent="0.3">
      <c r="D260" s="59"/>
      <c r="E260" s="60"/>
      <c r="F260" s="20" t="str">
        <f t="shared" si="4"/>
        <v/>
      </c>
      <c r="G260" s="21"/>
      <c r="H260" s="22"/>
      <c r="I260" s="22"/>
      <c r="J260" s="23"/>
      <c r="K260" s="24"/>
    </row>
    <row r="261" spans="4:11" customFormat="1" x14ac:dyDescent="0.3">
      <c r="D261" s="59"/>
      <c r="E261" s="60"/>
      <c r="F261" s="20" t="str">
        <f t="shared" si="4"/>
        <v/>
      </c>
      <c r="G261" s="21"/>
      <c r="H261" s="22"/>
      <c r="I261" s="22"/>
      <c r="J261" s="23"/>
      <c r="K261" s="24"/>
    </row>
    <row r="262" spans="4:11" customFormat="1" x14ac:dyDescent="0.3">
      <c r="D262" s="59"/>
      <c r="E262" s="60"/>
      <c r="F262" s="20" t="str">
        <f t="shared" si="4"/>
        <v/>
      </c>
      <c r="G262" s="21"/>
      <c r="H262" s="22"/>
      <c r="I262" s="22"/>
      <c r="J262" s="23"/>
      <c r="K262" s="24"/>
    </row>
    <row r="263" spans="4:11" customFormat="1" x14ac:dyDescent="0.3">
      <c r="D263" s="59"/>
      <c r="E263" s="60"/>
      <c r="F263" s="20" t="str">
        <f t="shared" si="4"/>
        <v/>
      </c>
      <c r="G263" s="21"/>
      <c r="H263" s="22"/>
      <c r="I263" s="22"/>
      <c r="J263" s="23"/>
      <c r="K263" s="24"/>
    </row>
    <row r="264" spans="4:11" customFormat="1" x14ac:dyDescent="0.3">
      <c r="D264" s="59"/>
      <c r="E264" s="60"/>
      <c r="F264" s="20" t="str">
        <f t="shared" si="4"/>
        <v/>
      </c>
      <c r="G264" s="21"/>
      <c r="H264" s="22"/>
      <c r="I264" s="22"/>
      <c r="J264" s="23"/>
      <c r="K264" s="24"/>
    </row>
    <row r="265" spans="4:11" customFormat="1" x14ac:dyDescent="0.3">
      <c r="D265" s="59"/>
      <c r="E265" s="60"/>
      <c r="F265" s="20" t="str">
        <f t="shared" si="4"/>
        <v/>
      </c>
      <c r="G265" s="21"/>
      <c r="H265" s="22"/>
      <c r="I265" s="22"/>
      <c r="J265" s="23"/>
      <c r="K265" s="24"/>
    </row>
    <row r="266" spans="4:11" customFormat="1" x14ac:dyDescent="0.3">
      <c r="D266" s="59"/>
      <c r="E266" s="60"/>
      <c r="F266" s="20" t="str">
        <f t="shared" si="4"/>
        <v/>
      </c>
      <c r="G266" s="21"/>
      <c r="H266" s="22"/>
      <c r="I266" s="22"/>
      <c r="J266" s="23"/>
      <c r="K266" s="24"/>
    </row>
    <row r="267" spans="4:11" customFormat="1" x14ac:dyDescent="0.3">
      <c r="D267" s="59"/>
      <c r="E267" s="60"/>
      <c r="F267" s="20" t="str">
        <f t="shared" si="4"/>
        <v/>
      </c>
      <c r="G267" s="21"/>
      <c r="H267" s="22"/>
      <c r="I267" s="22"/>
      <c r="J267" s="23"/>
      <c r="K267" s="24"/>
    </row>
  </sheetData>
  <phoneticPr fontId="1" type="noConversion"/>
  <conditionalFormatting sqref="E1:E1048576">
    <cfRule type="cellIs" dxfId="28" priority="4" operator="equal">
      <formula>0</formula>
    </cfRule>
  </conditionalFormatting>
  <conditionalFormatting sqref="G1:G1048576">
    <cfRule type="cellIs" dxfId="27" priority="3" operator="equal">
      <formula>0</formula>
    </cfRule>
  </conditionalFormatting>
  <conditionalFormatting sqref="K1:K1048576">
    <cfRule type="cellIs" dxfId="26" priority="2" operator="equal">
      <formula>0</formula>
    </cfRule>
  </conditionalFormatting>
  <conditionalFormatting sqref="B2:B267">
    <cfRule type="expression" dxfId="25" priority="1">
      <formula>B2&lt;&gt;G2</formula>
    </cfRule>
  </conditionalFormatting>
  <pageMargins left="0.7" right="0.7" top="0.75" bottom="0.75" header="0.3" footer="0.3"/>
  <pageSetup paperSize="9" orientation="portrait" horizontalDpi="300" verticalDpi="300" r:id="rId1"/>
  <ignoredErrors>
    <ignoredError sqref="F1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0BA04-A013-473A-AF19-C345EFA7EF52}">
  <sheetPr codeName="Sheet11"/>
  <dimension ref="A1:D89"/>
  <sheetViews>
    <sheetView workbookViewId="0">
      <selection activeCell="D18" sqref="D18"/>
    </sheetView>
  </sheetViews>
  <sheetFormatPr defaultRowHeight="16.5" x14ac:dyDescent="0.3"/>
  <cols>
    <col min="3" max="3" width="27.25" bestFit="1" customWidth="1"/>
    <col min="4" max="4" width="50.125" customWidth="1"/>
    <col min="5" max="5" width="35.875" customWidth="1"/>
  </cols>
  <sheetData>
    <row r="1" spans="1:4" x14ac:dyDescent="0.3">
      <c r="A1" t="s">
        <v>11</v>
      </c>
      <c r="B1" t="s">
        <v>12</v>
      </c>
      <c r="C1" t="s">
        <v>45</v>
      </c>
      <c r="D1" t="s">
        <v>46</v>
      </c>
    </row>
    <row r="2" spans="1:4" x14ac:dyDescent="0.3">
      <c r="A2" t="e" cm="1" vm="1">
        <f t="array" ref="A2">_xlfn._xlws.FILTER(종합!A5:B1000,종합!A5:A1000&lt;&gt;"")</f>
        <v>#VALUE!</v>
      </c>
      <c r="C2" t="e" vm="2">
        <f>IF(A2="","",_xlfn.XLOOKUP(A2,members!A:A,members!H:H,"NoData"))</f>
        <v>#VALUE!</v>
      </c>
      <c r="D2" t="e" cm="1" vm="2">
        <f t="array" ref="D2">_xlfn._xlws.FILTER(A2:A1000,A2:A1000&lt;&gt;"")&amp;"_"&amp;_xlfn._xlws.FILTER(B2:B1000,A2:A1000&lt;&gt;"")&amp;"_"&amp;setting!B1&amp;"년_"&amp;setting!D1&amp;"월_PROJECT-N_급여명세.pdf"</f>
        <v>#VALUE!</v>
      </c>
    </row>
    <row r="3" spans="1:4" x14ac:dyDescent="0.3">
      <c r="C3" t="str">
        <f>IF(A3="","",_xlfn.XLOOKUP(A3,members!A:A,members!H:H,"NoData"))</f>
        <v/>
      </c>
    </row>
    <row r="4" spans="1:4" x14ac:dyDescent="0.3">
      <c r="C4" t="str">
        <f>IF(A4="","",_xlfn.XLOOKUP(A4,members!A:A,members!H:H,"NoData"))</f>
        <v/>
      </c>
    </row>
    <row r="5" spans="1:4" x14ac:dyDescent="0.3">
      <c r="C5" t="str">
        <f>IF(A5="","",_xlfn.XLOOKUP(A5,members!A:A,members!H:H,"NoData"))</f>
        <v/>
      </c>
    </row>
    <row r="6" spans="1:4" x14ac:dyDescent="0.3">
      <c r="C6" t="str">
        <f>IF(A6="","",_xlfn.XLOOKUP(A6,members!A:A,members!H:H,"NoData"))</f>
        <v/>
      </c>
    </row>
    <row r="7" spans="1:4" x14ac:dyDescent="0.3">
      <c r="C7" t="str">
        <f>IF(A7="","",_xlfn.XLOOKUP(A7,members!A:A,members!H:H,"NoData"))</f>
        <v/>
      </c>
    </row>
    <row r="8" spans="1:4" x14ac:dyDescent="0.3">
      <c r="C8" t="str">
        <f>IF(A8="","",_xlfn.XLOOKUP(A8,members!A:A,members!H:H,"NoData"))</f>
        <v/>
      </c>
    </row>
    <row r="9" spans="1:4" x14ac:dyDescent="0.3">
      <c r="C9" t="str">
        <f>IF(A9="","",_xlfn.XLOOKUP(A9,members!A:A,members!H:H,"NoData"))</f>
        <v/>
      </c>
    </row>
    <row r="10" spans="1:4" x14ac:dyDescent="0.3">
      <c r="C10" t="str">
        <f>IF(A10="","",_xlfn.XLOOKUP(A10,members!A:A,members!H:H,"NoData"))</f>
        <v/>
      </c>
    </row>
    <row r="11" spans="1:4" x14ac:dyDescent="0.3">
      <c r="C11" t="str">
        <f>IF(A11="","",_xlfn.XLOOKUP(A11,members!A:A,members!H:H,"NoData"))</f>
        <v/>
      </c>
    </row>
    <row r="12" spans="1:4" x14ac:dyDescent="0.3">
      <c r="C12" t="str">
        <f>IF(A12="","",_xlfn.XLOOKUP(A12,members!A:A,members!H:H,"NoData"))</f>
        <v/>
      </c>
    </row>
    <row r="13" spans="1:4" x14ac:dyDescent="0.3">
      <c r="C13" t="str">
        <f>IF(A13="","",_xlfn.XLOOKUP(A13,members!A:A,members!H:H,"NoData"))</f>
        <v/>
      </c>
    </row>
    <row r="14" spans="1:4" x14ac:dyDescent="0.3">
      <c r="C14" t="str">
        <f>IF(A14="","",_xlfn.XLOOKUP(A14,members!A:A,members!H:H,"NoData"))</f>
        <v/>
      </c>
    </row>
    <row r="15" spans="1:4" x14ac:dyDescent="0.3">
      <c r="C15" t="str">
        <f>IF(A15="","",_xlfn.XLOOKUP(A15,members!A:A,members!H:H,"NoData"))</f>
        <v/>
      </c>
    </row>
    <row r="16" spans="1:4" x14ac:dyDescent="0.3">
      <c r="C16" t="str">
        <f>IF(A16="","",_xlfn.XLOOKUP(A16,members!A:A,members!H:H,"NoData"))</f>
        <v/>
      </c>
    </row>
    <row r="17" spans="3:3" x14ac:dyDescent="0.3">
      <c r="C17" t="str">
        <f>IF(A17="","",_xlfn.XLOOKUP(A17,members!A:A,members!H:H,"NoData"))</f>
        <v/>
      </c>
    </row>
    <row r="18" spans="3:3" x14ac:dyDescent="0.3">
      <c r="C18" t="str">
        <f>IF(A18="","",_xlfn.XLOOKUP(A18,members!A:A,members!H:H,"NoData"))</f>
        <v/>
      </c>
    </row>
    <row r="19" spans="3:3" x14ac:dyDescent="0.3">
      <c r="C19" t="str">
        <f>IF(A19="","",_xlfn.XLOOKUP(A19,members!A:A,members!H:H,"NoData"))</f>
        <v/>
      </c>
    </row>
    <row r="20" spans="3:3" x14ac:dyDescent="0.3">
      <c r="C20" t="str">
        <f>IF(A20="","",_xlfn.XLOOKUP(A20,members!A:A,members!H:H,"NoData"))</f>
        <v/>
      </c>
    </row>
    <row r="21" spans="3:3" x14ac:dyDescent="0.3">
      <c r="C21" t="str">
        <f>IF(A21="","",_xlfn.XLOOKUP(A21,members!A:A,members!H:H,"NoData"))</f>
        <v/>
      </c>
    </row>
    <row r="22" spans="3:3" x14ac:dyDescent="0.3">
      <c r="C22" t="str">
        <f>IF(A22="","",_xlfn.XLOOKUP(A22,members!A:A,members!H:H,"NoData"))</f>
        <v/>
      </c>
    </row>
    <row r="23" spans="3:3" x14ac:dyDescent="0.3">
      <c r="C23" t="str">
        <f>IF(A23="","",_xlfn.XLOOKUP(A23,members!A:A,members!H:H,"NoData"))</f>
        <v/>
      </c>
    </row>
    <row r="24" spans="3:3" x14ac:dyDescent="0.3">
      <c r="C24" t="str">
        <f>IF(A24="","",_xlfn.XLOOKUP(A24,members!A:A,members!H:H,"NoData"))</f>
        <v/>
      </c>
    </row>
    <row r="25" spans="3:3" x14ac:dyDescent="0.3">
      <c r="C25" t="str">
        <f>IF(A25="","",_xlfn.XLOOKUP(A25,members!A:A,members!H:H,"NoData"))</f>
        <v/>
      </c>
    </row>
    <row r="26" spans="3:3" x14ac:dyDescent="0.3">
      <c r="C26" t="str">
        <f>IF(A26="","",_xlfn.XLOOKUP(A26,members!A:A,members!H:H,"NoData"))</f>
        <v/>
      </c>
    </row>
    <row r="27" spans="3:3" x14ac:dyDescent="0.3">
      <c r="C27" t="str">
        <f>IF(A27="","",_xlfn.XLOOKUP(A27,members!A:A,members!H:H,"NoData"))</f>
        <v/>
      </c>
    </row>
    <row r="28" spans="3:3" x14ac:dyDescent="0.3">
      <c r="C28" t="str">
        <f>IF(A28="","",_xlfn.XLOOKUP(A28,members!A:A,members!H:H,"NoData"))</f>
        <v/>
      </c>
    </row>
    <row r="29" spans="3:3" x14ac:dyDescent="0.3">
      <c r="C29" t="str">
        <f>IF(A29="","",_xlfn.XLOOKUP(A29,members!A:A,members!H:H,"NoData"))</f>
        <v/>
      </c>
    </row>
    <row r="30" spans="3:3" x14ac:dyDescent="0.3">
      <c r="C30" t="str">
        <f>IF(A30="","",_xlfn.XLOOKUP(A30,members!A:A,members!H:H,"NoData"))</f>
        <v/>
      </c>
    </row>
    <row r="31" spans="3:3" x14ac:dyDescent="0.3">
      <c r="C31" t="str">
        <f>IF(A31="","",_xlfn.XLOOKUP(A31,members!A:A,members!H:H,"NoData"))</f>
        <v/>
      </c>
    </row>
    <row r="32" spans="3:3" x14ac:dyDescent="0.3">
      <c r="C32" t="str">
        <f>IF(A32="","",_xlfn.XLOOKUP(A32,members!A:A,members!H:H,"NoData"))</f>
        <v/>
      </c>
    </row>
    <row r="33" spans="3:3" x14ac:dyDescent="0.3">
      <c r="C33" t="str">
        <f>IF(A33="","",_xlfn.XLOOKUP(A33,members!A:A,members!H:H,"NoData"))</f>
        <v/>
      </c>
    </row>
    <row r="34" spans="3:3" x14ac:dyDescent="0.3">
      <c r="C34" t="str">
        <f>IF(A34="","",_xlfn.XLOOKUP(A34,members!A:A,members!H:H,"NoData"))</f>
        <v/>
      </c>
    </row>
    <row r="35" spans="3:3" x14ac:dyDescent="0.3">
      <c r="C35" t="str">
        <f>IF(A35="","",_xlfn.XLOOKUP(A35,members!A:A,members!H:H,"NoData"))</f>
        <v/>
      </c>
    </row>
    <row r="36" spans="3:3" x14ac:dyDescent="0.3">
      <c r="C36" t="str">
        <f>IF(A36="","",_xlfn.XLOOKUP(A36,members!A:A,members!H:H,"NoData"))</f>
        <v/>
      </c>
    </row>
    <row r="37" spans="3:3" x14ac:dyDescent="0.3">
      <c r="C37" t="str">
        <f>IF(A37="","",_xlfn.XLOOKUP(A37,members!A:A,members!H:H,"NoData"))</f>
        <v/>
      </c>
    </row>
    <row r="38" spans="3:3" x14ac:dyDescent="0.3">
      <c r="C38" t="str">
        <f>IF(A38="","",_xlfn.XLOOKUP(A38,members!A:A,members!H:H,"NoData"))</f>
        <v/>
      </c>
    </row>
    <row r="39" spans="3:3" x14ac:dyDescent="0.3">
      <c r="C39" t="str">
        <f>IF(A39="","",_xlfn.XLOOKUP(A39,members!A:A,members!H:H,"NoData"))</f>
        <v/>
      </c>
    </row>
    <row r="40" spans="3:3" x14ac:dyDescent="0.3">
      <c r="C40" t="str">
        <f>IF(A40="","",_xlfn.XLOOKUP(A40,members!A:A,members!H:H,"NoData"))</f>
        <v/>
      </c>
    </row>
    <row r="41" spans="3:3" x14ac:dyDescent="0.3">
      <c r="C41" t="str">
        <f>IF(A41="","",_xlfn.XLOOKUP(A41,members!A:A,members!H:H,"NoData"))</f>
        <v/>
      </c>
    </row>
    <row r="42" spans="3:3" x14ac:dyDescent="0.3">
      <c r="C42" t="str">
        <f>IF(A42="","",_xlfn.XLOOKUP(A42,members!A:A,members!H:H,"NoData"))</f>
        <v/>
      </c>
    </row>
    <row r="43" spans="3:3" x14ac:dyDescent="0.3">
      <c r="C43" t="str">
        <f>IF(A43="","",_xlfn.XLOOKUP(A43,members!A:A,members!H:H,"NoData"))</f>
        <v/>
      </c>
    </row>
    <row r="44" spans="3:3" x14ac:dyDescent="0.3">
      <c r="C44" t="str">
        <f>IF(A44="","",_xlfn.XLOOKUP(A44,members!A:A,members!H:H,"NoData"))</f>
        <v/>
      </c>
    </row>
    <row r="45" spans="3:3" x14ac:dyDescent="0.3">
      <c r="C45" t="str">
        <f>IF(A45="","",_xlfn.XLOOKUP(A45,members!A:A,members!H:H,"NoData"))</f>
        <v/>
      </c>
    </row>
    <row r="46" spans="3:3" x14ac:dyDescent="0.3">
      <c r="C46" t="str">
        <f>IF(A46="","",_xlfn.XLOOKUP(A46,members!A:A,members!H:H,"NoData"))</f>
        <v/>
      </c>
    </row>
    <row r="47" spans="3:3" x14ac:dyDescent="0.3">
      <c r="C47" t="str">
        <f>IF(A47="","",_xlfn.XLOOKUP(A47,members!A:A,members!H:H,"NoData"))</f>
        <v/>
      </c>
    </row>
    <row r="48" spans="3:3" x14ac:dyDescent="0.3">
      <c r="C48" t="str">
        <f>IF(A48="","",_xlfn.XLOOKUP(A48,members!A:A,members!H:H,"NoData"))</f>
        <v/>
      </c>
    </row>
    <row r="49" spans="3:3" x14ac:dyDescent="0.3">
      <c r="C49" t="str">
        <f>IF(A49="","",_xlfn.XLOOKUP(A49,members!A:A,members!H:H,"NoData"))</f>
        <v/>
      </c>
    </row>
    <row r="50" spans="3:3" x14ac:dyDescent="0.3">
      <c r="C50" t="str">
        <f>IF(A50="","",_xlfn.XLOOKUP(A50,members!A:A,members!H:H,"NoData"))</f>
        <v/>
      </c>
    </row>
    <row r="51" spans="3:3" x14ac:dyDescent="0.3">
      <c r="C51" t="str">
        <f>IF(A51="","",_xlfn.XLOOKUP(A51,members!A:A,members!H:H,"NoData"))</f>
        <v/>
      </c>
    </row>
    <row r="52" spans="3:3" x14ac:dyDescent="0.3">
      <c r="C52" t="str">
        <f>IF(A52="","",_xlfn.XLOOKUP(A52,members!A:A,members!H:H,"NoData"))</f>
        <v/>
      </c>
    </row>
    <row r="53" spans="3:3" x14ac:dyDescent="0.3">
      <c r="C53" t="str">
        <f>IF(A53="","",_xlfn.XLOOKUP(A53,members!A:A,members!H:H,"NoData"))</f>
        <v/>
      </c>
    </row>
    <row r="54" spans="3:3" x14ac:dyDescent="0.3">
      <c r="C54" t="str">
        <f>IF(A54="","",_xlfn.XLOOKUP(A54,members!A:A,members!H:H,"NoData"))</f>
        <v/>
      </c>
    </row>
    <row r="55" spans="3:3" x14ac:dyDescent="0.3">
      <c r="C55" t="str">
        <f>IF(A55="","",_xlfn.XLOOKUP(A55,members!A:A,members!H:H,"NoData"))</f>
        <v/>
      </c>
    </row>
    <row r="56" spans="3:3" x14ac:dyDescent="0.3">
      <c r="C56" t="str">
        <f>IF(A56="","",_xlfn.XLOOKUP(A56,members!A:A,members!H:H,"NoData"))</f>
        <v/>
      </c>
    </row>
    <row r="57" spans="3:3" x14ac:dyDescent="0.3">
      <c r="C57" t="str">
        <f>IF(A57="","",_xlfn.XLOOKUP(A57,members!A:A,members!H:H,"NoData"))</f>
        <v/>
      </c>
    </row>
    <row r="58" spans="3:3" x14ac:dyDescent="0.3">
      <c r="C58" t="str">
        <f>IF(A58="","",_xlfn.XLOOKUP(A58,members!A:A,members!H:H,"NoData"))</f>
        <v/>
      </c>
    </row>
    <row r="59" spans="3:3" x14ac:dyDescent="0.3">
      <c r="C59" t="str">
        <f>IF(A59="","",_xlfn.XLOOKUP(A59,members!A:A,members!H:H,"NoData"))</f>
        <v/>
      </c>
    </row>
    <row r="60" spans="3:3" x14ac:dyDescent="0.3">
      <c r="C60" t="str">
        <f>IF(A60="","",_xlfn.XLOOKUP(A60,members!A:A,members!H:H,"NoData"))</f>
        <v/>
      </c>
    </row>
    <row r="61" spans="3:3" x14ac:dyDescent="0.3">
      <c r="C61" t="str">
        <f>IF(A61="","",_xlfn.XLOOKUP(A61,members!A:A,members!H:H,"NoData"))</f>
        <v/>
      </c>
    </row>
    <row r="62" spans="3:3" x14ac:dyDescent="0.3">
      <c r="C62" t="str">
        <f>IF(A62="","",_xlfn.XLOOKUP(A62,members!A:A,members!H:H,"NoData"))</f>
        <v/>
      </c>
    </row>
    <row r="63" spans="3:3" x14ac:dyDescent="0.3">
      <c r="C63" t="str">
        <f>IF(A63="","",_xlfn.XLOOKUP(A63,members!A:A,members!H:H,"NoData"))</f>
        <v/>
      </c>
    </row>
    <row r="64" spans="3:3" x14ac:dyDescent="0.3">
      <c r="C64" t="str">
        <f>IF(A64="","",_xlfn.XLOOKUP(A64,members!A:A,members!H:H,"NoData"))</f>
        <v/>
      </c>
    </row>
    <row r="65" spans="3:3" x14ac:dyDescent="0.3">
      <c r="C65" t="str">
        <f>IF(A65="","",_xlfn.XLOOKUP(A65,members!A:A,members!H:H,"NoData"))</f>
        <v/>
      </c>
    </row>
    <row r="66" spans="3:3" x14ac:dyDescent="0.3">
      <c r="C66" t="str">
        <f>IF(A66="","",_xlfn.XLOOKUP(A66,members!A:A,members!H:H,"NoData"))</f>
        <v/>
      </c>
    </row>
    <row r="67" spans="3:3" x14ac:dyDescent="0.3">
      <c r="C67" t="str">
        <f>IF(A67="","",_xlfn.XLOOKUP(A67,members!A:A,members!H:H,"NoData"))</f>
        <v/>
      </c>
    </row>
    <row r="68" spans="3:3" x14ac:dyDescent="0.3">
      <c r="C68" t="str">
        <f>IF(A68="","",_xlfn.XLOOKUP(A68,members!A:A,members!H:H,"NoData"))</f>
        <v/>
      </c>
    </row>
    <row r="69" spans="3:3" x14ac:dyDescent="0.3">
      <c r="C69" t="str">
        <f>IF(A69="","",_xlfn.XLOOKUP(A69,members!A:A,members!H:H,"NoData"))</f>
        <v/>
      </c>
    </row>
    <row r="70" spans="3:3" x14ac:dyDescent="0.3">
      <c r="C70" t="str">
        <f>IF(A70="","",_xlfn.XLOOKUP(A70,members!A:A,members!H:H,"NoData"))</f>
        <v/>
      </c>
    </row>
    <row r="71" spans="3:3" x14ac:dyDescent="0.3">
      <c r="C71" t="str">
        <f>IF(A71="","",_xlfn.XLOOKUP(A71,members!A:A,members!H:H,"NoData"))</f>
        <v/>
      </c>
    </row>
    <row r="72" spans="3:3" x14ac:dyDescent="0.3">
      <c r="C72" t="str">
        <f>IF(A72="","",_xlfn.XLOOKUP(A72,members!A:A,members!H:H,"NoData"))</f>
        <v/>
      </c>
    </row>
    <row r="73" spans="3:3" x14ac:dyDescent="0.3">
      <c r="C73" t="str">
        <f>IF(A73="","",_xlfn.XLOOKUP(A73,members!A:A,members!H:H,"NoData"))</f>
        <v/>
      </c>
    </row>
    <row r="74" spans="3:3" x14ac:dyDescent="0.3">
      <c r="C74" t="str">
        <f>IF(A74="","",_xlfn.XLOOKUP(A74,members!A:A,members!H:H,"NoData"))</f>
        <v/>
      </c>
    </row>
    <row r="75" spans="3:3" x14ac:dyDescent="0.3">
      <c r="C75" t="str">
        <f>IF(A75="","",_xlfn.XLOOKUP(A75,members!A:A,members!H:H,"NoData"))</f>
        <v/>
      </c>
    </row>
    <row r="76" spans="3:3" x14ac:dyDescent="0.3">
      <c r="C76" t="str">
        <f>IF(A76="","",_xlfn.XLOOKUP(A76,members!A:A,members!H:H,"NoData"))</f>
        <v/>
      </c>
    </row>
    <row r="77" spans="3:3" x14ac:dyDescent="0.3">
      <c r="C77" t="str">
        <f>IF(A77="","",_xlfn.XLOOKUP(A77,members!A:A,members!H:H,"NoData"))</f>
        <v/>
      </c>
    </row>
    <row r="78" spans="3:3" x14ac:dyDescent="0.3">
      <c r="C78" t="str">
        <f>IF(A78="","",_xlfn.XLOOKUP(A78,members!A:A,members!H:H,"NoData"))</f>
        <v/>
      </c>
    </row>
    <row r="79" spans="3:3" x14ac:dyDescent="0.3">
      <c r="C79" t="str">
        <f>IF(A79="","",_xlfn.XLOOKUP(A79,members!A:A,members!H:H,"NoData"))</f>
        <v/>
      </c>
    </row>
    <row r="80" spans="3:3" x14ac:dyDescent="0.3">
      <c r="C80" t="str">
        <f>IF(A80="","",_xlfn.XLOOKUP(A80,members!A:A,members!H:H,"NoData"))</f>
        <v/>
      </c>
    </row>
    <row r="81" spans="3:3" x14ac:dyDescent="0.3">
      <c r="C81" t="str">
        <f>IF(A81="","",_xlfn.XLOOKUP(A81,members!A:A,members!H:H,"NoData"))</f>
        <v/>
      </c>
    </row>
    <row r="82" spans="3:3" x14ac:dyDescent="0.3">
      <c r="C82" t="str">
        <f>IF(A82="","",_xlfn.XLOOKUP(A82,members!A:A,members!H:H,"NoData"))</f>
        <v/>
      </c>
    </row>
    <row r="83" spans="3:3" x14ac:dyDescent="0.3">
      <c r="C83" t="str">
        <f>IF(A83="","",_xlfn.XLOOKUP(A83,members!A:A,members!H:H,"NoData"))</f>
        <v/>
      </c>
    </row>
    <row r="84" spans="3:3" x14ac:dyDescent="0.3">
      <c r="C84" t="str">
        <f>IF(A84="","",_xlfn.XLOOKUP(A84,members!A:A,members!H:H,"NoData"))</f>
        <v/>
      </c>
    </row>
    <row r="85" spans="3:3" x14ac:dyDescent="0.3">
      <c r="C85" t="str">
        <f>IF(A85="","",_xlfn.XLOOKUP(A85,members!A:A,members!H:H,"NoData"))</f>
        <v/>
      </c>
    </row>
    <row r="86" spans="3:3" x14ac:dyDescent="0.3">
      <c r="C86" t="str">
        <f>IF(A86="","",_xlfn.XLOOKUP(A86,members!A:A,members!H:H,"NoData"))</f>
        <v/>
      </c>
    </row>
    <row r="87" spans="3:3" x14ac:dyDescent="0.3">
      <c r="C87" t="str">
        <f>IF(A87="","",_xlfn.XLOOKUP(A87,members!A:A,members!H:H,"NoData"))</f>
        <v/>
      </c>
    </row>
    <row r="88" spans="3:3" x14ac:dyDescent="0.3">
      <c r="C88" t="str">
        <f>IF(A88="","",_xlfn.XLOOKUP(A88,members!A:A,members!H:H,"NoData"))</f>
        <v/>
      </c>
    </row>
    <row r="89" spans="3:3" x14ac:dyDescent="0.3">
      <c r="C89" t="str">
        <f>IF(A89="","",_xlfn.XLOOKUP(A89,members!A:A,members!H:H,"NoData"))</f>
        <v/>
      </c>
    </row>
  </sheetData>
  <phoneticPr fontId="1" type="noConversion"/>
  <conditionalFormatting sqref="B2:C1048576">
    <cfRule type="cellIs" dxfId="24" priority="1" operator="equal">
      <formula>"NoData"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D39F-7D92-4C5D-AEB6-E4E4E85FE383}">
  <sheetPr codeName="Sheet2">
    <tabColor theme="4" tint="0.39997558519241921"/>
  </sheetPr>
  <dimension ref="A1:H1"/>
  <sheetViews>
    <sheetView workbookViewId="0">
      <selection activeCell="H22" sqref="H22"/>
    </sheetView>
  </sheetViews>
  <sheetFormatPr defaultRowHeight="16.5" x14ac:dyDescent="0.3"/>
  <cols>
    <col min="1" max="1" width="10.25" style="65" customWidth="1"/>
    <col min="2" max="2" width="14" style="65" customWidth="1"/>
    <col min="3" max="3" width="8.875" style="66" customWidth="1"/>
    <col min="4" max="4" width="18.75" style="67" customWidth="1"/>
    <col min="5" max="5" width="17.875" style="66" customWidth="1"/>
    <col min="6" max="6" width="24.25" style="67" customWidth="1"/>
    <col min="7" max="7" width="10.75" style="66" customWidth="1"/>
    <col min="8" max="8" width="35" style="65" customWidth="1"/>
  </cols>
  <sheetData>
    <row r="1" spans="1:8" x14ac:dyDescent="0.3">
      <c r="A1" s="63" t="s">
        <v>14</v>
      </c>
      <c r="B1" s="63" t="s">
        <v>15</v>
      </c>
      <c r="C1" s="63" t="s">
        <v>16</v>
      </c>
      <c r="D1" s="64" t="s">
        <v>17</v>
      </c>
      <c r="E1" s="63" t="s">
        <v>18</v>
      </c>
      <c r="F1" s="64" t="s">
        <v>19</v>
      </c>
      <c r="G1" s="63" t="s">
        <v>20</v>
      </c>
      <c r="H1" s="63" t="s">
        <v>21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6C6F0-A162-4EC5-B377-2E2DA57A6F20}">
  <sheetPr codeName="Sheet3">
    <tabColor theme="4" tint="0.39997558519241921"/>
  </sheetPr>
  <dimension ref="A1:D1"/>
  <sheetViews>
    <sheetView workbookViewId="0">
      <selection activeCell="F18" sqref="F18"/>
    </sheetView>
  </sheetViews>
  <sheetFormatPr defaultRowHeight="16.5" x14ac:dyDescent="0.3"/>
  <cols>
    <col min="2" max="2" width="10.25" customWidth="1"/>
    <col min="3" max="3" width="17.25" style="3" customWidth="1"/>
    <col min="4" max="4" width="32.75" customWidth="1"/>
  </cols>
  <sheetData>
    <row r="1" spans="1:4" x14ac:dyDescent="0.3">
      <c r="A1" s="1" t="s">
        <v>11</v>
      </c>
      <c r="B1" s="1" t="s">
        <v>12</v>
      </c>
      <c r="C1" s="1" t="s">
        <v>70</v>
      </c>
      <c r="D1" s="1" t="s">
        <v>71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8AE6B-59B7-47DA-8C3F-6C40A4B12DC5}">
  <sheetPr codeName="Sheet4">
    <tabColor theme="4" tint="0.39997558519241921"/>
  </sheetPr>
  <dimension ref="A1:D1"/>
  <sheetViews>
    <sheetView workbookViewId="0">
      <selection activeCell="M10" sqref="M10"/>
    </sheetView>
  </sheetViews>
  <sheetFormatPr defaultRowHeight="16.5" x14ac:dyDescent="0.3"/>
  <cols>
    <col min="2" max="2" width="9.125" customWidth="1"/>
    <col min="4" max="4" width="13" style="3" customWidth="1"/>
    <col min="5" max="5" width="9.25" bestFit="1" customWidth="1"/>
  </cols>
  <sheetData>
    <row r="1" spans="1:4" x14ac:dyDescent="0.3">
      <c r="A1" s="1" t="s">
        <v>22</v>
      </c>
      <c r="B1" s="1" t="s">
        <v>23</v>
      </c>
      <c r="C1" s="1" t="s">
        <v>24</v>
      </c>
      <c r="D1" s="2" t="s">
        <v>25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39986-9691-4D3B-B348-BEAB829C8392}">
  <sheetPr codeName="Sheet5">
    <tabColor theme="4" tint="0.39997558519241921"/>
  </sheetPr>
  <dimension ref="A1:E4"/>
  <sheetViews>
    <sheetView workbookViewId="0">
      <selection activeCell="H20" sqref="H20"/>
    </sheetView>
  </sheetViews>
  <sheetFormatPr defaultRowHeight="16.5" x14ac:dyDescent="0.3"/>
  <cols>
    <col min="2" max="2" width="9.125" customWidth="1"/>
    <col min="3" max="3" width="9.25" style="3" bestFit="1" customWidth="1"/>
  </cols>
  <sheetData>
    <row r="1" spans="1:5" x14ac:dyDescent="0.3">
      <c r="A1" s="1" t="s">
        <v>22</v>
      </c>
      <c r="B1" s="1" t="s">
        <v>23</v>
      </c>
      <c r="C1" s="2" t="s">
        <v>65</v>
      </c>
    </row>
    <row r="4" spans="1:5" x14ac:dyDescent="0.3">
      <c r="D4" s="62"/>
      <c r="E4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AF1A8-1839-480F-B0B7-37D06CAA6264}">
  <sheetPr codeName="Sheet6">
    <tabColor theme="4" tint="0.39997558519241921"/>
  </sheetPr>
  <dimension ref="A1:Q1"/>
  <sheetViews>
    <sheetView workbookViewId="0">
      <selection activeCell="L14" sqref="L14"/>
    </sheetView>
  </sheetViews>
  <sheetFormatPr defaultRowHeight="16.5" x14ac:dyDescent="0.3"/>
  <cols>
    <col min="1" max="1" width="10.5" customWidth="1"/>
    <col min="3" max="3" width="24.375" customWidth="1"/>
    <col min="6" max="6" width="6.5" customWidth="1"/>
    <col min="7" max="7" width="10.25" customWidth="1"/>
    <col min="8" max="8" width="12.125" customWidth="1"/>
    <col min="9" max="9" width="10.25" customWidth="1"/>
    <col min="10" max="10" width="8.375" customWidth="1"/>
    <col min="11" max="11" width="10.25" customWidth="1"/>
    <col min="12" max="12" width="7.875" bestFit="1" customWidth="1"/>
    <col min="14" max="14" width="10.25" customWidth="1"/>
    <col min="15" max="15" width="46.375" bestFit="1" customWidth="1"/>
    <col min="16" max="16" width="13.75" style="5" customWidth="1"/>
    <col min="17" max="17" width="6.25" customWidth="1"/>
  </cols>
  <sheetData>
    <row r="1" spans="1:17" x14ac:dyDescent="0.3">
      <c r="A1" s="46" t="s">
        <v>0</v>
      </c>
      <c r="B1" s="46" t="s">
        <v>1</v>
      </c>
      <c r="C1" s="46" t="s">
        <v>13</v>
      </c>
      <c r="D1" s="46" t="s">
        <v>2</v>
      </c>
      <c r="E1" s="46" t="s">
        <v>3</v>
      </c>
      <c r="F1" s="46" t="s">
        <v>9</v>
      </c>
      <c r="G1" s="46" t="s">
        <v>4</v>
      </c>
      <c r="H1" s="46" t="s">
        <v>5</v>
      </c>
      <c r="I1" s="46" t="s">
        <v>8</v>
      </c>
      <c r="J1" s="46" t="s">
        <v>6</v>
      </c>
      <c r="K1" s="46" t="s">
        <v>7</v>
      </c>
      <c r="L1" s="46" t="s">
        <v>10</v>
      </c>
      <c r="M1" s="46" t="s">
        <v>11</v>
      </c>
      <c r="N1" s="46" t="s">
        <v>12</v>
      </c>
      <c r="O1" s="46" t="s">
        <v>29</v>
      </c>
      <c r="P1" s="47" t="s">
        <v>30</v>
      </c>
      <c r="Q1" s="46" t="s">
        <v>31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D4608-DE86-4848-949F-AFD882FE05DE}">
  <sheetPr codeName="Sheet7">
    <tabColor theme="4" tint="0.39997558519241921"/>
  </sheetPr>
  <dimension ref="A1:M1"/>
  <sheetViews>
    <sheetView workbookViewId="0">
      <selection activeCell="H25" sqref="H25"/>
    </sheetView>
  </sheetViews>
  <sheetFormatPr defaultRowHeight="16.5" x14ac:dyDescent="0.3"/>
  <cols>
    <col min="1" max="1" width="9" customWidth="1"/>
    <col min="2" max="2" width="10.25" customWidth="1"/>
    <col min="3" max="3" width="9.875" customWidth="1"/>
    <col min="4" max="4" width="14" style="3" customWidth="1"/>
    <col min="5" max="5" width="12.125" style="3" customWidth="1"/>
    <col min="6" max="6" width="6.5" style="10" customWidth="1"/>
    <col min="7" max="7" width="13.75" style="3" customWidth="1"/>
    <col min="8" max="8" width="14.625" style="3" customWidth="1"/>
    <col min="9" max="9" width="9" customWidth="1"/>
    <col min="10" max="10" width="14.25" bestFit="1" customWidth="1"/>
    <col min="13" max="13" width="15.625" style="3" customWidth="1"/>
  </cols>
  <sheetData>
    <row r="1" spans="1:13" x14ac:dyDescent="0.3">
      <c r="A1" s="8" t="s">
        <v>11</v>
      </c>
      <c r="B1" s="8" t="s">
        <v>12</v>
      </c>
      <c r="C1" s="8" t="s">
        <v>27</v>
      </c>
      <c r="D1" s="25" t="s">
        <v>61</v>
      </c>
      <c r="E1" s="25" t="s">
        <v>34</v>
      </c>
      <c r="F1" s="26" t="s">
        <v>33</v>
      </c>
      <c r="G1" s="25" t="s">
        <v>28</v>
      </c>
      <c r="H1" s="25" t="s">
        <v>72</v>
      </c>
      <c r="K1" s="8" t="s">
        <v>26</v>
      </c>
      <c r="L1" s="8" t="s">
        <v>11</v>
      </c>
      <c r="M1" s="8" t="s">
        <v>69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4</vt:i4>
      </vt:variant>
    </vt:vector>
  </HeadingPairs>
  <TitlesOfParts>
    <vt:vector size="16" baseType="lpstr">
      <vt:lpstr>setting</vt:lpstr>
      <vt:lpstr>종합</vt:lpstr>
      <vt:lpstr>개인</vt:lpstr>
      <vt:lpstr>팀</vt:lpstr>
      <vt:lpstr>이체</vt:lpstr>
      <vt:lpstr>mailsend</vt:lpstr>
      <vt:lpstr>members</vt:lpstr>
      <vt:lpstr>unsettled</vt:lpstr>
      <vt:lpstr>training_fee</vt:lpstr>
      <vt:lpstr>bonus</vt:lpstr>
      <vt:lpstr>data</vt:lpstr>
      <vt:lpstr>override</vt:lpstr>
      <vt:lpstr>개인!Print_Area</vt:lpstr>
      <vt:lpstr>팀!Print_Area</vt:lpstr>
      <vt:lpstr>개인!Print_Titles</vt:lpstr>
      <vt:lpstr>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Wonjin Park</dc:creator>
  <cp:lastModifiedBy>Wonjin Park</cp:lastModifiedBy>
  <cp:lastPrinted>2022-03-14T05:55:03Z</cp:lastPrinted>
  <dcterms:created xsi:type="dcterms:W3CDTF">2020-12-01T05:25:13Z</dcterms:created>
  <dcterms:modified xsi:type="dcterms:W3CDTF">2022-04-15T02:01:40Z</dcterms:modified>
</cp:coreProperties>
</file>