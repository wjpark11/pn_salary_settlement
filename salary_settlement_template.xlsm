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ProjectN\Project\salary_settlement\work\"/>
    </mc:Choice>
  </mc:AlternateContent>
  <xr:revisionPtr revIDLastSave="0" documentId="13_ncr:1_{5F3B43CD-939E-4BDE-A60A-7CF645F4EADD}" xr6:coauthVersionLast="47" xr6:coauthVersionMax="47" xr10:uidLastSave="{00000000-0000-0000-0000-000000000000}"/>
  <bookViews>
    <workbookView xWindow="28680" yWindow="150" windowWidth="29040" windowHeight="16440" tabRatio="783" activeTab="3" xr2:uid="{1D15D7F1-B1E1-4135-B5A0-ED0BD1DD80D9}"/>
  </bookViews>
  <sheets>
    <sheet name="setting" sheetId="9" r:id="rId1"/>
    <sheet name="종합" sheetId="12" r:id="rId2"/>
    <sheet name="csv" sheetId="13" r:id="rId3"/>
    <sheet name="개인" sheetId="1" r:id="rId4"/>
    <sheet name="팀" sheetId="8" r:id="rId5"/>
    <sheet name="이체" sheetId="10" r:id="rId6"/>
    <sheet name="mailsend" sheetId="11" r:id="rId7"/>
    <sheet name="members" sheetId="5" r:id="rId8"/>
    <sheet name="unsettled" sheetId="4" r:id="rId9"/>
    <sheet name="training_fee" sheetId="3" r:id="rId10"/>
    <sheet name="bonus" sheetId="6" r:id="rId11"/>
    <sheet name="data" sheetId="2" r:id="rId12"/>
    <sheet name="override" sheetId="7" r:id="rId13"/>
  </sheets>
  <definedNames>
    <definedName name="_xlnm._FilterDatabase" localSheetId="11" hidden="1">data!$A$1:$Q$1</definedName>
    <definedName name="_xlnm._FilterDatabase" localSheetId="1" hidden="1">종합!$A$3:$O$4</definedName>
    <definedName name="_xlpm.now_pos" hidden="1" xlm="1">#NAME?</definedName>
    <definedName name="_xlnm.Print_Area" localSheetId="3">개인!$A$1:$L$13</definedName>
    <definedName name="_xlnm.Print_Area" localSheetId="4">팀!$A$1:$N$11</definedName>
    <definedName name="_xlnm.Print_Titles" localSheetId="3">개인!$12:$12</definedName>
    <definedName name="_xlnm.Print_Titles" localSheetId="4">팀!$10:$10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1" l="1"/>
  <c r="A2" i="13" a="1"/>
  <c r="A2" i="13" s="1"/>
  <c r="B5" i="8"/>
  <c r="M5" i="8"/>
  <c r="H2" i="12"/>
  <c r="B6" i="8"/>
  <c r="M8" i="8" s="1"/>
  <c r="O8" i="8" s="1"/>
  <c r="P3" i="8" a="1"/>
  <c r="P3" i="8" s="1"/>
  <c r="K6" i="1"/>
  <c r="D2" i="9" l="1"/>
  <c r="B2" i="9"/>
  <c r="Q4" i="8" a="1"/>
  <c r="Q4" i="8" s="1"/>
  <c r="Q3" i="8"/>
  <c r="Q2" i="8"/>
  <c r="H3" i="8" a="1"/>
  <c r="H3" i="8" s="1"/>
  <c r="G3" i="8" s="1" a="1"/>
  <c r="G3" i="8" s="1"/>
  <c r="A1" i="1"/>
  <c r="A1" i="8"/>
  <c r="L5" i="9" a="1"/>
  <c r="L5" i="9" s="1"/>
  <c r="B4" i="8"/>
  <c r="A11" i="8" a="1"/>
  <c r="A11" i="8" s="1"/>
  <c r="M4" i="8" s="1" a="1"/>
  <c r="M4" i="8" s="1"/>
  <c r="A13" i="1" a="1"/>
  <c r="A13" i="1" s="1"/>
  <c r="A2" i="11" a="1"/>
  <c r="A2" i="11" s="1"/>
  <c r="D2" i="11" s="1" a="1"/>
  <c r="D2" i="11" s="1"/>
  <c r="A2" i="10" a="1"/>
  <c r="A2" i="10" s="1"/>
  <c r="B7" i="1" l="1"/>
  <c r="B6" i="1"/>
  <c r="N2" i="12" a="1"/>
  <c r="N2" i="12" s="1"/>
  <c r="M2" i="12" l="1"/>
  <c r="J2" i="12"/>
  <c r="I2" i="12"/>
  <c r="F4" i="12"/>
  <c r="G4" i="12"/>
  <c r="H4" i="12"/>
  <c r="I4" i="12"/>
  <c r="J4" i="12"/>
  <c r="K4" i="12"/>
  <c r="L4" i="12"/>
  <c r="M4" i="12"/>
  <c r="N4" i="12"/>
  <c r="O4" i="12"/>
  <c r="E4" i="12"/>
  <c r="G2" i="12" l="1"/>
  <c r="K4" i="1" l="1"/>
  <c r="K2" i="12"/>
  <c r="M4" i="1" l="1"/>
  <c r="E1" i="10" l="1"/>
  <c r="F2" i="12"/>
  <c r="E2" i="12"/>
  <c r="K2" i="1" l="1"/>
  <c r="K3" i="1"/>
  <c r="J2" i="1" l="1"/>
  <c r="J3" i="1"/>
  <c r="M3" i="1"/>
  <c r="M2" i="1"/>
  <c r="G2" i="8" l="1"/>
  <c r="H8" i="1" l="1"/>
  <c r="L2" i="12" l="1"/>
  <c r="M3" i="8"/>
  <c r="M2" i="8"/>
  <c r="O2" i="8" s="1"/>
  <c r="H9" i="1"/>
  <c r="K5" i="1"/>
  <c r="K7" i="1" l="1"/>
  <c r="O3" i="8"/>
  <c r="O4" i="8"/>
  <c r="O5" i="8"/>
  <c r="M6" i="1"/>
  <c r="M5" i="1"/>
  <c r="C88" i="11" l="1"/>
  <c r="C89" i="11"/>
  <c r="C84" i="11"/>
  <c r="C85" i="11"/>
  <c r="C86" i="11"/>
  <c r="C87" i="11"/>
  <c r="C9" i="11"/>
  <c r="C17" i="11"/>
  <c r="C25" i="11"/>
  <c r="C33" i="11"/>
  <c r="C41" i="11"/>
  <c r="C49" i="11"/>
  <c r="C57" i="11"/>
  <c r="C65" i="11"/>
  <c r="C73" i="11"/>
  <c r="C81" i="11"/>
  <c r="C10" i="11"/>
  <c r="C18" i="11"/>
  <c r="C26" i="11"/>
  <c r="C34" i="11"/>
  <c r="C42" i="11"/>
  <c r="C50" i="11"/>
  <c r="C58" i="11"/>
  <c r="C66" i="11"/>
  <c r="C74" i="11"/>
  <c r="C82" i="11"/>
  <c r="C3" i="11"/>
  <c r="C11" i="11"/>
  <c r="C19" i="11"/>
  <c r="C27" i="11"/>
  <c r="C35" i="11"/>
  <c r="C43" i="11"/>
  <c r="C51" i="11"/>
  <c r="C59" i="11"/>
  <c r="C67" i="11"/>
  <c r="C75" i="11"/>
  <c r="C83" i="11"/>
  <c r="C4" i="11"/>
  <c r="C12" i="11"/>
  <c r="C20" i="11"/>
  <c r="C28" i="11"/>
  <c r="C36" i="11"/>
  <c r="C44" i="11"/>
  <c r="C52" i="11"/>
  <c r="C60" i="11"/>
  <c r="C68" i="11"/>
  <c r="C76" i="11"/>
  <c r="C32" i="11"/>
  <c r="C56" i="11"/>
  <c r="C5" i="11"/>
  <c r="C13" i="11"/>
  <c r="C21" i="11"/>
  <c r="C29" i="11"/>
  <c r="C37" i="11"/>
  <c r="C45" i="11"/>
  <c r="C53" i="11"/>
  <c r="C61" i="11"/>
  <c r="C69" i="11"/>
  <c r="C77" i="11"/>
  <c r="C16" i="11"/>
  <c r="C40" i="11"/>
  <c r="C64" i="11"/>
  <c r="C80" i="11"/>
  <c r="C6" i="11"/>
  <c r="C14" i="11"/>
  <c r="C22" i="11"/>
  <c r="C30" i="11"/>
  <c r="C38" i="11"/>
  <c r="C46" i="11"/>
  <c r="C54" i="11"/>
  <c r="C62" i="11"/>
  <c r="C70" i="11"/>
  <c r="C78" i="11"/>
  <c r="C8" i="11"/>
  <c r="C48" i="11"/>
  <c r="C7" i="11"/>
  <c r="C15" i="11"/>
  <c r="C23" i="11"/>
  <c r="C31" i="11"/>
  <c r="C39" i="11"/>
  <c r="C47" i="11"/>
  <c r="C55" i="11"/>
  <c r="C63" i="11"/>
  <c r="C71" i="11"/>
  <c r="C79" i="11"/>
  <c r="C24" i="11"/>
  <c r="C72" i="11"/>
  <c r="M7" i="1"/>
  <c r="M6" i="8"/>
  <c r="M7" i="8" s="1"/>
  <c r="M9" i="8" s="1"/>
  <c r="O9" i="8" s="1"/>
  <c r="K8" i="1"/>
  <c r="K9" i="1" s="1"/>
  <c r="C2" i="11" l="1"/>
  <c r="K2" i="10" a="1"/>
  <c r="K2" i="10" s="1"/>
  <c r="I2" i="10" a="1"/>
  <c r="I2" i="10" s="1"/>
  <c r="H2" i="10" a="1"/>
  <c r="H2" i="10" s="1"/>
  <c r="G2" i="10" a="1"/>
  <c r="G2" i="10" s="1"/>
  <c r="E2" i="10" a="1"/>
  <c r="E2" i="10" s="1"/>
  <c r="D2" i="10" a="1"/>
  <c r="D2" i="10" s="1"/>
  <c r="O2" i="12"/>
  <c r="J2" i="10" a="1"/>
  <c r="F90" i="10" s="1"/>
  <c r="O7" i="8"/>
  <c r="O6" i="8"/>
  <c r="F243" i="10" l="1"/>
  <c r="F199" i="10"/>
  <c r="F179" i="10"/>
  <c r="F123" i="10"/>
  <c r="F168" i="10"/>
  <c r="F267" i="10"/>
  <c r="F105" i="10"/>
  <c r="F212" i="10"/>
  <c r="F257" i="10"/>
  <c r="F160" i="10"/>
  <c r="F162" i="10"/>
  <c r="F115" i="10"/>
  <c r="F156" i="10"/>
  <c r="F206" i="10"/>
  <c r="F55" i="10"/>
  <c r="F152" i="10"/>
  <c r="F181" i="10"/>
  <c r="F125" i="10"/>
  <c r="F224" i="10"/>
  <c r="F264" i="10"/>
  <c r="F191" i="10"/>
  <c r="F210" i="10"/>
  <c r="F109" i="10"/>
  <c r="F173" i="10"/>
  <c r="F255" i="10"/>
  <c r="F122" i="10"/>
  <c r="F262" i="10"/>
  <c r="F144" i="10"/>
  <c r="F119" i="10"/>
  <c r="F228" i="10"/>
  <c r="F93" i="10"/>
  <c r="F226" i="10"/>
  <c r="F121" i="10"/>
  <c r="F193" i="10"/>
  <c r="F132" i="10"/>
  <c r="F87" i="10"/>
  <c r="F202" i="10"/>
  <c r="F100" i="10"/>
  <c r="F102" i="10"/>
  <c r="F198" i="10"/>
  <c r="F146" i="10"/>
  <c r="F238" i="10"/>
  <c r="F84" i="10"/>
  <c r="F127" i="10"/>
  <c r="F247" i="10"/>
  <c r="F89" i="10"/>
  <c r="F194" i="10"/>
  <c r="F177" i="10"/>
  <c r="F163" i="10"/>
  <c r="F165" i="10"/>
  <c r="F126" i="10"/>
  <c r="F259" i="10"/>
  <c r="F207" i="10"/>
  <c r="F147" i="10"/>
  <c r="F253" i="10"/>
  <c r="F236" i="10"/>
  <c r="F258" i="10"/>
  <c r="F223" i="10"/>
  <c r="F201" i="10"/>
  <c r="F113" i="10"/>
  <c r="F213" i="10"/>
  <c r="F138" i="10"/>
  <c r="F114" i="10"/>
  <c r="F229" i="10"/>
  <c r="F172" i="10"/>
  <c r="F183" i="10"/>
  <c r="F227" i="10"/>
  <c r="F230" i="10"/>
  <c r="F154" i="10"/>
  <c r="F91" i="10"/>
  <c r="F92" i="10"/>
  <c r="F196" i="10"/>
  <c r="F197" i="10"/>
  <c r="F250" i="10"/>
  <c r="F248" i="10"/>
  <c r="F246" i="10"/>
  <c r="F151" i="10"/>
  <c r="F263" i="10"/>
  <c r="F244" i="10"/>
  <c r="F222" i="10"/>
  <c r="F200" i="10"/>
  <c r="F140" i="10"/>
  <c r="F235" i="10"/>
  <c r="F137" i="10"/>
  <c r="F118" i="10"/>
  <c r="F108" i="10"/>
  <c r="F98" i="10"/>
  <c r="F130" i="10"/>
  <c r="F231" i="10"/>
  <c r="F103" i="10"/>
  <c r="F159" i="10"/>
  <c r="F148" i="10"/>
  <c r="F117" i="10"/>
  <c r="F188" i="10"/>
  <c r="F174" i="10"/>
  <c r="F175" i="10"/>
  <c r="F141" i="10"/>
  <c r="F133" i="10"/>
  <c r="F124" i="10"/>
  <c r="F167" i="10"/>
  <c r="F204" i="10"/>
  <c r="F260" i="10"/>
  <c r="F86" i="10"/>
  <c r="F220" i="10"/>
  <c r="F214" i="10"/>
  <c r="F189" i="10"/>
  <c r="F166" i="10"/>
  <c r="F134" i="10"/>
  <c r="F116" i="10"/>
  <c r="F249" i="10"/>
  <c r="F94" i="10"/>
  <c r="F169" i="10"/>
  <c r="F187" i="10"/>
  <c r="F208" i="10"/>
  <c r="F186" i="10"/>
  <c r="F164" i="10"/>
  <c r="F158" i="10"/>
  <c r="F129" i="10"/>
  <c r="F136" i="10"/>
  <c r="F218" i="10"/>
  <c r="F88" i="10"/>
  <c r="F252" i="10"/>
  <c r="F237" i="10"/>
  <c r="F153" i="10"/>
  <c r="F111" i="10"/>
  <c r="F99" i="10"/>
  <c r="F107" i="10"/>
  <c r="F161" i="10"/>
  <c r="F75" i="10"/>
  <c r="F242" i="10"/>
  <c r="F239" i="10"/>
  <c r="F143" i="10"/>
  <c r="F217" i="10"/>
  <c r="F265" i="10"/>
  <c r="F77" i="10"/>
  <c r="F240" i="10"/>
  <c r="F261" i="10"/>
  <c r="F211" i="10"/>
  <c r="F76" i="10"/>
  <c r="F155" i="10"/>
  <c r="F171" i="10"/>
  <c r="F195" i="10"/>
  <c r="F190" i="10"/>
  <c r="F95" i="10"/>
  <c r="F106" i="10"/>
  <c r="F178" i="10"/>
  <c r="F149" i="10"/>
  <c r="F74" i="10"/>
  <c r="F97" i="10"/>
  <c r="F215" i="10"/>
  <c r="F128" i="10"/>
  <c r="F245" i="10"/>
  <c r="F83" i="10"/>
  <c r="F232" i="10"/>
  <c r="F81" i="10"/>
  <c r="F185" i="10"/>
  <c r="F182" i="10"/>
  <c r="F104" i="10"/>
  <c r="F120" i="10"/>
  <c r="F96" i="10"/>
  <c r="F85" i="10"/>
  <c r="F145" i="10"/>
  <c r="F139" i="10"/>
  <c r="F233" i="10"/>
  <c r="F176" i="10"/>
  <c r="F221" i="10"/>
  <c r="F80" i="10"/>
  <c r="F205" i="10"/>
  <c r="F131" i="10"/>
  <c r="F251" i="10"/>
  <c r="F180" i="10"/>
  <c r="F219" i="10"/>
  <c r="F254" i="10"/>
  <c r="F256" i="10"/>
  <c r="F266" i="10"/>
  <c r="F112" i="10"/>
  <c r="F184" i="10"/>
  <c r="F142" i="10"/>
  <c r="F170" i="10"/>
  <c r="F110" i="10"/>
  <c r="F135" i="10"/>
  <c r="F157" i="10"/>
  <c r="F234" i="10"/>
  <c r="F241" i="10"/>
  <c r="F203" i="10"/>
  <c r="F192" i="10"/>
  <c r="F79" i="10"/>
  <c r="F78" i="10"/>
  <c r="F216" i="10"/>
  <c r="F101" i="10"/>
  <c r="F225" i="10"/>
  <c r="F82" i="10"/>
  <c r="F209" i="10"/>
  <c r="F150" i="10"/>
  <c r="F20" i="10"/>
  <c r="F3" i="10"/>
  <c r="F34" i="10"/>
  <c r="J2" i="10"/>
  <c r="F2" i="10" s="1"/>
  <c r="F46" i="10"/>
  <c r="F4" i="10"/>
  <c r="F64" i="10"/>
  <c r="F56" i="10"/>
  <c r="F61" i="10"/>
  <c r="F52" i="10"/>
  <c r="F27" i="10"/>
  <c r="F19" i="10"/>
  <c r="F11" i="10"/>
  <c r="F68" i="10"/>
  <c r="F33" i="10"/>
  <c r="F54" i="10"/>
  <c r="F42" i="10"/>
  <c r="F49" i="10"/>
  <c r="F71" i="10"/>
  <c r="F47" i="10"/>
  <c r="F38" i="10"/>
  <c r="F16" i="10"/>
  <c r="F15" i="10"/>
  <c r="F73" i="10"/>
  <c r="F60" i="10"/>
  <c r="F69" i="10"/>
  <c r="F14" i="10"/>
  <c r="F59" i="10"/>
  <c r="F22" i="10"/>
  <c r="F67" i="10"/>
  <c r="F41" i="10"/>
  <c r="F51" i="10"/>
  <c r="F65" i="10"/>
  <c r="F58" i="10"/>
  <c r="F32" i="10"/>
  <c r="F13" i="10"/>
  <c r="F7" i="10"/>
  <c r="F12" i="10"/>
  <c r="F44" i="10"/>
  <c r="F21" i="10"/>
  <c r="F66" i="10"/>
  <c r="F40" i="10"/>
  <c r="F30" i="10"/>
  <c r="F28" i="10"/>
  <c r="F25" i="10"/>
  <c r="F10" i="10"/>
  <c r="F62" i="10"/>
  <c r="F36" i="10"/>
  <c r="F43" i="10"/>
  <c r="F26" i="10"/>
  <c r="F31" i="10"/>
  <c r="F53" i="10"/>
  <c r="F45" i="10"/>
  <c r="F18" i="10"/>
  <c r="F17" i="10"/>
  <c r="F23" i="10"/>
  <c r="F35" i="10"/>
  <c r="F63" i="10"/>
  <c r="F6" i="10"/>
  <c r="F29" i="10"/>
  <c r="F57" i="10"/>
  <c r="F50" i="10"/>
  <c r="F72" i="10"/>
  <c r="F5" i="10"/>
  <c r="F39" i="10"/>
  <c r="F70" i="10"/>
  <c r="F8" i="10"/>
  <c r="F24" i="10"/>
  <c r="F48" i="10"/>
  <c r="F9" i="10"/>
  <c r="F37" i="10"/>
  <c r="O1" i="8"/>
  <c r="M8" i="1"/>
  <c r="J1" i="10" l="1"/>
  <c r="K1" i="10" s="1"/>
  <c r="F1" i="10"/>
  <c r="M9" i="1"/>
  <c r="M1" i="1" s="1"/>
  <c r="G1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<sst xmlns="http://schemas.openxmlformats.org/spreadsheetml/2006/main" count="8015" uniqueCount="4854">
  <si>
    <t>일자</t>
    <phoneticPr fontId="1" type="noConversion"/>
  </si>
  <si>
    <t>시리얼</t>
    <phoneticPr fontId="1" type="noConversion"/>
  </si>
  <si>
    <t>시간</t>
    <phoneticPr fontId="1" type="noConversion"/>
  </si>
  <si>
    <t>기관</t>
    <phoneticPr fontId="1" type="noConversion"/>
  </si>
  <si>
    <t>등록상태</t>
    <phoneticPr fontId="1" type="noConversion"/>
  </si>
  <si>
    <t>등록약정액</t>
    <phoneticPr fontId="1" type="noConversion"/>
  </si>
  <si>
    <t>출금액</t>
    <phoneticPr fontId="1" type="noConversion"/>
  </si>
  <si>
    <t>정산급여</t>
    <phoneticPr fontId="1" type="noConversion"/>
  </si>
  <si>
    <t>출금상태</t>
    <phoneticPr fontId="1" type="noConversion"/>
  </si>
  <si>
    <t>나이</t>
    <phoneticPr fontId="1" type="noConversion"/>
  </si>
  <si>
    <t>직책</t>
    <phoneticPr fontId="1" type="noConversion"/>
  </si>
  <si>
    <t>FRID</t>
    <phoneticPr fontId="1" type="noConversion"/>
  </si>
  <si>
    <t>FRName</t>
    <phoneticPr fontId="1" type="noConversion"/>
  </si>
  <si>
    <t>사이트</t>
    <phoneticPr fontId="1" type="noConversion"/>
  </si>
  <si>
    <t>사원번호</t>
  </si>
  <si>
    <t>주민등록번호</t>
  </si>
  <si>
    <t>성명</t>
  </si>
  <si>
    <t>급여통장 은행코드</t>
  </si>
  <si>
    <t>급여통장 은행명</t>
  </si>
  <si>
    <t>계좌번호</t>
  </si>
  <si>
    <t>예금주</t>
  </si>
  <si>
    <t>Email</t>
  </si>
  <si>
    <t>frid</t>
    <phoneticPr fontId="4" type="noConversion"/>
  </si>
  <si>
    <t>frname</t>
    <phoneticPr fontId="4" type="noConversion"/>
  </si>
  <si>
    <t>days</t>
    <phoneticPr fontId="4" type="noConversion"/>
  </si>
  <si>
    <t>fee</t>
    <phoneticPr fontId="4" type="noConversion"/>
  </si>
  <si>
    <t>FLID</t>
    <phoneticPr fontId="1" type="noConversion"/>
  </si>
  <si>
    <t>Position</t>
    <phoneticPr fontId="1" type="noConversion"/>
  </si>
  <si>
    <t>인정override</t>
    <phoneticPr fontId="1" type="noConversion"/>
  </si>
  <si>
    <t>treecode</t>
    <phoneticPr fontId="1" type="noConversion"/>
  </si>
  <si>
    <t>salarymonth</t>
    <phoneticPr fontId="1" type="noConversion"/>
  </si>
  <si>
    <t>rate</t>
    <phoneticPr fontId="1" type="noConversion"/>
  </si>
  <si>
    <t>FRPosition</t>
    <phoneticPr fontId="1" type="noConversion"/>
  </si>
  <si>
    <t>비율</t>
    <phoneticPr fontId="1" type="noConversion"/>
  </si>
  <si>
    <t>전월모금액</t>
    <phoneticPr fontId="1" type="noConversion"/>
  </si>
  <si>
    <t>IsOverride</t>
    <phoneticPr fontId="1" type="noConversion"/>
  </si>
  <si>
    <t xml:space="preserve">FRID : </t>
    <phoneticPr fontId="1" type="noConversion"/>
  </si>
  <si>
    <t xml:space="preserve">FRName : </t>
    <phoneticPr fontId="1" type="noConversion"/>
  </si>
  <si>
    <t xml:space="preserve">Position : </t>
    <phoneticPr fontId="1" type="noConversion"/>
  </si>
  <si>
    <t xml:space="preserve">오버라이드 : </t>
  </si>
  <si>
    <t xml:space="preserve">Tax(3.3%) : </t>
  </si>
  <si>
    <t xml:space="preserve">실수령액 : </t>
  </si>
  <si>
    <t xml:space="preserve">총 급여 : </t>
    <phoneticPr fontId="1" type="noConversion"/>
  </si>
  <si>
    <t xml:space="preserve">출금완료 : </t>
    <phoneticPr fontId="1" type="noConversion"/>
  </si>
  <si>
    <t xml:space="preserve">진행중 : </t>
    <phoneticPr fontId="1" type="noConversion"/>
  </si>
  <si>
    <t>Email</t>
    <phoneticPr fontId="1" type="noConversion"/>
  </si>
  <si>
    <t>Filename</t>
    <phoneticPr fontId="1" type="noConversion"/>
  </si>
  <si>
    <t>정산사인업</t>
    <phoneticPr fontId="1" type="noConversion"/>
  </si>
  <si>
    <t>정산모금액</t>
    <phoneticPr fontId="1" type="noConversion"/>
  </si>
  <si>
    <t>오버라이드</t>
    <phoneticPr fontId="1" type="noConversion"/>
  </si>
  <si>
    <t>교육비</t>
    <phoneticPr fontId="1" type="noConversion"/>
  </si>
  <si>
    <t>Tax(3.3%)</t>
    <phoneticPr fontId="1" type="noConversion"/>
  </si>
  <si>
    <t>실지급액</t>
    <phoneticPr fontId="1" type="noConversion"/>
  </si>
  <si>
    <t>급여액</t>
    <phoneticPr fontId="1" type="noConversion"/>
  </si>
  <si>
    <t xml:space="preserve">첫출금 정산급여 : </t>
    <phoneticPr fontId="1" type="noConversion"/>
  </si>
  <si>
    <t xml:space="preserve">오버라이드 비율 : </t>
    <phoneticPr fontId="1" type="noConversion"/>
  </si>
  <si>
    <t xml:space="preserve">인정 오버라이드 : </t>
    <phoneticPr fontId="1" type="noConversion"/>
  </si>
  <si>
    <t xml:space="preserve">인턴제외 전월 모금액 : </t>
    <phoneticPr fontId="1" type="noConversion"/>
  </si>
  <si>
    <t xml:space="preserve">최종 오버라이드 : </t>
    <phoneticPr fontId="1" type="noConversion"/>
  </si>
  <si>
    <t xml:space="preserve">인턴제외 급여계 : </t>
    <phoneticPr fontId="1" type="noConversion"/>
  </si>
  <si>
    <t xml:space="preserve">총 멤버 급여계 : </t>
    <phoneticPr fontId="1" type="noConversion"/>
  </si>
  <si>
    <t>팀인정월급액</t>
    <phoneticPr fontId="1" type="noConversion"/>
  </si>
  <si>
    <t>정산시점</t>
    <phoneticPr fontId="1" type="noConversion"/>
  </si>
  <si>
    <t>전월미정산</t>
    <phoneticPr fontId="1" type="noConversion"/>
  </si>
  <si>
    <t>최종정산액</t>
    <phoneticPr fontId="1" type="noConversion"/>
  </si>
  <si>
    <t>bonus</t>
    <phoneticPr fontId="4" type="noConversion"/>
  </si>
  <si>
    <t>보너스</t>
    <phoneticPr fontId="1" type="noConversion"/>
  </si>
  <si>
    <t>UQ0001</t>
    <phoneticPr fontId="1" type="noConversion"/>
  </si>
  <si>
    <t>UQ0204</t>
    <phoneticPr fontId="1" type="noConversion"/>
  </si>
  <si>
    <t>down_override</t>
    <phoneticPr fontId="1" type="noConversion"/>
  </si>
  <si>
    <t>Unsettled_Salary</t>
    <phoneticPr fontId="1" type="noConversion"/>
  </si>
  <si>
    <t>Memo</t>
    <phoneticPr fontId="1" type="noConversion"/>
  </si>
  <si>
    <t>정산년도</t>
    <phoneticPr fontId="1" type="noConversion"/>
  </si>
  <si>
    <t>정산월</t>
    <phoneticPr fontId="1" type="noConversion"/>
  </si>
  <si>
    <t>오버라이드검증</t>
    <phoneticPr fontId="1" type="noConversion"/>
  </si>
  <si>
    <t>데이터시트검증</t>
    <phoneticPr fontId="1" type="noConversion"/>
  </si>
  <si>
    <t>최종override</t>
    <phoneticPr fontId="1" type="noConversion"/>
  </si>
  <si>
    <t>정산override</t>
    <phoneticPr fontId="1" type="noConversion"/>
  </si>
  <si>
    <t xml:space="preserve">정산 오버라이드 : </t>
    <phoneticPr fontId="1" type="noConversion"/>
  </si>
  <si>
    <t xml:space="preserve">정산비율 : </t>
    <phoneticPr fontId="1" type="noConversion"/>
  </si>
  <si>
    <t xml:space="preserve">Workday : </t>
    <phoneticPr fontId="1" type="noConversion"/>
  </si>
  <si>
    <t>근무일</t>
    <phoneticPr fontId="1" type="noConversion"/>
  </si>
  <si>
    <t>memo</t>
    <phoneticPr fontId="1" type="noConversion"/>
  </si>
  <si>
    <t>정산시점: 2024-01-10</t>
    <phoneticPr fontId="1" type="noConversion"/>
  </si>
  <si>
    <t>1일 시점: 2024-01-01</t>
    <phoneticPr fontId="1" type="noConversion"/>
  </si>
  <si>
    <t>PN</t>
  </si>
  <si>
    <t>FS0001</t>
  </si>
  <si>
    <t>이준한</t>
  </si>
  <si>
    <t>STL</t>
  </si>
  <si>
    <t>UQ0001</t>
  </si>
  <si>
    <t>GT0001</t>
  </si>
  <si>
    <t>맹영록</t>
  </si>
  <si>
    <t>D</t>
  </si>
  <si>
    <t>GT0002</t>
  </si>
  <si>
    <t>서진교</t>
  </si>
  <si>
    <t>GT0003</t>
  </si>
  <si>
    <t>이상록</t>
  </si>
  <si>
    <t>TL</t>
  </si>
  <si>
    <t>GT0004</t>
  </si>
  <si>
    <t>정연수</t>
  </si>
  <si>
    <t>GT0018</t>
  </si>
  <si>
    <t>장혜원</t>
  </si>
  <si>
    <t>LR</t>
  </si>
  <si>
    <t>GT0021</t>
  </si>
  <si>
    <t>서민우</t>
  </si>
  <si>
    <t>MS0001</t>
  </si>
  <si>
    <t>한상현</t>
  </si>
  <si>
    <t>MS0016</t>
  </si>
  <si>
    <t>이관민</t>
  </si>
  <si>
    <t>MS0027</t>
  </si>
  <si>
    <t>이유빈</t>
  </si>
  <si>
    <t>PS0001</t>
  </si>
  <si>
    <t>PN0001</t>
  </si>
  <si>
    <t>이명재</t>
  </si>
  <si>
    <t>방민주</t>
  </si>
  <si>
    <t>PS0003</t>
  </si>
  <si>
    <t>박혜인</t>
  </si>
  <si>
    <t>PS0006</t>
  </si>
  <si>
    <t>손석훈</t>
  </si>
  <si>
    <t>PS0045</t>
  </si>
  <si>
    <t>백대현</t>
  </si>
  <si>
    <t>PS0051</t>
  </si>
  <si>
    <t>최예슬</t>
  </si>
  <si>
    <t>PS0061</t>
  </si>
  <si>
    <t>이지안</t>
  </si>
  <si>
    <t>PS0062</t>
  </si>
  <si>
    <t>박유진</t>
  </si>
  <si>
    <t>PS0069</t>
  </si>
  <si>
    <t>김영준</t>
  </si>
  <si>
    <t>PS0070</t>
  </si>
  <si>
    <t>김효진</t>
  </si>
  <si>
    <t>INTERN</t>
  </si>
  <si>
    <t>SM0001</t>
  </si>
  <si>
    <t>변성호</t>
  </si>
  <si>
    <t>SM0002</t>
  </si>
  <si>
    <t>이원준</t>
  </si>
  <si>
    <t>SM0003</t>
  </si>
  <si>
    <t>조승인</t>
  </si>
  <si>
    <t>SM0017</t>
  </si>
  <si>
    <t>홍선국</t>
  </si>
  <si>
    <t>SM0029</t>
  </si>
  <si>
    <t>이성계</t>
  </si>
  <si>
    <t>SM0030</t>
  </si>
  <si>
    <t>우제환</t>
  </si>
  <si>
    <t>SM0031</t>
  </si>
  <si>
    <t>서동희</t>
  </si>
  <si>
    <t>SM0032</t>
  </si>
  <si>
    <t>이세영</t>
  </si>
  <si>
    <t>SM0033</t>
  </si>
  <si>
    <t>김선우</t>
  </si>
  <si>
    <t>황정민</t>
  </si>
  <si>
    <t>SD</t>
  </si>
  <si>
    <t>UQ0204</t>
  </si>
  <si>
    <t>김명규</t>
  </si>
  <si>
    <t>UQ0206</t>
  </si>
  <si>
    <t>김경민</t>
  </si>
  <si>
    <t>GT0020</t>
  </si>
  <si>
    <t>박영서</t>
  </si>
  <si>
    <t>PS0002</t>
  </si>
  <si>
    <t>최지광</t>
  </si>
  <si>
    <t>PS0007</t>
  </si>
  <si>
    <t>김주희</t>
  </si>
  <si>
    <t>FR</t>
  </si>
  <si>
    <t>AM0001</t>
  </si>
  <si>
    <t>900717-1351628</t>
  </si>
  <si>
    <t>조성재</t>
  </si>
  <si>
    <t>004</t>
  </si>
  <si>
    <t>국민은행</t>
  </si>
  <si>
    <t>38470104306124</t>
  </si>
  <si>
    <t>tjdwo199@naver.com</t>
  </si>
  <si>
    <t>AM0002</t>
  </si>
  <si>
    <t>880716-1113713</t>
  </si>
  <si>
    <t>정재영</t>
  </si>
  <si>
    <t>07980204172785</t>
  </si>
  <si>
    <t>astharoshe@nate.com</t>
  </si>
  <si>
    <t>AM0003</t>
  </si>
  <si>
    <t>940915-1000000</t>
  </si>
  <si>
    <t>송준용</t>
  </si>
  <si>
    <t>52230101320796</t>
  </si>
  <si>
    <t>forestjy0915@naver.com</t>
  </si>
  <si>
    <t>AM0004</t>
  </si>
  <si>
    <t>901124-1232811</t>
  </si>
  <si>
    <t>문준용</t>
  </si>
  <si>
    <t>20680204209317</t>
  </si>
  <si>
    <t>moonjy44@naver.com</t>
  </si>
  <si>
    <t>AM0005</t>
  </si>
  <si>
    <t>910122-1079111</t>
  </si>
  <si>
    <t>이태훈</t>
  </si>
  <si>
    <t>00280104210932</t>
  </si>
  <si>
    <t>LeeTHEHOON@gmail.com</t>
  </si>
  <si>
    <t>AM0006</t>
  </si>
  <si>
    <t>981115-2325614</t>
  </si>
  <si>
    <t>강아연</t>
  </si>
  <si>
    <t>46680204210456</t>
  </si>
  <si>
    <t>rnfms7854@naver.com</t>
  </si>
  <si>
    <t>AM0007</t>
  </si>
  <si>
    <t>930813-1236517</t>
  </si>
  <si>
    <t>김명재</t>
  </si>
  <si>
    <t>98138334867</t>
  </si>
  <si>
    <t>glhk9950@hanmail.net</t>
  </si>
  <si>
    <t>AM0008</t>
  </si>
  <si>
    <t>971129-2085610</t>
  </si>
  <si>
    <t>임채은</t>
  </si>
  <si>
    <t>89540100027497</t>
  </si>
  <si>
    <t>ce7784@naver.com</t>
  </si>
  <si>
    <t>AM0009</t>
  </si>
  <si>
    <t>970214-2154830</t>
  </si>
  <si>
    <t>김예지</t>
  </si>
  <si>
    <t>91060201200144</t>
  </si>
  <si>
    <t>fndl0214@naver.com</t>
  </si>
  <si>
    <t>AM0010</t>
  </si>
  <si>
    <t>970412-1357313</t>
  </si>
  <si>
    <t>천정배</t>
  </si>
  <si>
    <t>003</t>
  </si>
  <si>
    <t>기업은행</t>
  </si>
  <si>
    <t>06608088101014</t>
  </si>
  <si>
    <t>subject4012@gmail.com</t>
  </si>
  <si>
    <t>AM0011</t>
  </si>
  <si>
    <t>951108-1184614</t>
  </si>
  <si>
    <t>박용수</t>
  </si>
  <si>
    <t>020</t>
  </si>
  <si>
    <t>우리은행</t>
  </si>
  <si>
    <t>22320635102001</t>
  </si>
  <si>
    <t>dath79@naver.com</t>
  </si>
  <si>
    <t>AM0012</t>
  </si>
  <si>
    <t>950726-2459815</t>
  </si>
  <si>
    <t>김미영</t>
  </si>
  <si>
    <t>87030104057264</t>
  </si>
  <si>
    <t>aldud1789@hanmail.net</t>
  </si>
  <si>
    <t>AM0013</t>
  </si>
  <si>
    <t>900730-2267310</t>
  </si>
  <si>
    <t>정유민</t>
  </si>
  <si>
    <t>09890104098722</t>
  </si>
  <si>
    <t>sunkist730@naver.com</t>
  </si>
  <si>
    <t>AM0014</t>
  </si>
  <si>
    <t>960909-2157020</t>
  </si>
  <si>
    <t>박은지</t>
  </si>
  <si>
    <t>28240204146744</t>
  </si>
  <si>
    <t>par090982@naver.com</t>
  </si>
  <si>
    <t>AM0015</t>
  </si>
  <si>
    <t>940227-2150145</t>
  </si>
  <si>
    <t>김소라</t>
  </si>
  <si>
    <t>088</t>
  </si>
  <si>
    <t>신한은행</t>
  </si>
  <si>
    <t>110357082687</t>
  </si>
  <si>
    <t>sora_22@naver.com</t>
  </si>
  <si>
    <t>AM0016</t>
  </si>
  <si>
    <t>910917-1167832</t>
  </si>
  <si>
    <t>배근열</t>
  </si>
  <si>
    <t>110307689770</t>
  </si>
  <si>
    <t>rmsduf22@naver.com</t>
  </si>
  <si>
    <t>AM0017</t>
  </si>
  <si>
    <t>970127-2203716</t>
  </si>
  <si>
    <t>박정선</t>
  </si>
  <si>
    <t>110390684836</t>
  </si>
  <si>
    <t>0__0512@naver.com</t>
  </si>
  <si>
    <t>AM0018</t>
  </si>
  <si>
    <t>921120-1853821</t>
  </si>
  <si>
    <t>김동환</t>
  </si>
  <si>
    <t>85180201591431</t>
  </si>
  <si>
    <t>ehdghks0573@naver.com</t>
  </si>
  <si>
    <t>AM0020</t>
  </si>
  <si>
    <t>980905-1235813</t>
  </si>
  <si>
    <t>김용태</t>
  </si>
  <si>
    <t>93350200438275</t>
  </si>
  <si>
    <t>game0009@naver.com</t>
  </si>
  <si>
    <t>AM0021</t>
  </si>
  <si>
    <t>951112-1194818</t>
  </si>
  <si>
    <t>이준</t>
  </si>
  <si>
    <t>63900201508521</t>
  </si>
  <si>
    <t>leejun1419@naver.com</t>
  </si>
  <si>
    <t>AM0022</t>
  </si>
  <si>
    <t>970719-1216815</t>
  </si>
  <si>
    <t>최영진</t>
  </si>
  <si>
    <t>94160200027537</t>
  </si>
  <si>
    <t>linnill0719@gmail.com</t>
  </si>
  <si>
    <t>AM0023</t>
  </si>
  <si>
    <t>960402-1232824</t>
  </si>
  <si>
    <t>곽수찬</t>
  </si>
  <si>
    <t>16580104331020</t>
  </si>
  <si>
    <t>fctncks@nate.com</t>
  </si>
  <si>
    <t>AM0024</t>
  </si>
  <si>
    <t>940428-2006733</t>
  </si>
  <si>
    <t>정다빈</t>
  </si>
  <si>
    <t>27270104332350</t>
  </si>
  <si>
    <t>ekqls2990@naver.com</t>
  </si>
  <si>
    <t>AM0025</t>
  </si>
  <si>
    <t>940822-1011412</t>
  </si>
  <si>
    <t>박만섭</t>
  </si>
  <si>
    <t>82970200019454</t>
  </si>
  <si>
    <t>akstjq6670@gmail.com</t>
  </si>
  <si>
    <t>AM0026</t>
  </si>
  <si>
    <t>931227-2323423</t>
  </si>
  <si>
    <t>이규민</t>
  </si>
  <si>
    <t>68240101634485</t>
  </si>
  <si>
    <t>ekmin99@naver.com</t>
  </si>
  <si>
    <t>AM0027</t>
  </si>
  <si>
    <t>880219-1025911</t>
  </si>
  <si>
    <t>조상훈</t>
  </si>
  <si>
    <t>59190201289362</t>
  </si>
  <si>
    <t>sanghun52@naver.com</t>
  </si>
  <si>
    <t>AM0028</t>
  </si>
  <si>
    <t>930211-2078311</t>
  </si>
  <si>
    <t>곽희진</t>
  </si>
  <si>
    <t>110459307602</t>
  </si>
  <si>
    <t>ihjk0001@naver.com</t>
  </si>
  <si>
    <t>AM0029</t>
  </si>
  <si>
    <t>940118-2861217</t>
  </si>
  <si>
    <t>최누리</t>
  </si>
  <si>
    <t>081</t>
  </si>
  <si>
    <t>KEB하나은행</t>
  </si>
  <si>
    <t>19491020876807</t>
  </si>
  <si>
    <t>lossangels@naver.com</t>
  </si>
  <si>
    <t>AM0030</t>
  </si>
  <si>
    <t>991209-2081216</t>
  </si>
  <si>
    <t>최수빈</t>
  </si>
  <si>
    <t>47540104138159</t>
  </si>
  <si>
    <t>gu1209@naver.com</t>
  </si>
  <si>
    <t>AM0031</t>
  </si>
  <si>
    <t>940312-1185013</t>
  </si>
  <si>
    <t>김상민</t>
  </si>
  <si>
    <t>011</t>
  </si>
  <si>
    <t>농협은행</t>
  </si>
  <si>
    <t>3560744248823</t>
  </si>
  <si>
    <t>aforxj12@naver.com</t>
  </si>
  <si>
    <t>AM0032</t>
  </si>
  <si>
    <t>961025-2184622</t>
  </si>
  <si>
    <t>정영숙</t>
  </si>
  <si>
    <t>28510204307069</t>
  </si>
  <si>
    <t>wjddudtnr95@naver.com</t>
  </si>
  <si>
    <t>AM0033</t>
  </si>
  <si>
    <t>911111-2055811</t>
  </si>
  <si>
    <t>문효진</t>
  </si>
  <si>
    <t>25340104272217</t>
  </si>
  <si>
    <t>gywls3401@naver.com</t>
  </si>
  <si>
    <t>AM0034</t>
  </si>
  <si>
    <t>860608-2069914</t>
  </si>
  <si>
    <t>함수연</t>
  </si>
  <si>
    <t>84880100071436</t>
  </si>
  <si>
    <t>suyouni86@naver.com</t>
  </si>
  <si>
    <t>AM0035</t>
  </si>
  <si>
    <t>990601-2152329</t>
  </si>
  <si>
    <t>탁민지</t>
  </si>
  <si>
    <t>65940101516305</t>
  </si>
  <si>
    <t>tkm1238@naver.com</t>
  </si>
  <si>
    <t>AM0036</t>
  </si>
  <si>
    <t>990724-2199419</t>
  </si>
  <si>
    <t>전혜원</t>
  </si>
  <si>
    <t>59510101657511</t>
  </si>
  <si>
    <t>hyewon99_724@naver.com</t>
  </si>
  <si>
    <t>AM0037</t>
  </si>
  <si>
    <t>940723-1235014</t>
  </si>
  <si>
    <t>윤정한</t>
  </si>
  <si>
    <t>05360204371339</t>
  </si>
  <si>
    <t>yan7023@naver.com</t>
  </si>
  <si>
    <t>AM0039</t>
  </si>
  <si>
    <t>960906-2500211</t>
  </si>
  <si>
    <t>양선주</t>
  </si>
  <si>
    <t>81140104293856</t>
  </si>
  <si>
    <t>abcds7681@naver.com</t>
  </si>
  <si>
    <t>AM0040</t>
  </si>
  <si>
    <t>911125-1108916</t>
  </si>
  <si>
    <t>이기현</t>
  </si>
  <si>
    <t>56180201430761</t>
  </si>
  <si>
    <t>darkness021@naver.com</t>
  </si>
  <si>
    <t>AM0041</t>
  </si>
  <si>
    <t>981129-1574917</t>
  </si>
  <si>
    <t>여기훈</t>
  </si>
  <si>
    <t>93800200363048</t>
  </si>
  <si>
    <t>778462@naver.com</t>
  </si>
  <si>
    <t>AM0042</t>
  </si>
  <si>
    <t>940722-2581512</t>
  </si>
  <si>
    <t>서가희</t>
  </si>
  <si>
    <t>110504884646</t>
  </si>
  <si>
    <t>tjrkgml18@naver.com</t>
  </si>
  <si>
    <t>AM0043</t>
  </si>
  <si>
    <t>000908-4075810</t>
  </si>
  <si>
    <t>신서연</t>
  </si>
  <si>
    <t>35930204089554</t>
  </si>
  <si>
    <t>0105984@naver.com</t>
  </si>
  <si>
    <t>AM0044</t>
  </si>
  <si>
    <t>990413-2041317</t>
  </si>
  <si>
    <t>배예림</t>
  </si>
  <si>
    <t>42750104075800</t>
  </si>
  <si>
    <t>baeyerem0413@naver.com</t>
  </si>
  <si>
    <t>AM0045</t>
  </si>
  <si>
    <t>990528-2042216</t>
  </si>
  <si>
    <t>이유정</t>
  </si>
  <si>
    <t>46990104277198</t>
  </si>
  <si>
    <t>thkfkd1go@naver.com</t>
  </si>
  <si>
    <t>AM0046</t>
  </si>
  <si>
    <t>961005-1025419</t>
  </si>
  <si>
    <t>정준호</t>
  </si>
  <si>
    <t>49780201534584</t>
  </si>
  <si>
    <t>wjdwnsgh08@naver.com</t>
  </si>
  <si>
    <t>AM0048</t>
  </si>
  <si>
    <t>970304-2026113</t>
  </si>
  <si>
    <t>은혜리</t>
  </si>
  <si>
    <t>61630104204857</t>
  </si>
  <si>
    <t>dmschfhd97@naver.com</t>
  </si>
  <si>
    <t>AM0049</t>
  </si>
  <si>
    <t>981027-2051418</t>
  </si>
  <si>
    <t>최솔이</t>
  </si>
  <si>
    <t>46190201354347</t>
  </si>
  <si>
    <t>yge05056@naver.com</t>
  </si>
  <si>
    <t>AM0050</t>
  </si>
  <si>
    <t>931203-2241115</t>
  </si>
  <si>
    <t>권솔아</t>
  </si>
  <si>
    <t>09890104102313</t>
  </si>
  <si>
    <t>lovelyblue47@naver.com</t>
  </si>
  <si>
    <t>AM0051</t>
  </si>
  <si>
    <t>891127-1157254</t>
  </si>
  <si>
    <t>김가람</t>
  </si>
  <si>
    <t>09890204238127</t>
  </si>
  <si>
    <t>kgr1127@naver.com</t>
  </si>
  <si>
    <t>AM0052</t>
  </si>
  <si>
    <t>980226-1235017</t>
  </si>
  <si>
    <t>유석민</t>
  </si>
  <si>
    <t>93800200217039</t>
  </si>
  <si>
    <t>tkwk1566@naver.com</t>
  </si>
  <si>
    <t>AM0053</t>
  </si>
  <si>
    <t>970716-1184911</t>
  </si>
  <si>
    <t>채재병</t>
  </si>
  <si>
    <t>97200449301010</t>
  </si>
  <si>
    <t>coty68@nate.com</t>
  </si>
  <si>
    <t>AM0054</t>
  </si>
  <si>
    <t>940504-1143714</t>
  </si>
  <si>
    <t>이재인</t>
  </si>
  <si>
    <t>61670201446466</t>
  </si>
  <si>
    <t>8747239@naver.com</t>
  </si>
  <si>
    <t>AM0055</t>
  </si>
  <si>
    <t>921019-1183618</t>
  </si>
  <si>
    <t>주영석</t>
  </si>
  <si>
    <t>65030204124567</t>
  </si>
  <si>
    <t>dudtjr7141@naver.com</t>
  </si>
  <si>
    <t>AM0057</t>
  </si>
  <si>
    <t>990802-5760013</t>
  </si>
  <si>
    <t>윤금호</t>
  </si>
  <si>
    <t>46991000771305</t>
  </si>
  <si>
    <t>geumho0621@naver.com</t>
  </si>
  <si>
    <t>AM0059</t>
  </si>
  <si>
    <t>930921-2034647</t>
  </si>
  <si>
    <t>송정화</t>
  </si>
  <si>
    <t>26310104477628</t>
  </si>
  <si>
    <t>thdwjdghk93@naver.com</t>
  </si>
  <si>
    <t>AM0061</t>
  </si>
  <si>
    <t>950901-1177513</t>
  </si>
  <si>
    <t>우민식</t>
  </si>
  <si>
    <t>23270204352768</t>
  </si>
  <si>
    <t>alstl@naver.com</t>
  </si>
  <si>
    <t>AM0062</t>
  </si>
  <si>
    <t>931228-1069014</t>
  </si>
  <si>
    <t>손상우</t>
  </si>
  <si>
    <t>71820201193057</t>
  </si>
  <si>
    <t>ssw931228@naver.com</t>
  </si>
  <si>
    <t>AM0063</t>
  </si>
  <si>
    <t>870119-1030626</t>
  </si>
  <si>
    <t>홍현선</t>
  </si>
  <si>
    <t>51260201281172</t>
  </si>
  <si>
    <t>honghong87@hanmail.net</t>
  </si>
  <si>
    <t>AM0065</t>
  </si>
  <si>
    <t>940415-2173639</t>
  </si>
  <si>
    <t>조은지</t>
  </si>
  <si>
    <t>27270204133770</t>
  </si>
  <si>
    <t>roaldmswl@naver.com</t>
  </si>
  <si>
    <t>AM0066</t>
  </si>
  <si>
    <t>970521-2245617</t>
  </si>
  <si>
    <t>조혜민</t>
  </si>
  <si>
    <t>3510168878123</t>
  </si>
  <si>
    <t>zzz5919@naver.com</t>
  </si>
  <si>
    <t>AM0067</t>
  </si>
  <si>
    <t>940922-2187510</t>
  </si>
  <si>
    <t>박명숙</t>
  </si>
  <si>
    <t>21810204434666</t>
  </si>
  <si>
    <t>primaryms94@gmail.com</t>
  </si>
  <si>
    <t>AM0068</t>
  </si>
  <si>
    <t>000222-4234118</t>
  </si>
  <si>
    <t>김누리</t>
  </si>
  <si>
    <t>21100204211503</t>
  </si>
  <si>
    <t>2000snfl@naver.com</t>
  </si>
  <si>
    <t>AM0071</t>
  </si>
  <si>
    <t>000521-3500515</t>
  </si>
  <si>
    <t>오은호</t>
  </si>
  <si>
    <t>50780204078995</t>
  </si>
  <si>
    <t>ok756776@naver.com</t>
  </si>
  <si>
    <t>AM0072</t>
  </si>
  <si>
    <t>960306-2910417</t>
  </si>
  <si>
    <t>이송미</t>
  </si>
  <si>
    <t>56470101500927</t>
  </si>
  <si>
    <t>thdal645@naver.com</t>
  </si>
  <si>
    <t>AM0073</t>
  </si>
  <si>
    <t>940419-1155415</t>
  </si>
  <si>
    <t>김영문</t>
  </si>
  <si>
    <t>07300104250758</t>
  </si>
  <si>
    <t>samyookchaos@naver.com</t>
  </si>
  <si>
    <t>AM0075</t>
  </si>
  <si>
    <t>950817-1170214</t>
  </si>
  <si>
    <t>정영민</t>
  </si>
  <si>
    <t>51550201423133</t>
  </si>
  <si>
    <t>jym9sss@gmail.com</t>
  </si>
  <si>
    <t>AM0076</t>
  </si>
  <si>
    <t>000103-4216420</t>
  </si>
  <si>
    <t>이소윤</t>
  </si>
  <si>
    <t>110511669360</t>
  </si>
  <si>
    <t>lesy0103@naver.com</t>
  </si>
  <si>
    <t>AM0077</t>
  </si>
  <si>
    <t>010522-4233712</t>
  </si>
  <si>
    <t>황선하</t>
  </si>
  <si>
    <t>3561411860793</t>
  </si>
  <si>
    <t>sunha148@naver.com</t>
  </si>
  <si>
    <t>AM0078</t>
  </si>
  <si>
    <t>920325-1057311</t>
  </si>
  <si>
    <t>손현섭</t>
  </si>
  <si>
    <t>110270354093</t>
  </si>
  <si>
    <t>qurtks206@naver.com</t>
  </si>
  <si>
    <t>AM0079</t>
  </si>
  <si>
    <t>010507-4471211</t>
  </si>
  <si>
    <t>최은영</t>
  </si>
  <si>
    <t>3510983960653</t>
  </si>
  <si>
    <t>vhql93@naver.com</t>
  </si>
  <si>
    <t>AM0080</t>
  </si>
  <si>
    <t>961004-2169518</t>
  </si>
  <si>
    <t>윤주연</t>
  </si>
  <si>
    <t>090</t>
  </si>
  <si>
    <t>카카오뱅크</t>
  </si>
  <si>
    <t>3333114672568</t>
  </si>
  <si>
    <t>dbswndus104@naver.com</t>
  </si>
  <si>
    <t>AM0081</t>
  </si>
  <si>
    <t>981026-1158916</t>
  </si>
  <si>
    <t>채수암</t>
  </si>
  <si>
    <t>72050201285052</t>
  </si>
  <si>
    <t>emperor1011@naver.com</t>
  </si>
  <si>
    <t>AM0082</t>
  </si>
  <si>
    <t>970216-2194114</t>
  </si>
  <si>
    <t>김지혜</t>
  </si>
  <si>
    <t>3021054355451</t>
  </si>
  <si>
    <t>kjh394277@gmail.com</t>
  </si>
  <si>
    <t>AM0083</t>
  </si>
  <si>
    <t>990612-2170313</t>
  </si>
  <si>
    <t>정서현</t>
  </si>
  <si>
    <t>80460104281718</t>
  </si>
  <si>
    <t>s990612h@gmail.com</t>
  </si>
  <si>
    <t>AM0084</t>
  </si>
  <si>
    <t>951227-1543111</t>
  </si>
  <si>
    <t>서보현</t>
  </si>
  <si>
    <t>91930201678003</t>
  </si>
  <si>
    <t>qhgus8725@naver.com</t>
  </si>
  <si>
    <t>AM0085</t>
  </si>
  <si>
    <t>950221-1083319</t>
  </si>
  <si>
    <t>두영무</t>
  </si>
  <si>
    <t>86190104115782</t>
  </si>
  <si>
    <t>dudan475@naver.com</t>
  </si>
  <si>
    <t>AM0086</t>
  </si>
  <si>
    <t>920905-2017726</t>
  </si>
  <si>
    <t>이현진</t>
  </si>
  <si>
    <t>81320200036340</t>
  </si>
  <si>
    <t>hj200351@hanmail.net</t>
  </si>
  <si>
    <t>AM0087</t>
  </si>
  <si>
    <t>960216-1011617</t>
  </si>
  <si>
    <t>정지우</t>
  </si>
  <si>
    <t>1002546633335</t>
  </si>
  <si>
    <t>popejoan@naver.com</t>
  </si>
  <si>
    <t>AM0088</t>
  </si>
  <si>
    <t>980225-1196616</t>
  </si>
  <si>
    <t>심기훈</t>
  </si>
  <si>
    <t>20550104149785</t>
  </si>
  <si>
    <t>sgh0225sgh@naver.com</t>
  </si>
  <si>
    <t>AM0089</t>
  </si>
  <si>
    <t>971013-2449333</t>
  </si>
  <si>
    <t>김나희</t>
  </si>
  <si>
    <t>64510204075508</t>
  </si>
  <si>
    <t>ppsop_2@naver.com</t>
  </si>
  <si>
    <t>AM0090</t>
  </si>
  <si>
    <t>940319-1077013</t>
  </si>
  <si>
    <t>김한결</t>
  </si>
  <si>
    <t>50610201448831</t>
  </si>
  <si>
    <t>constantly@kakao.com</t>
  </si>
  <si>
    <t>AM0091</t>
  </si>
  <si>
    <t>920319-1035513</t>
  </si>
  <si>
    <t>신창혁</t>
  </si>
  <si>
    <t>1002147108163</t>
  </si>
  <si>
    <t>apollon929@hotmail.com</t>
  </si>
  <si>
    <t>AM0092</t>
  </si>
  <si>
    <t>981011-2164211</t>
  </si>
  <si>
    <t>황유진</t>
  </si>
  <si>
    <t>21700204603524</t>
  </si>
  <si>
    <t>qhdms0311@naver.com</t>
  </si>
  <si>
    <t>AM0093</t>
  </si>
  <si>
    <t>940128-1152311</t>
  </si>
  <si>
    <t>이재영</t>
  </si>
  <si>
    <t>82991040539007</t>
  </si>
  <si>
    <t>khj3461@nate.com</t>
  </si>
  <si>
    <t>AM0094</t>
  </si>
  <si>
    <t>981206-2164514</t>
  </si>
  <si>
    <t>오영은</t>
  </si>
  <si>
    <t>21810104403377</t>
  </si>
  <si>
    <t>yeesdf100413@naver.com</t>
  </si>
  <si>
    <t>AM0095</t>
  </si>
  <si>
    <t>970617-1182616</t>
  </si>
  <si>
    <t>김대준</t>
  </si>
  <si>
    <t>94160200006224</t>
  </si>
  <si>
    <t>wnsrla7@naver.com</t>
  </si>
  <si>
    <t>AM0096</t>
  </si>
  <si>
    <t>940318-1182926</t>
  </si>
  <si>
    <t>김호림</t>
  </si>
  <si>
    <t>110399011894</t>
  </si>
  <si>
    <t>horim318@naver.com</t>
  </si>
  <si>
    <t>AM0097</t>
  </si>
  <si>
    <t>901128-1241614</t>
  </si>
  <si>
    <t>강대우</t>
  </si>
  <si>
    <t>3520991656293</t>
  </si>
  <si>
    <t>vvkdwvv@gmail.com</t>
  </si>
  <si>
    <t>AM0098</t>
  </si>
  <si>
    <t>970415-2184225</t>
  </si>
  <si>
    <t>이다애</t>
  </si>
  <si>
    <t>06216692401015</t>
  </si>
  <si>
    <t>syjy22kr@gmail.com</t>
  </si>
  <si>
    <t>AM0099</t>
  </si>
  <si>
    <t>890806-1187110</t>
  </si>
  <si>
    <t>정중섭</t>
  </si>
  <si>
    <t>3020735733661</t>
  </si>
  <si>
    <t>beholderjjsf@gmail.com</t>
  </si>
  <si>
    <t>AM0100</t>
  </si>
  <si>
    <t>000108-4035215</t>
  </si>
  <si>
    <t>이영흔</t>
  </si>
  <si>
    <t>58090201534440</t>
  </si>
  <si>
    <t>dudgms0108@gmail.com</t>
  </si>
  <si>
    <t>AM0101</t>
  </si>
  <si>
    <t>981001-2179525</t>
  </si>
  <si>
    <t>이다솜</t>
  </si>
  <si>
    <t>92030201456052</t>
  </si>
  <si>
    <t>dasom2231@naver.com</t>
  </si>
  <si>
    <t>AM0102</t>
  </si>
  <si>
    <t>880129-1156411</t>
  </si>
  <si>
    <t>유창주</t>
  </si>
  <si>
    <t>1002431489401</t>
  </si>
  <si>
    <t>you1004ufo@gmail.com</t>
  </si>
  <si>
    <t>AM0103</t>
  </si>
  <si>
    <t>930728-1471418</t>
  </si>
  <si>
    <t>구태우</t>
  </si>
  <si>
    <t>1002954878161</t>
  </si>
  <si>
    <t>xodn7868@naver.com</t>
  </si>
  <si>
    <t>AM0104</t>
  </si>
  <si>
    <t>960205-1053114</t>
  </si>
  <si>
    <t>최현진</t>
  </si>
  <si>
    <t>110440719066</t>
  </si>
  <si>
    <t>chrzk56@naver.com</t>
  </si>
  <si>
    <t>AM0105</t>
  </si>
  <si>
    <t>980310-2037415</t>
  </si>
  <si>
    <t>김은호</t>
  </si>
  <si>
    <t>74540201230646</t>
  </si>
  <si>
    <t>wivor310@naver.com</t>
  </si>
  <si>
    <t>AM0106</t>
  </si>
  <si>
    <t>910902-1070419</t>
  </si>
  <si>
    <t>박예헌</t>
  </si>
  <si>
    <t>03160104220179</t>
  </si>
  <si>
    <t>parkyehun@naver.com</t>
  </si>
  <si>
    <t>AM0107</t>
  </si>
  <si>
    <t>961014-2052010</t>
  </si>
  <si>
    <t>엄지혜</t>
  </si>
  <si>
    <t>169001-04-215380</t>
  </si>
  <si>
    <t>djawl2019@naver.com</t>
  </si>
  <si>
    <t>AM0108</t>
  </si>
  <si>
    <t>940104-2183718</t>
  </si>
  <si>
    <t>임새롬</t>
  </si>
  <si>
    <t>96336049353</t>
  </si>
  <si>
    <t>dlato94@naver.com</t>
  </si>
  <si>
    <t>AM0109</t>
  </si>
  <si>
    <t>961225-2638017</t>
  </si>
  <si>
    <t>김세미</t>
  </si>
  <si>
    <t>3010149352831</t>
  </si>
  <si>
    <t>rmawk4563@naver.com</t>
  </si>
  <si>
    <t>AM0110</t>
  </si>
  <si>
    <t>980427-1333511</t>
  </si>
  <si>
    <t>권병석</t>
  </si>
  <si>
    <t>97702051201019</t>
  </si>
  <si>
    <t>begin402789@gmail.com</t>
  </si>
  <si>
    <t>AM0111</t>
  </si>
  <si>
    <t>930201-1009516</t>
  </si>
  <si>
    <t>강원석</t>
  </si>
  <si>
    <t>1002560953064</t>
  </si>
  <si>
    <t>adda9nom@gmail.com</t>
  </si>
  <si>
    <t>AM0112</t>
  </si>
  <si>
    <t>940726-1652412</t>
  </si>
  <si>
    <t>3510548987533</t>
  </si>
  <si>
    <t>567875@naver.com</t>
  </si>
  <si>
    <t>AM0113</t>
  </si>
  <si>
    <t>970507-2032120</t>
  </si>
  <si>
    <t>강정민</t>
  </si>
  <si>
    <t>31091000922207</t>
  </si>
  <si>
    <t>zkfkdltk@naver.com</t>
  </si>
  <si>
    <t>AM0114</t>
  </si>
  <si>
    <t>970819-1006317</t>
  </si>
  <si>
    <t>이근성</t>
  </si>
  <si>
    <t>68080201249534</t>
  </si>
  <si>
    <t>rmstjd987@naver.com</t>
  </si>
  <si>
    <t>AM0115</t>
  </si>
  <si>
    <t>980216-2562110</t>
  </si>
  <si>
    <t>홍지우</t>
  </si>
  <si>
    <t>110344833509</t>
  </si>
  <si>
    <t>cghswlsn12@naver.com</t>
  </si>
  <si>
    <t>AM0116</t>
  </si>
  <si>
    <t>930704-1481210</t>
  </si>
  <si>
    <t>임종문</t>
  </si>
  <si>
    <t>3333139385430</t>
  </si>
  <si>
    <t>ikm67@naver.com</t>
  </si>
  <si>
    <t>AM0117</t>
  </si>
  <si>
    <t>860201-1661116</t>
  </si>
  <si>
    <t>조진형</t>
  </si>
  <si>
    <t>36430204243226</t>
  </si>
  <si>
    <t>lovemore82@naver.com</t>
  </si>
  <si>
    <t>AM0118</t>
  </si>
  <si>
    <t>970212-2047028</t>
  </si>
  <si>
    <t>전담비</t>
  </si>
  <si>
    <t>49810201367815</t>
  </si>
  <si>
    <t>wjsekaql212@naver.com</t>
  </si>
  <si>
    <t>AM0119</t>
  </si>
  <si>
    <t>970817-2233319</t>
  </si>
  <si>
    <t>박은비</t>
  </si>
  <si>
    <t>31220204084060</t>
  </si>
  <si>
    <t>snsqldid1234@naver.com</t>
  </si>
  <si>
    <t>AM0120</t>
  </si>
  <si>
    <t>000420-4648811</t>
  </si>
  <si>
    <t>이하루</t>
  </si>
  <si>
    <t>21100104366280</t>
  </si>
  <si>
    <t>ekfn0420@naver.com</t>
  </si>
  <si>
    <t>AM0121</t>
  </si>
  <si>
    <t>970808-2038011</t>
  </si>
  <si>
    <t>권은재</t>
  </si>
  <si>
    <t>01250104301356</t>
  </si>
  <si>
    <t>eunjae808@naver.com</t>
  </si>
  <si>
    <t>AM0123</t>
  </si>
  <si>
    <t>911129-1678212</t>
  </si>
  <si>
    <t>서준우</t>
  </si>
  <si>
    <t>61290204072147</t>
  </si>
  <si>
    <t>suhjw2000@naver.com</t>
  </si>
  <si>
    <t>AM0124</t>
  </si>
  <si>
    <t>970319-2031011</t>
  </si>
  <si>
    <t>양효정</t>
  </si>
  <si>
    <t>05360204383464</t>
  </si>
  <si>
    <t>yhj07081@naver.com</t>
  </si>
  <si>
    <t>AM0125</t>
  </si>
  <si>
    <t>950113-1243510</t>
  </si>
  <si>
    <t>김승환</t>
  </si>
  <si>
    <t>84590200018718</t>
  </si>
  <si>
    <t>winhard95@naver.com</t>
  </si>
  <si>
    <t>AM0127</t>
  </si>
  <si>
    <t>811009-2566821</t>
  </si>
  <si>
    <t>박영주</t>
  </si>
  <si>
    <t>39910104405063</t>
  </si>
  <si>
    <t>gagtime3@naver.com</t>
  </si>
  <si>
    <t>AM0128</t>
  </si>
  <si>
    <t>950704-1025719</t>
  </si>
  <si>
    <t>정해만</t>
  </si>
  <si>
    <t>68110201528429</t>
  </si>
  <si>
    <t>haemong_2@naver.com</t>
  </si>
  <si>
    <t>AM0129</t>
  </si>
  <si>
    <t>970314-1047813</t>
  </si>
  <si>
    <t>박형준</t>
  </si>
  <si>
    <t>3333035145903</t>
  </si>
  <si>
    <t>hyang3479@naver.com</t>
  </si>
  <si>
    <t>AM0130</t>
  </si>
  <si>
    <t>000802-4009911</t>
  </si>
  <si>
    <t>정예은</t>
  </si>
  <si>
    <t>110210826526</t>
  </si>
  <si>
    <t>dpamss082@naver.com</t>
  </si>
  <si>
    <t>AM0131</t>
  </si>
  <si>
    <t>930405-2199023</t>
  </si>
  <si>
    <t>노영민</t>
  </si>
  <si>
    <t>39040104017351</t>
  </si>
  <si>
    <t>ks930405@naver.com</t>
  </si>
  <si>
    <t>AM0132</t>
  </si>
  <si>
    <t>000226-4249512</t>
  </si>
  <si>
    <t>박민지</t>
  </si>
  <si>
    <t>3333058496613</t>
  </si>
  <si>
    <t>pmj4249512@naver.com</t>
  </si>
  <si>
    <t>AM0133</t>
  </si>
  <si>
    <t>960513-1419415</t>
  </si>
  <si>
    <t>박병관</t>
  </si>
  <si>
    <t>23270204373196</t>
  </si>
  <si>
    <t>adorable5038@naver.com</t>
  </si>
  <si>
    <t>AM0134</t>
  </si>
  <si>
    <t>980415-1174328</t>
  </si>
  <si>
    <t>신현수</t>
  </si>
  <si>
    <t>1002761533344</t>
  </si>
  <si>
    <t>kmjsdh2@naver.com</t>
  </si>
  <si>
    <t>AM0135</t>
  </si>
  <si>
    <t>980325-1917010</t>
  </si>
  <si>
    <t>신지환</t>
  </si>
  <si>
    <t>미재출</t>
  </si>
  <si>
    <t>gchbin98@naver.com</t>
  </si>
  <si>
    <t>AM0136</t>
  </si>
  <si>
    <t>980301-2095611</t>
  </si>
  <si>
    <t>박윤경</t>
  </si>
  <si>
    <t>3333030714196</t>
  </si>
  <si>
    <t>bigb819@naver.com</t>
  </si>
  <si>
    <t>AM0137</t>
  </si>
  <si>
    <t>920514-1021022</t>
  </si>
  <si>
    <t>백종원</t>
  </si>
  <si>
    <t>94290200106888</t>
  </si>
  <si>
    <t>jwwhddnjs@gmail.com</t>
  </si>
  <si>
    <t>AM0138</t>
  </si>
  <si>
    <t>981219-1143716</t>
  </si>
  <si>
    <t>이희재</t>
  </si>
  <si>
    <t>94160200269528</t>
  </si>
  <si>
    <t>owan1219@naver.com</t>
  </si>
  <si>
    <t>AM0139</t>
  </si>
  <si>
    <t>030208-4069419</t>
  </si>
  <si>
    <t>장주희</t>
  </si>
  <si>
    <t>80910204146365</t>
  </si>
  <si>
    <t>julie82911@gmail.com</t>
  </si>
  <si>
    <t>AM0141</t>
  </si>
  <si>
    <t>010801-4047015</t>
  </si>
  <si>
    <t>김규빈</t>
  </si>
  <si>
    <t>85430100009032</t>
  </si>
  <si>
    <t>bessiekim08@naver.com</t>
  </si>
  <si>
    <t>AM0142</t>
  </si>
  <si>
    <t>980815-1216215</t>
  </si>
  <si>
    <t>이원호</t>
  </si>
  <si>
    <t>1002850130011</t>
  </si>
  <si>
    <t>dldnjsgh7@naver.com</t>
  </si>
  <si>
    <t>AM0143</t>
  </si>
  <si>
    <t>850419-1095618</t>
  </si>
  <si>
    <t>박중현</t>
  </si>
  <si>
    <t>25889105078607</t>
  </si>
  <si>
    <t>conan735@gmail.com</t>
  </si>
  <si>
    <t>AM0144</t>
  </si>
  <si>
    <t>000623-3017822</t>
  </si>
  <si>
    <t>박건하</t>
  </si>
  <si>
    <t>54690201447588</t>
  </si>
  <si>
    <t>rjsgk4087@naver.com</t>
  </si>
  <si>
    <t>AM0145</t>
  </si>
  <si>
    <t>001019-3205018</t>
  </si>
  <si>
    <t>신승국</t>
  </si>
  <si>
    <t>23270104565831</t>
  </si>
  <si>
    <t>alog102000@icloud.com</t>
  </si>
  <si>
    <t>AM0146</t>
  </si>
  <si>
    <t>000708-4491311</t>
  </si>
  <si>
    <t>윤나현</t>
  </si>
  <si>
    <t>3510932777303</t>
  </si>
  <si>
    <t>07.8nahyeon@gmail.com</t>
  </si>
  <si>
    <t>AM0148</t>
  </si>
  <si>
    <t>001113-3042121</t>
  </si>
  <si>
    <t>문구원</t>
  </si>
  <si>
    <t>94160200664826</t>
  </si>
  <si>
    <t>912son@naver.com</t>
  </si>
  <si>
    <t>AS0003</t>
  </si>
  <si>
    <t>961120-2691214</t>
  </si>
  <si>
    <t>임하늘</t>
  </si>
  <si>
    <t>63490204136894</t>
  </si>
  <si>
    <t>vkfm456@naver.com</t>
  </si>
  <si>
    <t>AS0004</t>
  </si>
  <si>
    <t>901015-2222222</t>
  </si>
  <si>
    <t>홍은비</t>
  </si>
  <si>
    <t>02820204077501</t>
  </si>
  <si>
    <t>eup2@naver.com</t>
  </si>
  <si>
    <t>AS0005</t>
  </si>
  <si>
    <t>911107-3333333</t>
  </si>
  <si>
    <t>조지원</t>
  </si>
  <si>
    <t>63810204093245</t>
  </si>
  <si>
    <t>미등록</t>
  </si>
  <si>
    <t>no-data</t>
  </si>
  <si>
    <t>AS0006</t>
  </si>
  <si>
    <t>951225-2703117</t>
  </si>
  <si>
    <t>장민희</t>
  </si>
  <si>
    <t>64590204329975</t>
  </si>
  <si>
    <t>alsgmlsun@naver.com</t>
  </si>
  <si>
    <t>AS0007</t>
  </si>
  <si>
    <t>000302-4672319</t>
  </si>
  <si>
    <t>68020104184589</t>
  </si>
  <si>
    <t>kyj9523@naver.com</t>
  </si>
  <si>
    <t>AS0008</t>
  </si>
  <si>
    <t>900111-2199319</t>
  </si>
  <si>
    <t>원소연</t>
  </si>
  <si>
    <t>110493173298</t>
  </si>
  <si>
    <t>hyejinwon111@gmail.com</t>
  </si>
  <si>
    <t>AS0010</t>
  </si>
  <si>
    <t>920130-2768318</t>
  </si>
  <si>
    <t>박소윤</t>
  </si>
  <si>
    <t>031</t>
  </si>
  <si>
    <t>대구은행</t>
  </si>
  <si>
    <t>508120914325</t>
  </si>
  <si>
    <t>hwsoyun@naver.com</t>
  </si>
  <si>
    <t>AS0011</t>
  </si>
  <si>
    <t>950208-1698417</t>
  </si>
  <si>
    <t>권배성</t>
  </si>
  <si>
    <t>72720200167998</t>
  </si>
  <si>
    <t>ds0264@naver.com</t>
  </si>
  <si>
    <t>AS0012</t>
  </si>
  <si>
    <t>940404-2692714</t>
  </si>
  <si>
    <t>배효은</t>
  </si>
  <si>
    <t>60220204145785</t>
  </si>
  <si>
    <t>dmszzang2@nate.com</t>
  </si>
  <si>
    <t>AS0013</t>
  </si>
  <si>
    <t>871028-1685611</t>
  </si>
  <si>
    <t>정기화</t>
  </si>
  <si>
    <t>199070071771</t>
  </si>
  <si>
    <t>AS0014</t>
  </si>
  <si>
    <t>941019-1703010</t>
  </si>
  <si>
    <t>김영균</t>
  </si>
  <si>
    <t>02820204052245</t>
  </si>
  <si>
    <t>omo941019@nate.com</t>
  </si>
  <si>
    <t>AS0016</t>
  </si>
  <si>
    <t>961007-1691917</t>
  </si>
  <si>
    <t>박준호</t>
  </si>
  <si>
    <t>95397035271</t>
  </si>
  <si>
    <t>qwe3042@naver.com</t>
  </si>
  <si>
    <t>AS0017</t>
  </si>
  <si>
    <t>951102-2768310</t>
  </si>
  <si>
    <t>문정윤</t>
  </si>
  <si>
    <t>80130101634059</t>
  </si>
  <si>
    <t>cn1155@naver.com</t>
  </si>
  <si>
    <t>AS0018</t>
  </si>
  <si>
    <t>970905-2692332</t>
  </si>
  <si>
    <t>박소현</t>
  </si>
  <si>
    <t>61290204179710</t>
  </si>
  <si>
    <t>qkrthgus200@naver.com</t>
  </si>
  <si>
    <t>AS0019</t>
  </si>
  <si>
    <t>000518-3333615</t>
  </si>
  <si>
    <t>권석준</t>
  </si>
  <si>
    <t>110484782682</t>
  </si>
  <si>
    <t>hjg4814@gmail.com</t>
  </si>
  <si>
    <t>AS0020</t>
  </si>
  <si>
    <t>950116-1685611</t>
  </si>
  <si>
    <t>정현욱</t>
  </si>
  <si>
    <t>61740104332289</t>
  </si>
  <si>
    <t>j950116@nate.com</t>
  </si>
  <si>
    <t>AS0021</t>
  </si>
  <si>
    <t>910515-1670921</t>
  </si>
  <si>
    <t>이윤건</t>
  </si>
  <si>
    <t>110475170214</t>
  </si>
  <si>
    <t>leeyg7767@naver.com</t>
  </si>
  <si>
    <t>AS0022</t>
  </si>
  <si>
    <t>920814-1675815</t>
  </si>
  <si>
    <t>김정호</t>
  </si>
  <si>
    <t>045</t>
  </si>
  <si>
    <t>새마을금고중앙회</t>
  </si>
  <si>
    <t>9003242501991</t>
  </si>
  <si>
    <t>rlawjdgh07@naver.com</t>
  </si>
  <si>
    <t>AS0023</t>
  </si>
  <si>
    <t>931224-1692516</t>
  </si>
  <si>
    <t>이재형</t>
  </si>
  <si>
    <t>67500104187867</t>
  </si>
  <si>
    <t>jea1853@naver.com</t>
  </si>
  <si>
    <t>AS0024</t>
  </si>
  <si>
    <t>960531-2696812</t>
  </si>
  <si>
    <t>김효명</t>
  </si>
  <si>
    <t>64200204203742</t>
  </si>
  <si>
    <t>hyom960531@naver.com</t>
  </si>
  <si>
    <t>AS0025</t>
  </si>
  <si>
    <t>951228-2928114</t>
  </si>
  <si>
    <t>이주현</t>
  </si>
  <si>
    <t>64590204297449</t>
  </si>
  <si>
    <t>ju942@naver.com</t>
  </si>
  <si>
    <t>AS0026</t>
  </si>
  <si>
    <t>911030-1686010</t>
  </si>
  <si>
    <t>정정우</t>
  </si>
  <si>
    <t/>
  </si>
  <si>
    <t>rhdiadl@gmail.com</t>
  </si>
  <si>
    <t>AS0028</t>
  </si>
  <si>
    <t>930630-1683115</t>
  </si>
  <si>
    <t>이예찬</t>
  </si>
  <si>
    <t>80130201611345</t>
  </si>
  <si>
    <t>dldpcks3082@gmail.com</t>
  </si>
  <si>
    <t>AT0001</t>
  </si>
  <si>
    <t>791203-1697218</t>
  </si>
  <si>
    <t>손무진</t>
  </si>
  <si>
    <t>24820204022574</t>
  </si>
  <si>
    <t>worldcrew@naver.com</t>
  </si>
  <si>
    <t>AT0003</t>
  </si>
  <si>
    <t>890824-1851618</t>
  </si>
  <si>
    <t>김정민</t>
  </si>
  <si>
    <t>55400201404025</t>
  </si>
  <si>
    <t>ULBOOO@naver.com</t>
  </si>
  <si>
    <t>AT0004</t>
  </si>
  <si>
    <t>920419-1922013</t>
  </si>
  <si>
    <t>이은총</t>
  </si>
  <si>
    <t>94780101409186</t>
  </si>
  <si>
    <t>esse4500@hanmail.net</t>
  </si>
  <si>
    <t>AT0005</t>
  </si>
  <si>
    <t>950423-1112111</t>
  </si>
  <si>
    <t>김주영</t>
  </si>
  <si>
    <t>94780101409467</t>
  </si>
  <si>
    <t>djaldk07@naver.com</t>
  </si>
  <si>
    <t>AT0007</t>
  </si>
  <si>
    <t>950425-2093219</t>
  </si>
  <si>
    <t>김가혜</t>
  </si>
  <si>
    <t>94780201581869</t>
  </si>
  <si>
    <t>rkgp7229@naver.com</t>
  </si>
  <si>
    <t>AT0008</t>
  </si>
  <si>
    <t>850514-1082113</t>
  </si>
  <si>
    <t>오광석</t>
  </si>
  <si>
    <t>9003250580486</t>
  </si>
  <si>
    <t>pixeet360@gmail.com</t>
  </si>
  <si>
    <t>AT0009</t>
  </si>
  <si>
    <t>920715-2246923</t>
  </si>
  <si>
    <t>원다혜</t>
  </si>
  <si>
    <t>69920101298133</t>
  </si>
  <si>
    <t>hknn9397@naver.com</t>
  </si>
  <si>
    <t>AT0011</t>
  </si>
  <si>
    <t>951107-2279517</t>
  </si>
  <si>
    <t>양혜원</t>
  </si>
  <si>
    <t>30410204148570</t>
  </si>
  <si>
    <t>yhw1107@naver.com</t>
  </si>
  <si>
    <t>AT0012</t>
  </si>
  <si>
    <t>920411-1118127</t>
  </si>
  <si>
    <t>이동욱</t>
  </si>
  <si>
    <t>55660201665488</t>
  </si>
  <si>
    <t>dnrdl1590@naver.com</t>
  </si>
  <si>
    <t>AT0013</t>
  </si>
  <si>
    <t>760505-2123819</t>
  </si>
  <si>
    <t>권이서</t>
  </si>
  <si>
    <t>27540104048667</t>
  </si>
  <si>
    <t>Leeseo6281@gmail.com</t>
  </si>
  <si>
    <t>AT0015</t>
  </si>
  <si>
    <t>850321-1109818</t>
  </si>
  <si>
    <t>송우대</t>
  </si>
  <si>
    <t>10430104444732</t>
  </si>
  <si>
    <t>marssong@nate.com</t>
  </si>
  <si>
    <t>AT0019</t>
  </si>
  <si>
    <t>961120-1093611</t>
  </si>
  <si>
    <t>김성현</t>
  </si>
  <si>
    <t>10430104448251</t>
  </si>
  <si>
    <t>lissl8310@naver.com</t>
  </si>
  <si>
    <t>AT0021</t>
  </si>
  <si>
    <t>930712-1120910</t>
  </si>
  <si>
    <t>전용재</t>
  </si>
  <si>
    <t>10430104449117</t>
  </si>
  <si>
    <t>pl252525@naver.com</t>
  </si>
  <si>
    <t>AT0022</t>
  </si>
  <si>
    <t>980812-2109315</t>
  </si>
  <si>
    <t>박미연</t>
  </si>
  <si>
    <t>aldustks@naver.com</t>
  </si>
  <si>
    <t>AT0023</t>
  </si>
  <si>
    <t>930109-1104110</t>
  </si>
  <si>
    <t>공동혁</t>
  </si>
  <si>
    <t>ehdel405@naver.com</t>
  </si>
  <si>
    <t>BI0001</t>
  </si>
  <si>
    <t>860217-1079919</t>
  </si>
  <si>
    <t>백승천</t>
  </si>
  <si>
    <t>24110104019385</t>
  </si>
  <si>
    <t>bscmail@naver.com</t>
  </si>
  <si>
    <t>BI0002</t>
  </si>
  <si>
    <t>930108-2646511</t>
  </si>
  <si>
    <t>장미</t>
  </si>
  <si>
    <t>70360200058498</t>
  </si>
  <si>
    <t>jluv3310@naver.com</t>
  </si>
  <si>
    <t>BI0003</t>
  </si>
  <si>
    <t>960607-2068014</t>
  </si>
  <si>
    <t>안혜현</t>
  </si>
  <si>
    <t>10430204320064</t>
  </si>
  <si>
    <t>anaomi@naver.com</t>
  </si>
  <si>
    <t>BI0004</t>
  </si>
  <si>
    <t>920317-1069211</t>
  </si>
  <si>
    <t>이성훈</t>
  </si>
  <si>
    <t>110277227740</t>
  </si>
  <si>
    <t>qwe3397@naver.com</t>
  </si>
  <si>
    <t>BI0005</t>
  </si>
  <si>
    <t>881004-2052417</t>
  </si>
  <si>
    <t>허정원</t>
  </si>
  <si>
    <t>02510204214361</t>
  </si>
  <si>
    <t>zytasd@naver.com</t>
  </si>
  <si>
    <t>BI0006</t>
  </si>
  <si>
    <t>940311-2150919</t>
  </si>
  <si>
    <t>김찬희</t>
  </si>
  <si>
    <t>1002556497381</t>
  </si>
  <si>
    <t>ckslaofur7@naver.com</t>
  </si>
  <si>
    <t>BW0001</t>
  </si>
  <si>
    <t>650608-2640012</t>
  </si>
  <si>
    <t>이영란</t>
  </si>
  <si>
    <t>09050204066948</t>
  </si>
  <si>
    <t>gracelyr7@hanmail.net</t>
  </si>
  <si>
    <t>BW0002</t>
  </si>
  <si>
    <t>640125-1149618</t>
  </si>
  <si>
    <t>안희용</t>
  </si>
  <si>
    <t>59220101667164</t>
  </si>
  <si>
    <t>graceahy7@gmail.com</t>
  </si>
  <si>
    <t>BW0003</t>
  </si>
  <si>
    <t>650707-1149621</t>
  </si>
  <si>
    <t>김선기</t>
  </si>
  <si>
    <t>28240104089062</t>
  </si>
  <si>
    <t>sunki0529@daum.net</t>
  </si>
  <si>
    <t>680321-1802425</t>
  </si>
  <si>
    <t>023</t>
  </si>
  <si>
    <t>SC제일은행</t>
  </si>
  <si>
    <t>20620268037</t>
  </si>
  <si>
    <t>chaiwoon@naver.com</t>
  </si>
  <si>
    <t>FS0002</t>
  </si>
  <si>
    <t>890624-1090228</t>
  </si>
  <si>
    <t>김태현</t>
  </si>
  <si>
    <t>56180101490799</t>
  </si>
  <si>
    <t>taehyun7357@gmail.com</t>
  </si>
  <si>
    <t>FS0003</t>
  </si>
  <si>
    <t>690328-1767918</t>
  </si>
  <si>
    <t>김기수</t>
  </si>
  <si>
    <t>110176285100</t>
  </si>
  <si>
    <t>nokzook@naver.com</t>
  </si>
  <si>
    <t>FS0004</t>
  </si>
  <si>
    <t>810614-1124117</t>
  </si>
  <si>
    <t>임태하</t>
  </si>
  <si>
    <t>95910101345623</t>
  </si>
  <si>
    <t>hikkary8877@gmail.com</t>
  </si>
  <si>
    <t>FS0005</t>
  </si>
  <si>
    <t>820223-1124412</t>
  </si>
  <si>
    <t>이정훈</t>
  </si>
  <si>
    <t>3010295407351</t>
  </si>
  <si>
    <t>dnsgkd011@naver.com</t>
  </si>
  <si>
    <t>FS0006</t>
  </si>
  <si>
    <t>830325-1691417</t>
  </si>
  <si>
    <t>도병갑</t>
  </si>
  <si>
    <t>631210355547</t>
  </si>
  <si>
    <t>gavi2108@naver.com</t>
  </si>
  <si>
    <t>FS0007</t>
  </si>
  <si>
    <t>820802-1055818</t>
  </si>
  <si>
    <t>이청목</t>
  </si>
  <si>
    <t>28800204342841</t>
  </si>
  <si>
    <t>mok828@naver.com</t>
  </si>
  <si>
    <t>FS0008</t>
  </si>
  <si>
    <t>721022-1105118</t>
  </si>
  <si>
    <t>홍현철</t>
  </si>
  <si>
    <t>10140104159424</t>
  </si>
  <si>
    <t>hirunehong72@kakao.com</t>
  </si>
  <si>
    <t>FS0009</t>
  </si>
  <si>
    <t>631005-1011735</t>
  </si>
  <si>
    <t>이경남</t>
  </si>
  <si>
    <t>9002149929487</t>
  </si>
  <si>
    <t>business1004@gmail.com</t>
  </si>
  <si>
    <t>FS0010</t>
  </si>
  <si>
    <t>621113-1149116</t>
  </si>
  <si>
    <t>박현준</t>
  </si>
  <si>
    <t>821210730462</t>
  </si>
  <si>
    <t>parkq1962@naver.com</t>
  </si>
  <si>
    <t>840108-1006220</t>
  </si>
  <si>
    <t>110251247900</t>
  </si>
  <si>
    <t>maengyl@naver.com</t>
  </si>
  <si>
    <t>870725-1678113</t>
  </si>
  <si>
    <t>68020204140195</t>
  </si>
  <si>
    <t>magic8113@naver.com</t>
  </si>
  <si>
    <t>951219-1034711</t>
  </si>
  <si>
    <t>3120123119011</t>
  </si>
  <si>
    <t>rocksu2922@naver.com</t>
  </si>
  <si>
    <t>780108-1818811</t>
  </si>
  <si>
    <t>3029357700761</t>
  </si>
  <si>
    <t>metjung@gmail.com</t>
  </si>
  <si>
    <t>GT0005</t>
  </si>
  <si>
    <t>960507-2726516</t>
  </si>
  <si>
    <t>염서윤</t>
  </si>
  <si>
    <t>41070204287482</t>
  </si>
  <si>
    <t>teddy0507@naver.com</t>
  </si>
  <si>
    <t>GT0006</t>
  </si>
  <si>
    <t>970429-1685618</t>
  </si>
  <si>
    <t>서원식</t>
  </si>
  <si>
    <t>94030200104411</t>
  </si>
  <si>
    <t>ssk1274@naver.com</t>
  </si>
  <si>
    <t>GT0007</t>
  </si>
  <si>
    <t>000815-3768939</t>
  </si>
  <si>
    <t>김정훈</t>
  </si>
  <si>
    <t>94030200739141</t>
  </si>
  <si>
    <t>rnlduawjdgns00@naver.com</t>
  </si>
  <si>
    <t>GT0008</t>
  </si>
  <si>
    <t>990301-2682513</t>
  </si>
  <si>
    <t>59970104416418</t>
  </si>
  <si>
    <t>dmsalsk0301@naver.com</t>
  </si>
  <si>
    <t>GT0009</t>
  </si>
  <si>
    <t>960925-1697830</t>
  </si>
  <si>
    <t>정재헌</t>
  </si>
  <si>
    <t>3521967688373</t>
  </si>
  <si>
    <t>koc09642@naver.com</t>
  </si>
  <si>
    <t>GT0010</t>
  </si>
  <si>
    <t>940701-1692012</t>
  </si>
  <si>
    <t>김민수</t>
  </si>
  <si>
    <t>3127545005951</t>
  </si>
  <si>
    <t>fakekafka@naver.com</t>
  </si>
  <si>
    <t>GT0011</t>
  </si>
  <si>
    <t>931109-1696711</t>
  </si>
  <si>
    <t>권용창</t>
  </si>
  <si>
    <t>61610204277733</t>
  </si>
  <si>
    <t>function4239@gmail.com</t>
  </si>
  <si>
    <t>GT0012</t>
  </si>
  <si>
    <t>950406-1055618</t>
  </si>
  <si>
    <t>김진우</t>
  </si>
  <si>
    <t>44310201356998</t>
  </si>
  <si>
    <t>rlawlsdn4564@naver.com</t>
  </si>
  <si>
    <t>GT0013</t>
  </si>
  <si>
    <t>980413-1693329</t>
  </si>
  <si>
    <t>이선목</t>
  </si>
  <si>
    <t>64590104344162</t>
  </si>
  <si>
    <t>mogii0413@naver.com</t>
  </si>
  <si>
    <t>GT0014</t>
  </si>
  <si>
    <t>901121-2768618</t>
  </si>
  <si>
    <t>송지현</t>
  </si>
  <si>
    <t>08613095393</t>
  </si>
  <si>
    <t>wlgus9011@naver.com</t>
  </si>
  <si>
    <t>GT0015</t>
  </si>
  <si>
    <t>990407-2702912</t>
  </si>
  <si>
    <t>윤동주</t>
  </si>
  <si>
    <t>3522134293483</t>
  </si>
  <si>
    <t>ydh3290@naver.com</t>
  </si>
  <si>
    <t>GT0016</t>
  </si>
  <si>
    <t>991105-2800613</t>
  </si>
  <si>
    <t>이유미</t>
  </si>
  <si>
    <t>3333151246469</t>
  </si>
  <si>
    <t>leeyoume1105@naver.com</t>
  </si>
  <si>
    <t>GT0017</t>
  </si>
  <si>
    <t>940119-1113411</t>
  </si>
  <si>
    <t>이재훈</t>
  </si>
  <si>
    <t>3560232321093</t>
  </si>
  <si>
    <t>xnqkxn@naver.com</t>
  </si>
  <si>
    <t>001221-4686113</t>
  </si>
  <si>
    <t>3333119096215</t>
  </si>
  <si>
    <t>wkdgpdnjs135@naver.com</t>
  </si>
  <si>
    <t>GT0019</t>
  </si>
  <si>
    <t>971004-1683910</t>
  </si>
  <si>
    <t>박종훈</t>
  </si>
  <si>
    <t>110482203420</t>
  </si>
  <si>
    <t>gazel5760@naver.com</t>
  </si>
  <si>
    <t>000813-4200228</t>
  </si>
  <si>
    <t>65140204209807</t>
  </si>
  <si>
    <t>psk9453@naver.com</t>
  </si>
  <si>
    <t>940920-1683413</t>
  </si>
  <si>
    <t>53260104197149</t>
  </si>
  <si>
    <t>seominwoo90@naver.com</t>
  </si>
  <si>
    <t>GT0022</t>
  </si>
  <si>
    <t>930209-1403038</t>
  </si>
  <si>
    <t>이수봉</t>
  </si>
  <si>
    <t>3333130586839</t>
  </si>
  <si>
    <t>sobong7367@naver.com</t>
  </si>
  <si>
    <t>GT0023</t>
  </si>
  <si>
    <t>961025-1120226</t>
  </si>
  <si>
    <t>권세진</t>
  </si>
  <si>
    <t>95197201571</t>
  </si>
  <si>
    <t>sjk2014@naver.com</t>
  </si>
  <si>
    <t>GT0024</t>
  </si>
  <si>
    <t>980604-1675514</t>
  </si>
  <si>
    <t>김민우</t>
  </si>
  <si>
    <t>94030200395033</t>
  </si>
  <si>
    <t>rlaalsdn0617@naver.com</t>
  </si>
  <si>
    <t>HA0001</t>
  </si>
  <si>
    <t>910808-2157831</t>
  </si>
  <si>
    <t>이유라</t>
  </si>
  <si>
    <t>53330101163722</t>
  </si>
  <si>
    <t>lula88@naver.com</t>
  </si>
  <si>
    <t>HA0002</t>
  </si>
  <si>
    <t>941015-2785712</t>
  </si>
  <si>
    <t>김석주</t>
  </si>
  <si>
    <t>82240104147977</t>
  </si>
  <si>
    <t>ksyksj012@naver.com</t>
  </si>
  <si>
    <t>HA0003</t>
  </si>
  <si>
    <t>880502-1743111</t>
  </si>
  <si>
    <t>공태환</t>
  </si>
  <si>
    <t>99505212851</t>
  </si>
  <si>
    <t>exitcode@naver.com</t>
  </si>
  <si>
    <t>HA0004</t>
  </si>
  <si>
    <t>930506-1081427</t>
  </si>
  <si>
    <t>우제인</t>
  </si>
  <si>
    <t>60860101330134</t>
  </si>
  <si>
    <t>ji01200@naver.com</t>
  </si>
  <si>
    <t>HA0005</t>
  </si>
  <si>
    <t>930104-1150316</t>
  </si>
  <si>
    <t>서주영</t>
  </si>
  <si>
    <t>45960201469860</t>
  </si>
  <si>
    <t>wndudvh@hanmail.net</t>
  </si>
  <si>
    <t>HA0006</t>
  </si>
  <si>
    <t>000111-4212621</t>
  </si>
  <si>
    <t>박민주</t>
  </si>
  <si>
    <t>67520100113406</t>
  </si>
  <si>
    <t>minjoo0111@naver.com</t>
  </si>
  <si>
    <t>HA0007</t>
  </si>
  <si>
    <t>941028-2074314</t>
  </si>
  <si>
    <t>박은영</t>
  </si>
  <si>
    <t>38360204161448</t>
  </si>
  <si>
    <t>pmadeleine@naver.com</t>
  </si>
  <si>
    <t>HA0008</t>
  </si>
  <si>
    <t>960805-2019612</t>
  </si>
  <si>
    <t>박인성</t>
  </si>
  <si>
    <t>24530104523747</t>
  </si>
  <si>
    <t>qkr03127@naver.com</t>
  </si>
  <si>
    <t>HA0009</t>
  </si>
  <si>
    <t>920404-2164518</t>
  </si>
  <si>
    <t>김선유</t>
  </si>
  <si>
    <t>68110101454873</t>
  </si>
  <si>
    <t>ssunmyong@naver.com</t>
  </si>
  <si>
    <t>HA0010</t>
  </si>
  <si>
    <t>960610-1042811</t>
  </si>
  <si>
    <t>박민우</t>
  </si>
  <si>
    <t>67360204072863</t>
  </si>
  <si>
    <t>qkrwlsrb95@naver.com</t>
  </si>
  <si>
    <t>HA0011</t>
  </si>
  <si>
    <t>980130-1360516</t>
  </si>
  <si>
    <t>김석진</t>
  </si>
  <si>
    <t>01030149332</t>
  </si>
  <si>
    <t>gusdl8994@naver.com</t>
  </si>
  <si>
    <t>HA0012</t>
  </si>
  <si>
    <t>940416-1173918</t>
  </si>
  <si>
    <t>김도현</t>
  </si>
  <si>
    <t>91350101070527</t>
  </si>
  <si>
    <t>thehyn0416@naver.com</t>
  </si>
  <si>
    <t>HA0013</t>
  </si>
  <si>
    <t>970303-1170511</t>
  </si>
  <si>
    <t>안진오</t>
  </si>
  <si>
    <t>94290200053966</t>
  </si>
  <si>
    <t>dkswlsdhsla@naver.com</t>
  </si>
  <si>
    <t>HA0014</t>
  </si>
  <si>
    <t>970114-1196210</t>
  </si>
  <si>
    <t>강한별</t>
  </si>
  <si>
    <t>94320200139021</t>
  </si>
  <si>
    <t>rkdgksqufrnt@naver.com</t>
  </si>
  <si>
    <t>HA0015</t>
  </si>
  <si>
    <t>970908-2247417</t>
  </si>
  <si>
    <t>이해나라</t>
  </si>
  <si>
    <t>23010204345281</t>
  </si>
  <si>
    <t>haenara@icloud.com</t>
  </si>
  <si>
    <t>HA0016</t>
  </si>
  <si>
    <t>960114-1173220</t>
  </si>
  <si>
    <t>권희철</t>
  </si>
  <si>
    <t>11218535201017</t>
  </si>
  <si>
    <t>huicheol@naver.com</t>
  </si>
  <si>
    <t>HA0017</t>
  </si>
  <si>
    <t>970403-1246913</t>
  </si>
  <si>
    <t>정정규</t>
  </si>
  <si>
    <t>23301956017896</t>
  </si>
  <si>
    <t>mlnl115@naver.com</t>
  </si>
  <si>
    <t>HA0018</t>
  </si>
  <si>
    <t>581221-1472412</t>
  </si>
  <si>
    <t>이운형</t>
  </si>
  <si>
    <t>09890204241936</t>
  </si>
  <si>
    <t>luh58@naver.com</t>
  </si>
  <si>
    <t>HA0019</t>
  </si>
  <si>
    <t>610201-2542638</t>
  </si>
  <si>
    <t>김혜옥</t>
  </si>
  <si>
    <t>09890104105369</t>
  </si>
  <si>
    <t>kho7474@naver.com</t>
  </si>
  <si>
    <t>HA0020</t>
  </si>
  <si>
    <t>870822-1037918</t>
  </si>
  <si>
    <t>최양수</t>
  </si>
  <si>
    <t>51130101410279</t>
  </si>
  <si>
    <t>choic0909@naver.com</t>
  </si>
  <si>
    <t>HA0021</t>
  </si>
  <si>
    <t>961017-1035312</t>
  </si>
  <si>
    <t>박준영</t>
  </si>
  <si>
    <t>83890204368606</t>
  </si>
  <si>
    <t>pjy9696@gmail.com</t>
  </si>
  <si>
    <t>HA0022</t>
  </si>
  <si>
    <t>900726-2055118</t>
  </si>
  <si>
    <t>54300201217128</t>
  </si>
  <si>
    <t>jdlwngus@naver.com</t>
  </si>
  <si>
    <t>HA0023</t>
  </si>
  <si>
    <t>891028-1075114</t>
  </si>
  <si>
    <t>송재걸</t>
  </si>
  <si>
    <t>23300104365919</t>
  </si>
  <si>
    <t>petersong8536@gmail.com</t>
  </si>
  <si>
    <t>HA0024</t>
  </si>
  <si>
    <t>930410-1559016</t>
  </si>
  <si>
    <t>김형준</t>
  </si>
  <si>
    <t>110433410252</t>
  </si>
  <si>
    <t>papyano@naver.com</t>
  </si>
  <si>
    <t>HA0025</t>
  </si>
  <si>
    <t>970618-1067811</t>
  </si>
  <si>
    <t>허원영</t>
  </si>
  <si>
    <t>93800200119753</t>
  </si>
  <si>
    <t>dnjsdudgj@daum.net</t>
  </si>
  <si>
    <t>HA0026</t>
  </si>
  <si>
    <t>961024-2066716</t>
  </si>
  <si>
    <t>전미희</t>
  </si>
  <si>
    <t>82370204153127</t>
  </si>
  <si>
    <t>gmh10@naver.com</t>
  </si>
  <si>
    <t>HA0027</t>
  </si>
  <si>
    <t>960524-1167713</t>
  </si>
  <si>
    <t>김채운</t>
  </si>
  <si>
    <t>3333157987144</t>
  </si>
  <si>
    <t>wlsthfkd96@naver.com</t>
  </si>
  <si>
    <t>HA0028</t>
  </si>
  <si>
    <t>980609-1854310</t>
  </si>
  <si>
    <t>정인규</t>
  </si>
  <si>
    <t>86020201537585</t>
  </si>
  <si>
    <t>wjddlsrb456@nate.com</t>
  </si>
  <si>
    <t>HA0029</t>
  </si>
  <si>
    <t>981226-1025011</t>
  </si>
  <si>
    <t>차수연</t>
  </si>
  <si>
    <t>93800200305536</t>
  </si>
  <si>
    <t>cktndus32@naver.com</t>
  </si>
  <si>
    <t>HA0030</t>
  </si>
  <si>
    <t>930916-1178519</t>
  </si>
  <si>
    <t>공세명</t>
  </si>
  <si>
    <t>35112145520</t>
  </si>
  <si>
    <t>anticgear@naver.com</t>
  </si>
  <si>
    <t>HA0031</t>
  </si>
  <si>
    <t>010411-4057432</t>
  </si>
  <si>
    <t>고수빈</t>
  </si>
  <si>
    <t>3521679155093</t>
  </si>
  <si>
    <t>4057ko@gmail.com</t>
  </si>
  <si>
    <t>HA0032</t>
  </si>
  <si>
    <t>971002-1031019</t>
  </si>
  <si>
    <t>정두하</t>
  </si>
  <si>
    <t>110426766705</t>
  </si>
  <si>
    <t>wjdengk01234@naver.com</t>
  </si>
  <si>
    <t>HA0033</t>
  </si>
  <si>
    <t>970205-1209919</t>
  </si>
  <si>
    <t>김협</t>
  </si>
  <si>
    <t>94290200084892</t>
  </si>
  <si>
    <t>kimhyeop9004@naver.com</t>
  </si>
  <si>
    <t>HA0034</t>
  </si>
  <si>
    <t>980201-2927214</t>
  </si>
  <si>
    <t>이유림</t>
  </si>
  <si>
    <t>87960201215034</t>
  </si>
  <si>
    <t>yurim744@gmail.com</t>
  </si>
  <si>
    <t>HA0035</t>
  </si>
  <si>
    <t>020514-4047721</t>
  </si>
  <si>
    <t>천주영</t>
  </si>
  <si>
    <t>02510204228896</t>
  </si>
  <si>
    <t>zooy5014@naver.com</t>
  </si>
  <si>
    <t>HA0036</t>
  </si>
  <si>
    <t>950419-2183415</t>
  </si>
  <si>
    <t>한수민</t>
  </si>
  <si>
    <t>26990104206518</t>
  </si>
  <si>
    <t>dbsgktnals@naver.com</t>
  </si>
  <si>
    <t>HA0037</t>
  </si>
  <si>
    <t>990412-2261222</t>
  </si>
  <si>
    <t>윤수아</t>
  </si>
  <si>
    <t>3333069528868</t>
  </si>
  <si>
    <t>yyysua@naver.com</t>
  </si>
  <si>
    <t>HA0038</t>
  </si>
  <si>
    <t>970715-1150316</t>
  </si>
  <si>
    <t>이병준</t>
  </si>
  <si>
    <t>65780201383128</t>
  </si>
  <si>
    <t>leebuyngjoon@gmail.com</t>
  </si>
  <si>
    <t>HA0039</t>
  </si>
  <si>
    <t>870210-1393118</t>
  </si>
  <si>
    <t>이재진</t>
  </si>
  <si>
    <t>48260201276787</t>
  </si>
  <si>
    <t>0210ljj@gmail.com</t>
  </si>
  <si>
    <t>HA0040</t>
  </si>
  <si>
    <t>991128-2561411</t>
  </si>
  <si>
    <t>조은서</t>
  </si>
  <si>
    <t>78520101547118</t>
  </si>
  <si>
    <t>dmsrj01@naver.com</t>
  </si>
  <si>
    <t>HQ0002</t>
  </si>
  <si>
    <t>890623-1114417</t>
  </si>
  <si>
    <t>조현준</t>
  </si>
  <si>
    <t>13310204081235</t>
  </si>
  <si>
    <t>shinhwa8535@naver.com</t>
  </si>
  <si>
    <t>HW0001</t>
  </si>
  <si>
    <t>950418-1114911</t>
  </si>
  <si>
    <t>최준혁</t>
  </si>
  <si>
    <t>09208960201018</t>
  </si>
  <si>
    <t>417900aaa@naver.com</t>
  </si>
  <si>
    <t>HW0002</t>
  </si>
  <si>
    <t>960125-1032616</t>
  </si>
  <si>
    <t>박혜성</t>
  </si>
  <si>
    <t>43890201533685</t>
  </si>
  <si>
    <t>wyeppi@naver.com</t>
  </si>
  <si>
    <t>HW0004</t>
  </si>
  <si>
    <t>941018-1066516</t>
  </si>
  <si>
    <t>최영욱</t>
  </si>
  <si>
    <t>22311419802018</t>
  </si>
  <si>
    <t>kya8802@naver.com</t>
  </si>
  <si>
    <t>HW0005</t>
  </si>
  <si>
    <t>730421-2023110</t>
  </si>
  <si>
    <t>주선화</t>
  </si>
  <si>
    <t>41980201280760</t>
  </si>
  <si>
    <t>rosebudj73@naver.com</t>
  </si>
  <si>
    <t>HW0006</t>
  </si>
  <si>
    <t>980626-1054612</t>
  </si>
  <si>
    <t>성민우</t>
  </si>
  <si>
    <t>28930204354528</t>
  </si>
  <si>
    <t>alsndl98@naver.com</t>
  </si>
  <si>
    <t>HW0007</t>
  </si>
  <si>
    <t>980220-1150926</t>
  </si>
  <si>
    <t>이다빈</t>
  </si>
  <si>
    <t>20130204194737</t>
  </si>
  <si>
    <t>dkrekd951@naver.com</t>
  </si>
  <si>
    <t>HW0008</t>
  </si>
  <si>
    <t>960602-1058218</t>
  </si>
  <si>
    <t>김휘주</t>
  </si>
  <si>
    <t>40660204187734</t>
  </si>
  <si>
    <t>zasf@naver.com</t>
  </si>
  <si>
    <t>HW0009</t>
  </si>
  <si>
    <t>960301-1029824</t>
  </si>
  <si>
    <t>권오윤</t>
  </si>
  <si>
    <t>118602046758</t>
  </si>
  <si>
    <t>asasa31@naver.com</t>
  </si>
  <si>
    <t>HW0011</t>
  </si>
  <si>
    <t>970830-1203411</t>
  </si>
  <si>
    <t>김준규</t>
  </si>
  <si>
    <t>97600933601011</t>
  </si>
  <si>
    <t>kimjun6005@naver.com</t>
  </si>
  <si>
    <t>IL0001</t>
  </si>
  <si>
    <t>920111-2020324</t>
  </si>
  <si>
    <t>조혜수</t>
  </si>
  <si>
    <t>32470104259536</t>
  </si>
  <si>
    <t>xhtns21@naver.com</t>
  </si>
  <si>
    <t>IL0002</t>
  </si>
  <si>
    <t>850802-1076311</t>
  </si>
  <si>
    <t>이승지</t>
  </si>
  <si>
    <t>23270104606110</t>
  </si>
  <si>
    <t>fenixs2000@nate.com</t>
  </si>
  <si>
    <t>IL0004</t>
  </si>
  <si>
    <t>950912-2157224</t>
  </si>
  <si>
    <t>박지영</t>
  </si>
  <si>
    <t>44370204086694</t>
  </si>
  <si>
    <t>pgy0790@naver.com</t>
  </si>
  <si>
    <t>IL0008</t>
  </si>
  <si>
    <t>910516-1162810</t>
  </si>
  <si>
    <t>조영석</t>
  </si>
  <si>
    <t>78160100138089</t>
  </si>
  <si>
    <t>home5638@naver.com</t>
  </si>
  <si>
    <t>IL0009</t>
  </si>
  <si>
    <t>921024-2150124</t>
  </si>
  <si>
    <t>김해솔</t>
  </si>
  <si>
    <t>24110204148145</t>
  </si>
  <si>
    <t>haesol9210@naver.com</t>
  </si>
  <si>
    <t>IL0010</t>
  </si>
  <si>
    <t>960930-2154611</t>
  </si>
  <si>
    <t>남나현</t>
  </si>
  <si>
    <t>66040201485103</t>
  </si>
  <si>
    <t>skgus930@naver.com</t>
  </si>
  <si>
    <t>IL0011</t>
  </si>
  <si>
    <t>880624-1057416</t>
  </si>
  <si>
    <t>김민중</t>
  </si>
  <si>
    <t>49810201305970</t>
  </si>
  <si>
    <t>kmj8806@empas.com</t>
  </si>
  <si>
    <t>IL0013</t>
  </si>
  <si>
    <t>951006-2041618</t>
  </si>
  <si>
    <t>하준영</t>
  </si>
  <si>
    <t>77880204160627</t>
  </si>
  <si>
    <t>jy951006@naver.com</t>
  </si>
  <si>
    <t>IL0014</t>
  </si>
  <si>
    <t>840704-1183111</t>
  </si>
  <si>
    <t>이동현</t>
  </si>
  <si>
    <t>27380204198961</t>
  </si>
  <si>
    <t>dblackshirt@naver.com</t>
  </si>
  <si>
    <t>941204-1411614</t>
  </si>
  <si>
    <t>089</t>
  </si>
  <si>
    <t>케이뱅크은행</t>
  </si>
  <si>
    <t>100108680256</t>
  </si>
  <si>
    <t>hansanghyeon1@naver.com</t>
  </si>
  <si>
    <t>MS0002</t>
  </si>
  <si>
    <t>920131-1411311</t>
  </si>
  <si>
    <t>최승훈</t>
  </si>
  <si>
    <t>71400201631227</t>
  </si>
  <si>
    <t>zxzx4210@naver.com</t>
  </si>
  <si>
    <t>MS0003</t>
  </si>
  <si>
    <t>981125-1478215</t>
  </si>
  <si>
    <t>66291064133107</t>
  </si>
  <si>
    <t>keh9470@naver.com</t>
  </si>
  <si>
    <t>MS0004</t>
  </si>
  <si>
    <t>950714-1350717</t>
  </si>
  <si>
    <t>오성민</t>
  </si>
  <si>
    <t>47540204217406</t>
  </si>
  <si>
    <t>ojg0605@naver.com</t>
  </si>
  <si>
    <t>MS0005</t>
  </si>
  <si>
    <t>841012-1475910</t>
  </si>
  <si>
    <t>지세현</t>
  </si>
  <si>
    <t>미제출</t>
  </si>
  <si>
    <t>jsh54838702@gmail.com</t>
  </si>
  <si>
    <t>MS0006</t>
  </si>
  <si>
    <t>960504-1249212</t>
  </si>
  <si>
    <t>오범석</t>
  </si>
  <si>
    <t>67140201459539</t>
  </si>
  <si>
    <t>smsone09@nate.com</t>
  </si>
  <si>
    <t>MS0007</t>
  </si>
  <si>
    <t>000902-4249570</t>
  </si>
  <si>
    <t>이하늘</t>
  </si>
  <si>
    <t>92500715401015</t>
  </si>
  <si>
    <t>gaea902902@naver.com</t>
  </si>
  <si>
    <t>MS0008</t>
  </si>
  <si>
    <t>971126-2187113</t>
  </si>
  <si>
    <t>배단비</t>
  </si>
  <si>
    <t>3333057842882</t>
  </si>
  <si>
    <t>qpdj9747@nate.com</t>
  </si>
  <si>
    <t>MS0009</t>
  </si>
  <si>
    <t>960320-1301014</t>
  </si>
  <si>
    <t>김일훈</t>
  </si>
  <si>
    <t>93350200383218</t>
  </si>
  <si>
    <t>dlfgns1301@naver.com</t>
  </si>
  <si>
    <t>MS0010</t>
  </si>
  <si>
    <t>000905-3659019</t>
  </si>
  <si>
    <t>장석희</t>
  </si>
  <si>
    <t>3333132095140</t>
  </si>
  <si>
    <t>dlsdo0104@naver.com</t>
  </si>
  <si>
    <t>MS0011</t>
  </si>
  <si>
    <t>030410-4419321</t>
  </si>
  <si>
    <t>박예원</t>
  </si>
  <si>
    <t>3520380961693</t>
  </si>
  <si>
    <t>pyw4233@naver.com</t>
  </si>
  <si>
    <t>MS0012</t>
  </si>
  <si>
    <t>900627-2901321</t>
  </si>
  <si>
    <t>이철화</t>
  </si>
  <si>
    <t>47360204236959</t>
  </si>
  <si>
    <t>koreash5@naver.com</t>
  </si>
  <si>
    <t>MS0013</t>
  </si>
  <si>
    <t>941129-1468421</t>
  </si>
  <si>
    <t>조태식</t>
  </si>
  <si>
    <t>47512556045650</t>
  </si>
  <si>
    <t>xotlr4868@naver.com</t>
  </si>
  <si>
    <t>MS0014</t>
  </si>
  <si>
    <t>910317-1074119</t>
  </si>
  <si>
    <t>오성준</t>
  </si>
  <si>
    <t>3561482886513</t>
  </si>
  <si>
    <t>tjdwns2448@naver.com</t>
  </si>
  <si>
    <t>MS0015</t>
  </si>
  <si>
    <t>010810-4357415</t>
  </si>
  <si>
    <t>권문정</t>
  </si>
  <si>
    <t>1002660724218</t>
  </si>
  <si>
    <t>kmoomj3031@naver.com</t>
  </si>
  <si>
    <t>950322-1466311</t>
  </si>
  <si>
    <t>73730201208679</t>
  </si>
  <si>
    <t>lkm9432@naver.com</t>
  </si>
  <si>
    <t>MS0017</t>
  </si>
  <si>
    <t>950603-1342239</t>
  </si>
  <si>
    <t>김세호</t>
  </si>
  <si>
    <t>3521524341973</t>
  </si>
  <si>
    <t>kjo2020@naver.com</t>
  </si>
  <si>
    <t>MS0018</t>
  </si>
  <si>
    <t>940517-1034311</t>
  </si>
  <si>
    <t>채용진</t>
  </si>
  <si>
    <t>13313530202019</t>
  </si>
  <si>
    <t>dlclrh9427@naver.com</t>
  </si>
  <si>
    <t>MS0019</t>
  </si>
  <si>
    <t>951107-1009610</t>
  </si>
  <si>
    <t>권혁수</t>
  </si>
  <si>
    <t>60570201456959</t>
  </si>
  <si>
    <t>gurtn12478@naver.com</t>
  </si>
  <si>
    <t>MS0020</t>
  </si>
  <si>
    <t>960315-1151517</t>
  </si>
  <si>
    <t>최준식</t>
  </si>
  <si>
    <t>3560367786453</t>
  </si>
  <si>
    <t>wnstlr880@naver.com</t>
  </si>
  <si>
    <t>MS0021</t>
  </si>
  <si>
    <t>940324-1183310</t>
  </si>
  <si>
    <t>박태은</t>
  </si>
  <si>
    <t>110402732565</t>
  </si>
  <si>
    <t>plla123@naver.com</t>
  </si>
  <si>
    <t>MS0022</t>
  </si>
  <si>
    <t>831123-1075311</t>
  </si>
  <si>
    <t>홍석현</t>
  </si>
  <si>
    <t>35040204035299</t>
  </si>
  <si>
    <t>esther579066@gmail.com</t>
  </si>
  <si>
    <t>MS0023</t>
  </si>
  <si>
    <t>711021-2030010</t>
  </si>
  <si>
    <t>황선임</t>
  </si>
  <si>
    <t>048</t>
  </si>
  <si>
    <t>신협</t>
  </si>
  <si>
    <t>132097080215</t>
  </si>
  <si>
    <t>hsc7110@naver.com</t>
  </si>
  <si>
    <t>MS0024</t>
  </si>
  <si>
    <t>970401-1269113</t>
  </si>
  <si>
    <t>이진석</t>
  </si>
  <si>
    <t>94610200011256</t>
  </si>
  <si>
    <t>naspos82@gmail.com</t>
  </si>
  <si>
    <t>MS0025</t>
  </si>
  <si>
    <t>000901-3773115</t>
  </si>
  <si>
    <t>박진호</t>
  </si>
  <si>
    <t>032</t>
  </si>
  <si>
    <t>부산은행</t>
  </si>
  <si>
    <t>1012073320507</t>
  </si>
  <si>
    <t>skqldi157@naver.com</t>
  </si>
  <si>
    <t>MS0026</t>
  </si>
  <si>
    <t>841107-1474313</t>
  </si>
  <si>
    <t>김창교</t>
  </si>
  <si>
    <t>110337548475</t>
  </si>
  <si>
    <t>twistkim1107@naver.com</t>
  </si>
  <si>
    <t>020820-3411911</t>
  </si>
  <si>
    <t>57370104153375</t>
  </si>
  <si>
    <t>leeyubin2234@gmail.com</t>
  </si>
  <si>
    <t>MS0028</t>
  </si>
  <si>
    <t>021103-4163210</t>
  </si>
  <si>
    <t>서열매</t>
  </si>
  <si>
    <t>1002160065881</t>
  </si>
  <si>
    <t>sym9449asdf@naver.com</t>
  </si>
  <si>
    <t>MS0029</t>
  </si>
  <si>
    <t>990421-1897011</t>
  </si>
  <si>
    <t>박시호</t>
  </si>
  <si>
    <t>3333268500166</t>
  </si>
  <si>
    <t>wnsduq0421@daum.net</t>
  </si>
  <si>
    <t>MS0030</t>
  </si>
  <si>
    <t>961213-1075418</t>
  </si>
  <si>
    <t>박준성</t>
  </si>
  <si>
    <t>012</t>
  </si>
  <si>
    <t>지역농축협</t>
  </si>
  <si>
    <t>3519813981923</t>
  </si>
  <si>
    <t>bjss9819@gmail.com</t>
  </si>
  <si>
    <t>MS0031</t>
  </si>
  <si>
    <t>010426-4411714</t>
  </si>
  <si>
    <t>최하나</t>
  </si>
  <si>
    <t>092</t>
  </si>
  <si>
    <t>토스뱅크</t>
  </si>
  <si>
    <t>100012609486</t>
  </si>
  <si>
    <t>0426hana@hanmail.net</t>
  </si>
  <si>
    <t>MS0032</t>
  </si>
  <si>
    <t>970114-1697718</t>
  </si>
  <si>
    <t>윤달수</t>
  </si>
  <si>
    <t>110450962318</t>
  </si>
  <si>
    <t>innovator@nate.com</t>
  </si>
  <si>
    <t>PA0001</t>
  </si>
  <si>
    <t>841218-1101110</t>
  </si>
  <si>
    <t>이왕수</t>
  </si>
  <si>
    <t>61870104218713</t>
  </si>
  <si>
    <t>kingwaters@hanmail.net</t>
  </si>
  <si>
    <t>PA0002</t>
  </si>
  <si>
    <t>941013-2768315</t>
  </si>
  <si>
    <t>김도은</t>
  </si>
  <si>
    <t>59600204051068</t>
  </si>
  <si>
    <t>anf1311@naver.com</t>
  </si>
  <si>
    <t>PA0004</t>
  </si>
  <si>
    <t>910311-1901114</t>
  </si>
  <si>
    <t>김혁</t>
  </si>
  <si>
    <t>3521039631173</t>
  </si>
  <si>
    <t>kmi8910@naver.com</t>
  </si>
  <si>
    <t>PA0005</t>
  </si>
  <si>
    <t>941012-2685411</t>
  </si>
  <si>
    <t>이정아</t>
  </si>
  <si>
    <t>97170100008130</t>
  </si>
  <si>
    <t>Wjddk5806@naver.com</t>
  </si>
  <si>
    <t>PA0006</t>
  </si>
  <si>
    <t>970108-2126215</t>
  </si>
  <si>
    <t>한지은</t>
  </si>
  <si>
    <t>83270101390247</t>
  </si>
  <si>
    <t>jieun2342@nate.com</t>
  </si>
  <si>
    <t>PA0007</t>
  </si>
  <si>
    <t>970120-2093411</t>
  </si>
  <si>
    <t>임지수</t>
  </si>
  <si>
    <t>10430104445630</t>
  </si>
  <si>
    <t>dlawltn48@naver.com</t>
  </si>
  <si>
    <t>PA0008</t>
  </si>
  <si>
    <t>970428-1106211</t>
  </si>
  <si>
    <t>김금성</t>
  </si>
  <si>
    <t>10430104446976</t>
  </si>
  <si>
    <t>kks042842@naver.com</t>
  </si>
  <si>
    <t>PA0009</t>
  </si>
  <si>
    <t>921028-1114811</t>
  </si>
  <si>
    <t>정은룡</t>
  </si>
  <si>
    <t>118802025491</t>
  </si>
  <si>
    <t>dmsfyd9966@naver.com</t>
  </si>
  <si>
    <t>PA0010</t>
  </si>
  <si>
    <t>760108-1671010</t>
  </si>
  <si>
    <t>박재우</t>
  </si>
  <si>
    <t>61740104334577</t>
  </si>
  <si>
    <t>nanwoos@naver.com</t>
  </si>
  <si>
    <t>PA0011</t>
  </si>
  <si>
    <t>000715-4794515</t>
  </si>
  <si>
    <t>이지현</t>
  </si>
  <si>
    <t>61740204129132</t>
  </si>
  <si>
    <t>wlrhd5528@naver.com</t>
  </si>
  <si>
    <t>PA0012</t>
  </si>
  <si>
    <t>960905-1794318</t>
  </si>
  <si>
    <t>이재혁</t>
  </si>
  <si>
    <t>30410204206982</t>
  </si>
  <si>
    <t>tmd03178@naver.com</t>
  </si>
  <si>
    <t>PA0013</t>
  </si>
  <si>
    <t>901003-2101311</t>
  </si>
  <si>
    <t>안미현</t>
  </si>
  <si>
    <t>13730104261483</t>
  </si>
  <si>
    <t>loveme6869@naver.com</t>
  </si>
  <si>
    <t>PA0014</t>
  </si>
  <si>
    <t>990607-2114135</t>
  </si>
  <si>
    <t>황지은</t>
  </si>
  <si>
    <t>10430104453035</t>
  </si>
  <si>
    <t>wldmsqk123@naver.com</t>
  </si>
  <si>
    <t>PA0015</t>
  </si>
  <si>
    <t>960110-1929431</t>
  </si>
  <si>
    <t>이준태</t>
  </si>
  <si>
    <t>25210204117703</t>
  </si>
  <si>
    <t>47470303@naveer.com</t>
  </si>
  <si>
    <t>PA0016</t>
  </si>
  <si>
    <t>000726-3678116</t>
  </si>
  <si>
    <t>정현규</t>
  </si>
  <si>
    <t>81070101302691</t>
  </si>
  <si>
    <t>son1234388@gmail.com</t>
  </si>
  <si>
    <t>PA0017</t>
  </si>
  <si>
    <t>951209-2865513</t>
  </si>
  <si>
    <t>장두빈</t>
  </si>
  <si>
    <t>84370201475316</t>
  </si>
  <si>
    <t>wkdenqls321@naver.com</t>
  </si>
  <si>
    <t>PA0018</t>
  </si>
  <si>
    <t>990325-1693120</t>
  </si>
  <si>
    <t>조세욱</t>
  </si>
  <si>
    <t>82040201267929</t>
  </si>
  <si>
    <t>dreamon0325@naver.com</t>
  </si>
  <si>
    <t>PA0020</t>
  </si>
  <si>
    <t>970308-2094516</t>
  </si>
  <si>
    <t>정다슬</t>
  </si>
  <si>
    <t>56210201400765</t>
  </si>
  <si>
    <t>tmf3801@naver.com</t>
  </si>
  <si>
    <t>PA0021</t>
  </si>
  <si>
    <t>841223-1697219</t>
  </si>
  <si>
    <t>차성원</t>
  </si>
  <si>
    <t>81360201137707</t>
  </si>
  <si>
    <t>gtoi2000@naver.com</t>
  </si>
  <si>
    <t>PA0022</t>
  </si>
  <si>
    <t>890303-1109911</t>
  </si>
  <si>
    <t>하현봉</t>
  </si>
  <si>
    <t>65320204097390</t>
  </si>
  <si>
    <t>hhb33@naver.com</t>
  </si>
  <si>
    <t>PA0023</t>
  </si>
  <si>
    <t>931011-2110011</t>
  </si>
  <si>
    <t>황경희</t>
  </si>
  <si>
    <t>84370201381945</t>
  </si>
  <si>
    <t>qjaok3001@naver.com</t>
  </si>
  <si>
    <t>PA0024</t>
  </si>
  <si>
    <t>940209-1696814</t>
  </si>
  <si>
    <t>박재호</t>
  </si>
  <si>
    <t>80130101705452</t>
  </si>
  <si>
    <t>oplove123@naver.com</t>
  </si>
  <si>
    <t>PA0025</t>
  </si>
  <si>
    <t>930414-2100415</t>
  </si>
  <si>
    <t>한지수</t>
  </si>
  <si>
    <t>10430104454719</t>
  </si>
  <si>
    <t>wltn7921@hanmail.net</t>
  </si>
  <si>
    <t>PA0026</t>
  </si>
  <si>
    <t>900613-2127514</t>
  </si>
  <si>
    <t>오지수</t>
  </si>
  <si>
    <t>1122059868401</t>
  </si>
  <si>
    <t>jiya0613@naver.com</t>
  </si>
  <si>
    <t>PA0028</t>
  </si>
  <si>
    <t>880420-1845711</t>
  </si>
  <si>
    <t>김지관</t>
  </si>
  <si>
    <t>92390755260</t>
  </si>
  <si>
    <t>habitmap@naver.com</t>
  </si>
  <si>
    <t>PA0029</t>
  </si>
  <si>
    <t>881229-1901816</t>
  </si>
  <si>
    <t>김현욱</t>
  </si>
  <si>
    <t>43404149401018</t>
  </si>
  <si>
    <t>parkcanho@naver.com</t>
  </si>
  <si>
    <t>PA0030</t>
  </si>
  <si>
    <t>941015-2927210</t>
  </si>
  <si>
    <t>임소라</t>
  </si>
  <si>
    <t>59730204148178</t>
  </si>
  <si>
    <t>thfdk0123@naver.com</t>
  </si>
  <si>
    <t>PA0031</t>
  </si>
  <si>
    <t>920406-1094611</t>
  </si>
  <si>
    <t>최동욱</t>
  </si>
  <si>
    <t>10430104458816</t>
  </si>
  <si>
    <t>ruqsl9961@naver.com</t>
  </si>
  <si>
    <t>PA0032</t>
  </si>
  <si>
    <t>920127-2676716</t>
  </si>
  <si>
    <t>정정화</t>
  </si>
  <si>
    <t>27560104355710</t>
  </si>
  <si>
    <t>qwertz0810@naver.com</t>
  </si>
  <si>
    <t>PA0033</t>
  </si>
  <si>
    <t>970731-1785419</t>
  </si>
  <si>
    <t>예성민</t>
  </si>
  <si>
    <t>94030200036486</t>
  </si>
  <si>
    <t>ysm8301@naver.com</t>
  </si>
  <si>
    <t>PA0034</t>
  </si>
  <si>
    <t>950103-1822229</t>
  </si>
  <si>
    <t>박세영</t>
  </si>
  <si>
    <t>65140104223886</t>
  </si>
  <si>
    <t>2245402@naver.com</t>
  </si>
  <si>
    <t>PA0035</t>
  </si>
  <si>
    <t>950619-2692117</t>
  </si>
  <si>
    <t>양선진</t>
  </si>
  <si>
    <t>63490104314822</t>
  </si>
  <si>
    <t>tjswls3226@naver.com</t>
  </si>
  <si>
    <t>PA0037</t>
  </si>
  <si>
    <t>930222-1696421</t>
  </si>
  <si>
    <t>이동환</t>
  </si>
  <si>
    <t>110370254107</t>
  </si>
  <si>
    <t>dlehdghks356@naver.com</t>
  </si>
  <si>
    <t>PA0038</t>
  </si>
  <si>
    <t>000822-4740311</t>
  </si>
  <si>
    <t>허유정</t>
  </si>
  <si>
    <t>83270101383159</t>
  </si>
  <si>
    <t>hyj2309@naver.com</t>
  </si>
  <si>
    <t>PA0039</t>
  </si>
  <si>
    <t>011012-4698314</t>
  </si>
  <si>
    <t>이다은</t>
  </si>
  <si>
    <t>1002956844998</t>
  </si>
  <si>
    <t>wer122i3ll@naver.com</t>
  </si>
  <si>
    <t>PA0040</t>
  </si>
  <si>
    <t>901011-1675812</t>
  </si>
  <si>
    <t>엄제윤</t>
  </si>
  <si>
    <t>42950201264774</t>
  </si>
  <si>
    <t>jeyun11@nate.com</t>
  </si>
  <si>
    <t>PA0041</t>
  </si>
  <si>
    <t>930407-1850321</t>
  </si>
  <si>
    <t>이현규</t>
  </si>
  <si>
    <t>10430104461216</t>
  </si>
  <si>
    <t>s6254130@naver.com</t>
  </si>
  <si>
    <t>PA0042</t>
  </si>
  <si>
    <t>971108-2588324</t>
  </si>
  <si>
    <t>강현지</t>
  </si>
  <si>
    <t>58030204194696</t>
  </si>
  <si>
    <t>dama2010@daum.net</t>
  </si>
  <si>
    <t>PA0044</t>
  </si>
  <si>
    <t>980123-2683210</t>
  </si>
  <si>
    <t>이혜주</t>
  </si>
  <si>
    <t>61920204169932</t>
  </si>
  <si>
    <t>hopeful_79@naver.com</t>
  </si>
  <si>
    <t>PA0046</t>
  </si>
  <si>
    <t>940527-2797911</t>
  </si>
  <si>
    <t>도현정</t>
  </si>
  <si>
    <t>73820200161589</t>
  </si>
  <si>
    <t>eoqkr@naver.com</t>
  </si>
  <si>
    <t>PA0047</t>
  </si>
  <si>
    <t>920328-1726126</t>
  </si>
  <si>
    <t>김상훈</t>
  </si>
  <si>
    <t>42402151901016</t>
  </si>
  <si>
    <t>gpdl132@naver.com</t>
  </si>
  <si>
    <t>PA0048</t>
  </si>
  <si>
    <t>950529-1673616</t>
  </si>
  <si>
    <t>김동규</t>
  </si>
  <si>
    <t>80390201284727</t>
  </si>
  <si>
    <t>dst02262@naver.com</t>
  </si>
  <si>
    <t>PA0050</t>
  </si>
  <si>
    <t>000614-4684724</t>
  </si>
  <si>
    <t>조수빈</t>
  </si>
  <si>
    <t>508126436331</t>
  </si>
  <si>
    <t>whtnqls0909@naver.com</t>
  </si>
  <si>
    <t>PA0052</t>
  </si>
  <si>
    <t>990212-2805014</t>
  </si>
  <si>
    <t>임세영</t>
  </si>
  <si>
    <t>19613162074</t>
  </si>
  <si>
    <t>dkfl657@naver.com</t>
  </si>
  <si>
    <t>PA0053</t>
  </si>
  <si>
    <t>950213-2690311</t>
  </si>
  <si>
    <t>최세희</t>
  </si>
  <si>
    <t>80710101445088</t>
  </si>
  <si>
    <t>tpgml2905@daum.net</t>
  </si>
  <si>
    <t>PA0054</t>
  </si>
  <si>
    <t>630410-2691325</t>
  </si>
  <si>
    <t>이승주</t>
  </si>
  <si>
    <t>508112813906</t>
  </si>
  <si>
    <t>woqjftmdwn7@naver.com</t>
  </si>
  <si>
    <t>PA0055</t>
  </si>
  <si>
    <t>690913-2796117</t>
  </si>
  <si>
    <t>최정희</t>
  </si>
  <si>
    <t>017080550245</t>
  </si>
  <si>
    <t>chjee0913@naver.com</t>
  </si>
  <si>
    <t>PA0057</t>
  </si>
  <si>
    <t>720815-1144011</t>
  </si>
  <si>
    <t>최성철</t>
  </si>
  <si>
    <t>53910101255324</t>
  </si>
  <si>
    <t>tetee@naver.com</t>
  </si>
  <si>
    <t>PA0058</t>
  </si>
  <si>
    <t>921125-1698019</t>
  </si>
  <si>
    <t>박현우</t>
  </si>
  <si>
    <t>61740104260339</t>
  </si>
  <si>
    <t>gus0971@naver.com</t>
  </si>
  <si>
    <t>PH0001</t>
  </si>
  <si>
    <t>771003-1558813</t>
  </si>
  <si>
    <t>정충석</t>
  </si>
  <si>
    <t>754202-04-034362</t>
  </si>
  <si>
    <t>oneseein77@nate.com</t>
  </si>
  <si>
    <t>830615-1460322</t>
  </si>
  <si>
    <t>11111111111</t>
  </si>
  <si>
    <t>project@project-n.or.kr</t>
  </si>
  <si>
    <t>900207-2120811</t>
  </si>
  <si>
    <t>10140204162597</t>
  </si>
  <si>
    <t>minju.bang90@gmail.com</t>
  </si>
  <si>
    <t>950507-1101310</t>
  </si>
  <si>
    <t>19306530101015</t>
  </si>
  <si>
    <t>wlrhkd0507@gmail.com</t>
  </si>
  <si>
    <t>950307-2822227</t>
  </si>
  <si>
    <t>10430204322716</t>
  </si>
  <si>
    <t>qkrdmsgk95@naver.com</t>
  </si>
  <si>
    <t>PS0004</t>
  </si>
  <si>
    <t>960212-1094919</t>
  </si>
  <si>
    <t>김재홍</t>
  </si>
  <si>
    <t>11240204321064</t>
  </si>
  <si>
    <t>wpmpqp1@naver.com</t>
  </si>
  <si>
    <t>PS0005</t>
  </si>
  <si>
    <t>920106-2155021</t>
  </si>
  <si>
    <t>서인정</t>
  </si>
  <si>
    <t>60860201365533</t>
  </si>
  <si>
    <t>humane_ij@naver.com</t>
  </si>
  <si>
    <t>970729-1850019</t>
  </si>
  <si>
    <t>01051898985</t>
  </si>
  <si>
    <t>ejd8985@naver.com</t>
  </si>
  <si>
    <t>960409-2590411</t>
  </si>
  <si>
    <t>3333201350636</t>
  </si>
  <si>
    <t>1556811@naver.com</t>
  </si>
  <si>
    <t>PS0008</t>
  </si>
  <si>
    <t>960722-1823541</t>
  </si>
  <si>
    <t>홍성빈</t>
  </si>
  <si>
    <t>3021285601291</t>
  </si>
  <si>
    <t>rlals8912@naver.com</t>
  </si>
  <si>
    <t>PS0009</t>
  </si>
  <si>
    <t>981016-1126821</t>
  </si>
  <si>
    <t>정기수</t>
  </si>
  <si>
    <t>93930200407826</t>
  </si>
  <si>
    <t>jks981016@naver.com</t>
  </si>
  <si>
    <t>PS0010</t>
  </si>
  <si>
    <t>940819-1835413</t>
  </si>
  <si>
    <t>안성수</t>
  </si>
  <si>
    <t>85470201182058</t>
  </si>
  <si>
    <t>tjdtn5674@naver.com</t>
  </si>
  <si>
    <t>PS0011</t>
  </si>
  <si>
    <t>820501-2058716</t>
  </si>
  <si>
    <t>김명해</t>
  </si>
  <si>
    <t>85470101544044</t>
  </si>
  <si>
    <t>audgo1234@naver.com</t>
  </si>
  <si>
    <t>PS0012</t>
  </si>
  <si>
    <t>961111-2822724</t>
  </si>
  <si>
    <t>조우솔</t>
  </si>
  <si>
    <t>86570201274711</t>
  </si>
  <si>
    <t>jowoosol@naver.com</t>
  </si>
  <si>
    <t>PS0013</t>
  </si>
  <si>
    <t>931014-1105510</t>
  </si>
  <si>
    <t>황민규</t>
  </si>
  <si>
    <t>3333058897868</t>
  </si>
  <si>
    <t>ghsehs159@naver.com</t>
  </si>
  <si>
    <t>PS0014</t>
  </si>
  <si>
    <t>820626-2709911</t>
  </si>
  <si>
    <t>민현정</t>
  </si>
  <si>
    <t>60640104238277</t>
  </si>
  <si>
    <t>mhj3114@nate.com</t>
  </si>
  <si>
    <t>PS0015</t>
  </si>
  <si>
    <t>871010-1082112</t>
  </si>
  <si>
    <t>천기범</t>
  </si>
  <si>
    <t>3827101131160</t>
  </si>
  <si>
    <t>z002002@naver.com</t>
  </si>
  <si>
    <t>PS0016</t>
  </si>
  <si>
    <t>950526-2104117</t>
  </si>
  <si>
    <t>김미나</t>
  </si>
  <si>
    <t>94650201496203</t>
  </si>
  <si>
    <t>uflov_@naver.com</t>
  </si>
  <si>
    <t>PS0017</t>
  </si>
  <si>
    <t>030130-4114412</t>
  </si>
  <si>
    <t>박주현</t>
  </si>
  <si>
    <t>3561411453713</t>
  </si>
  <si>
    <t>juhyeon4526@naver.com</t>
  </si>
  <si>
    <t>PS0018</t>
  </si>
  <si>
    <t>010514-3125514</t>
  </si>
  <si>
    <t>고경록</t>
  </si>
  <si>
    <t>1012061993601</t>
  </si>
  <si>
    <t>rhrudfhr1505@gmail.com</t>
  </si>
  <si>
    <t>PS0019</t>
  </si>
  <si>
    <t>981104-1851714</t>
  </si>
  <si>
    <t>김승범</t>
  </si>
  <si>
    <t>110536091884</t>
  </si>
  <si>
    <t>shll04428@gmail.com</t>
  </si>
  <si>
    <t>PS0020</t>
  </si>
  <si>
    <t>911224-1108923</t>
  </si>
  <si>
    <t>지수빈</t>
  </si>
  <si>
    <t>1122290477108</t>
  </si>
  <si>
    <t>wltnqls111@naver.com</t>
  </si>
  <si>
    <t>PS0021</t>
  </si>
  <si>
    <t>960825-1861819</t>
  </si>
  <si>
    <t>권영웅</t>
  </si>
  <si>
    <t>13591059460207</t>
  </si>
  <si>
    <t>dkdlrmrm787@naver.com</t>
  </si>
  <si>
    <t>PS0022</t>
  </si>
  <si>
    <t>811015-2095841</t>
  </si>
  <si>
    <t>김상숙</t>
  </si>
  <si>
    <t>45502105402001</t>
  </si>
  <si>
    <t>kimsangsuk1111@gmail.com</t>
  </si>
  <si>
    <t>PS0023</t>
  </si>
  <si>
    <t>930401-1508210</t>
  </si>
  <si>
    <t>진승현</t>
  </si>
  <si>
    <t>75510201162694</t>
  </si>
  <si>
    <t>wlstmdgus123@naver.com</t>
  </si>
  <si>
    <t>PS0025</t>
  </si>
  <si>
    <t>770615-2120216</t>
  </si>
  <si>
    <t>강금엽</t>
  </si>
  <si>
    <t>3333132811397</t>
  </si>
  <si>
    <t>yub5501@hanmail.net</t>
  </si>
  <si>
    <t>PS0026</t>
  </si>
  <si>
    <t>890513-1675914</t>
  </si>
  <si>
    <t>김준호</t>
  </si>
  <si>
    <t>55110101418594</t>
  </si>
  <si>
    <t>daskmask@naver.com</t>
  </si>
  <si>
    <t>PS0027</t>
  </si>
  <si>
    <t>740228-2094720</t>
  </si>
  <si>
    <t>김판선</t>
  </si>
  <si>
    <t>9003272552364</t>
  </si>
  <si>
    <t>chilam10@naver.com</t>
  </si>
  <si>
    <t>PS0028</t>
  </si>
  <si>
    <t>000922-3861939</t>
  </si>
  <si>
    <t>황세하</t>
  </si>
  <si>
    <t>3521375174613</t>
  </si>
  <si>
    <t>hseha2101@naver.com</t>
  </si>
  <si>
    <t>PS0029</t>
  </si>
  <si>
    <t>941028-1094211</t>
  </si>
  <si>
    <t>이창윤</t>
  </si>
  <si>
    <t>57020201384310</t>
  </si>
  <si>
    <t>lcy4153@naver.com</t>
  </si>
  <si>
    <t>PS0030</t>
  </si>
  <si>
    <t>930904-1125119</t>
  </si>
  <si>
    <t>이용진</t>
  </si>
  <si>
    <t>110364857590</t>
  </si>
  <si>
    <t>loveme3138@naver.com</t>
  </si>
  <si>
    <t>PS0031</t>
  </si>
  <si>
    <t>030929-3840516</t>
  </si>
  <si>
    <t>최영훈</t>
  </si>
  <si>
    <t>95000200742975</t>
  </si>
  <si>
    <t>cyh4251@naver.com</t>
  </si>
  <si>
    <t>PS0032</t>
  </si>
  <si>
    <t>950424-1152011</t>
  </si>
  <si>
    <t>전병준</t>
  </si>
  <si>
    <t>28510204362301</t>
  </si>
  <si>
    <t>chdl0917@naver.com</t>
  </si>
  <si>
    <t>PS0033</t>
  </si>
  <si>
    <t>891216-2124328</t>
  </si>
  <si>
    <t>박가은</t>
  </si>
  <si>
    <t>91002211433</t>
  </si>
  <si>
    <t>gaeun891216@naver.com</t>
  </si>
  <si>
    <t>PS0034</t>
  </si>
  <si>
    <t>000830-3841315</t>
  </si>
  <si>
    <t>박경민</t>
  </si>
  <si>
    <t>35770104232409</t>
  </si>
  <si>
    <t>qkrrudals27@gmail.com</t>
  </si>
  <si>
    <t>PS0035</t>
  </si>
  <si>
    <t>991123-1187728</t>
  </si>
  <si>
    <t>피승환</t>
  </si>
  <si>
    <t>1002558200372</t>
  </si>
  <si>
    <t>fpdkv7678@naver.com</t>
  </si>
  <si>
    <t>PS0036</t>
  </si>
  <si>
    <t>981031-1696418</t>
  </si>
  <si>
    <t>박은표</t>
  </si>
  <si>
    <t>11080104278725</t>
  </si>
  <si>
    <t>qkrdmsvy1031@naver.com</t>
  </si>
  <si>
    <t>PS0037</t>
  </si>
  <si>
    <t>770605-1804737</t>
  </si>
  <si>
    <t>오세길</t>
  </si>
  <si>
    <t>3521070879213</t>
  </si>
  <si>
    <t>ohseagil@naver.com</t>
  </si>
  <si>
    <t>PS0038</t>
  </si>
  <si>
    <t>940909-2555418</t>
  </si>
  <si>
    <t>이보람</t>
  </si>
  <si>
    <t>110492291475</t>
  </si>
  <si>
    <t>wingwinglee_@naver.com</t>
  </si>
  <si>
    <t>PS0039</t>
  </si>
  <si>
    <t>970707-1902317</t>
  </si>
  <si>
    <t>홍승우</t>
  </si>
  <si>
    <t>1122134912802</t>
  </si>
  <si>
    <t>kigofkig@naver.com</t>
  </si>
  <si>
    <t>PS0040</t>
  </si>
  <si>
    <t>901130-1119611</t>
  </si>
  <si>
    <t>우수종</t>
  </si>
  <si>
    <t>12630104351755</t>
  </si>
  <si>
    <t>tubletenis@naver.com</t>
  </si>
  <si>
    <t>PS0041</t>
  </si>
  <si>
    <t>021019-4641817</t>
  </si>
  <si>
    <t>송다윤</t>
  </si>
  <si>
    <t>67180104399000</t>
  </si>
  <si>
    <t>gaon5215@naver.com</t>
  </si>
  <si>
    <t>PS0042</t>
  </si>
  <si>
    <t>861029-2915324</t>
  </si>
  <si>
    <t>문지현</t>
  </si>
  <si>
    <t>3520727644053</t>
  </si>
  <si>
    <t>mjh1765@gmail.com</t>
  </si>
  <si>
    <t>PS0043</t>
  </si>
  <si>
    <t>971207-1055814</t>
  </si>
  <si>
    <t>조시우</t>
  </si>
  <si>
    <t>94160200081715</t>
  </si>
  <si>
    <t>wjsek156@naver.com</t>
  </si>
  <si>
    <t>PS0044</t>
  </si>
  <si>
    <t>840830-2125211</t>
  </si>
  <si>
    <t>진수연</t>
  </si>
  <si>
    <t>11790204163773</t>
  </si>
  <si>
    <t>alstud30@naver.com</t>
  </si>
  <si>
    <t>951130-1685818</t>
  </si>
  <si>
    <t>20550204426388</t>
  </si>
  <si>
    <t>whitetohenny@gmail.com</t>
  </si>
  <si>
    <t>PS0046</t>
  </si>
  <si>
    <t>950918-1111211</t>
  </si>
  <si>
    <t>배기태</t>
  </si>
  <si>
    <t>20106519401015</t>
  </si>
  <si>
    <t>dkdsps@naver.com</t>
  </si>
  <si>
    <t>PS0047</t>
  </si>
  <si>
    <t>980210-2821113</t>
  </si>
  <si>
    <t>이선영</t>
  </si>
  <si>
    <t>3521392183773</t>
  </si>
  <si>
    <t>lsy3790@naver.com</t>
  </si>
  <si>
    <t>PS0048</t>
  </si>
  <si>
    <t>970423-2095621</t>
  </si>
  <si>
    <t>정찬솔</t>
  </si>
  <si>
    <t>92740101592370</t>
  </si>
  <si>
    <t>dirlalfkdlxh@naver.com</t>
  </si>
  <si>
    <t>PS0049</t>
  </si>
  <si>
    <t>990124-2409119</t>
  </si>
  <si>
    <t>한아현</t>
  </si>
  <si>
    <t>46000104372434</t>
  </si>
  <si>
    <t>dkdk3452@naver.com</t>
  </si>
  <si>
    <t>PS0050</t>
  </si>
  <si>
    <t>960429-1890510</t>
  </si>
  <si>
    <t>김대홍</t>
  </si>
  <si>
    <t>100022771441</t>
  </si>
  <si>
    <t>eoghd119@naver.com</t>
  </si>
  <si>
    <t>961012-2113414</t>
  </si>
  <si>
    <t>99629400756</t>
  </si>
  <si>
    <t>1ys1004@naver.com</t>
  </si>
  <si>
    <t>PS0052</t>
  </si>
  <si>
    <t>970520-2767928</t>
  </si>
  <si>
    <t>장아혜</t>
  </si>
  <si>
    <t>3333055461291</t>
  </si>
  <si>
    <t>jungk5020@naver.com</t>
  </si>
  <si>
    <t>PS0053</t>
  </si>
  <si>
    <t>020730-3095310</t>
  </si>
  <si>
    <t>장진오</t>
  </si>
  <si>
    <t>93930201053569</t>
  </si>
  <si>
    <t>wlsdhtnwjd@hanmail.net</t>
  </si>
  <si>
    <t>PS0054</t>
  </si>
  <si>
    <t>961023-2460716</t>
  </si>
  <si>
    <t>황홍비</t>
  </si>
  <si>
    <t>3020551280301</t>
  </si>
  <si>
    <t>tpwls13211@naver.com</t>
  </si>
  <si>
    <t>PS0055</t>
  </si>
  <si>
    <t>011217-3409919</t>
  </si>
  <si>
    <t>박재하</t>
  </si>
  <si>
    <t>94580200906342</t>
  </si>
  <si>
    <t>faster5425@naver.com</t>
  </si>
  <si>
    <t>PS0056</t>
  </si>
  <si>
    <t>000902-3199118</t>
  </si>
  <si>
    <t>김종훈</t>
  </si>
  <si>
    <t>94580200628259</t>
  </si>
  <si>
    <t>rnflqodqod00@naver.com</t>
  </si>
  <si>
    <t>PS0057</t>
  </si>
  <si>
    <t>980306-1408410</t>
  </si>
  <si>
    <t>윤성준</t>
  </si>
  <si>
    <t>68660201339004</t>
  </si>
  <si>
    <t>wsj3tp0789@naver.com</t>
  </si>
  <si>
    <t>PS0058</t>
  </si>
  <si>
    <t>960612-1124211</t>
  </si>
  <si>
    <t>강동규</t>
  </si>
  <si>
    <t>19606523401010</t>
  </si>
  <si>
    <t>rkdehdrb40@naver.com</t>
  </si>
  <si>
    <t>PS0059</t>
  </si>
  <si>
    <t>010420-3823431</t>
  </si>
  <si>
    <t>정현우</t>
  </si>
  <si>
    <t>93930200918917</t>
  </si>
  <si>
    <t>goware2014@gmail.com</t>
  </si>
  <si>
    <t>PS0060</t>
  </si>
  <si>
    <t>951102-1460014</t>
  </si>
  <si>
    <t>이상훈</t>
  </si>
  <si>
    <t>3333112628116</t>
  </si>
  <si>
    <t>tyn2703@naver.com</t>
  </si>
  <si>
    <t>861208-2547811</t>
  </si>
  <si>
    <t>74380101350914</t>
  </si>
  <si>
    <t>lhynnn77@naver.com</t>
  </si>
  <si>
    <t>961004-2901333</t>
  </si>
  <si>
    <t>10430204374348</t>
  </si>
  <si>
    <t>thek337@naver.com</t>
  </si>
  <si>
    <t>PS0063</t>
  </si>
  <si>
    <t>971007-1117614</t>
  </si>
  <si>
    <t>문동호</t>
  </si>
  <si>
    <t>93930200112070</t>
  </si>
  <si>
    <t>mdho100@naver.com</t>
  </si>
  <si>
    <t>PS0064</t>
  </si>
  <si>
    <t>830824-1536416</t>
  </si>
  <si>
    <t>김형철</t>
  </si>
  <si>
    <t>110314189795</t>
  </si>
  <si>
    <t>chouls93@gmail.com</t>
  </si>
  <si>
    <t>PS0065</t>
  </si>
  <si>
    <t>870608-2409215</t>
  </si>
  <si>
    <t>한수진</t>
  </si>
  <si>
    <t>25490100000392</t>
  </si>
  <si>
    <t>zibai6868@naver.com</t>
  </si>
  <si>
    <t>PS0066</t>
  </si>
  <si>
    <t>991117-1388414</t>
  </si>
  <si>
    <t>임근범</t>
  </si>
  <si>
    <t>3512014732713</t>
  </si>
  <si>
    <t>rmsqja891@naver.com</t>
  </si>
  <si>
    <t>PS0067</t>
  </si>
  <si>
    <t>751122-1012611</t>
  </si>
  <si>
    <t>남승연</t>
  </si>
  <si>
    <t>3522111724113</t>
  </si>
  <si>
    <t>nsy8184@naver.com</t>
  </si>
  <si>
    <t>PS0068</t>
  </si>
  <si>
    <t>001013-3102012</t>
  </si>
  <si>
    <t>93930200745256</t>
  </si>
  <si>
    <t>jinw12321@gmail.com</t>
  </si>
  <si>
    <t>960509-1114634</t>
  </si>
  <si>
    <t>11660204114008</t>
  </si>
  <si>
    <t>yoyngjen59@naver.com</t>
  </si>
  <si>
    <t>840325-2468410</t>
  </si>
  <si>
    <t>071</t>
  </si>
  <si>
    <t>우체국</t>
  </si>
  <si>
    <t>31304902341863</t>
  </si>
  <si>
    <t>hyojin7676@hanmail.net</t>
  </si>
  <si>
    <t>RM0001</t>
  </si>
  <si>
    <t>930719-1085118</t>
  </si>
  <si>
    <t>윤현식</t>
  </si>
  <si>
    <t>77200104195215</t>
  </si>
  <si>
    <t>heun7754@daum.net</t>
  </si>
  <si>
    <t>RM0002</t>
  </si>
  <si>
    <t>910304-1235021</t>
  </si>
  <si>
    <t>한무성</t>
  </si>
  <si>
    <t>51710101235999</t>
  </si>
  <si>
    <t>varito@naver.com</t>
  </si>
  <si>
    <t>RN0001</t>
  </si>
  <si>
    <t>900712-2124514</t>
  </si>
  <si>
    <t>백윤미</t>
  </si>
  <si>
    <t>94780101409199</t>
  </si>
  <si>
    <t>ziziziah@hanmail.net</t>
  </si>
  <si>
    <t>RN0003</t>
  </si>
  <si>
    <t>960723-2901715</t>
  </si>
  <si>
    <t>김현혜</t>
  </si>
  <si>
    <t>10430104443988</t>
  </si>
  <si>
    <t>doublehh6376@naver.com</t>
  </si>
  <si>
    <t>RN0004</t>
  </si>
  <si>
    <t>980719-2157215</t>
  </si>
  <si>
    <t>장희정</t>
  </si>
  <si>
    <t>10430104445049</t>
  </si>
  <si>
    <t>gmlwjd980719@naver.com</t>
  </si>
  <si>
    <t>RN0008</t>
  </si>
  <si>
    <t>960717-2124815</t>
  </si>
  <si>
    <t>정소이</t>
  </si>
  <si>
    <t>56050202102057</t>
  </si>
  <si>
    <t>zzzkzz@naver.com</t>
  </si>
  <si>
    <t>RN0036</t>
  </si>
  <si>
    <t>900831-1823016</t>
  </si>
  <si>
    <t>강병진</t>
  </si>
  <si>
    <t>3521704138103</t>
  </si>
  <si>
    <t>puyt114@naver.com</t>
  </si>
  <si>
    <t>RN0043</t>
  </si>
  <si>
    <t>980123-2698220</t>
  </si>
  <si>
    <t>김수빈</t>
  </si>
  <si>
    <t>41208597701012</t>
  </si>
  <si>
    <t>tsk04099@naver.com</t>
  </si>
  <si>
    <t>RN0045</t>
  </si>
  <si>
    <t>961213-2861520</t>
  </si>
  <si>
    <t>최지이</t>
  </si>
  <si>
    <t>10430104463195</t>
  </si>
  <si>
    <t>chlwldl37@naver.com</t>
  </si>
  <si>
    <t>RN0049</t>
  </si>
  <si>
    <t>940622-2117612</t>
  </si>
  <si>
    <t>정미숙</t>
  </si>
  <si>
    <t>96010201464929</t>
  </si>
  <si>
    <t>ekfr4353@naver.com</t>
  </si>
  <si>
    <t>RN0051</t>
  </si>
  <si>
    <t>890704-1102115</t>
  </si>
  <si>
    <t>이성철</t>
  </si>
  <si>
    <t>95750101501935</t>
  </si>
  <si>
    <t>gocan131@naver.com</t>
  </si>
  <si>
    <t>RN0061</t>
  </si>
  <si>
    <t>960312-2108914</t>
  </si>
  <si>
    <t>윤유진</t>
  </si>
  <si>
    <t>94520101381866</t>
  </si>
  <si>
    <t>yunjin3598@naver.com</t>
  </si>
  <si>
    <t>RN0062</t>
  </si>
  <si>
    <t>950622-2920515</t>
  </si>
  <si>
    <t>백은지</t>
  </si>
  <si>
    <t>10430104469311</t>
  </si>
  <si>
    <t>bej4146@naver.com</t>
  </si>
  <si>
    <t>RN0063</t>
  </si>
  <si>
    <t>930714-1842515</t>
  </si>
  <si>
    <t>장현빈</t>
  </si>
  <si>
    <t>55370201554787</t>
  </si>
  <si>
    <t>qweasd9876555@gmail.com</t>
  </si>
  <si>
    <t>RN0064</t>
  </si>
  <si>
    <t>940124-1127720</t>
  </si>
  <si>
    <t>조해준</t>
  </si>
  <si>
    <t>84370201433138</t>
  </si>
  <si>
    <t>pdu01072@naver.com</t>
  </si>
  <si>
    <t>RN0065</t>
  </si>
  <si>
    <t>961102-1103318</t>
  </si>
  <si>
    <t>강도연</t>
  </si>
  <si>
    <t>31220204085971</t>
  </si>
  <si>
    <t>vndqoreh11@gmail.com</t>
  </si>
  <si>
    <t>RN0066</t>
  </si>
  <si>
    <t>930123-1861416</t>
  </si>
  <si>
    <t>허동호</t>
  </si>
  <si>
    <t>67180204212023</t>
  </si>
  <si>
    <t>Govl15461@gmail.com</t>
  </si>
  <si>
    <t>RN0067</t>
  </si>
  <si>
    <t>960102-2901816</t>
  </si>
  <si>
    <t>김민서</t>
  </si>
  <si>
    <t>1122081445408</t>
  </si>
  <si>
    <t>kminseo6952@naver.com</t>
  </si>
  <si>
    <t>RN0068</t>
  </si>
  <si>
    <t>950618-1199016</t>
  </si>
  <si>
    <t>정영천</t>
  </si>
  <si>
    <t>57150201276047</t>
  </si>
  <si>
    <t>skskgkek1@naver.com</t>
  </si>
  <si>
    <t>RN0069</t>
  </si>
  <si>
    <t>950601-1070717</t>
  </si>
  <si>
    <t>송근하</t>
  </si>
  <si>
    <t>110413760551</t>
  </si>
  <si>
    <t>ss950601@naver.com</t>
  </si>
  <si>
    <t>RN0070</t>
  </si>
  <si>
    <t>920810-1253716</t>
  </si>
  <si>
    <t>박민환</t>
  </si>
  <si>
    <t>47810204350494</t>
  </si>
  <si>
    <t>pmh_@naver.com</t>
  </si>
  <si>
    <t>RN0071</t>
  </si>
  <si>
    <t>000328-4125817</t>
  </si>
  <si>
    <t>이지민</t>
  </si>
  <si>
    <t>10430204326615</t>
  </si>
  <si>
    <t>joo_2000@naver.com</t>
  </si>
  <si>
    <t>RN0072</t>
  </si>
  <si>
    <t>990121-1400911</t>
  </si>
  <si>
    <t>이호진</t>
  </si>
  <si>
    <t>93930200556849</t>
  </si>
  <si>
    <t>ghvlf97@naver.com</t>
  </si>
  <si>
    <t>RN0073</t>
  </si>
  <si>
    <t>950627-1209111</t>
  </si>
  <si>
    <t>김현호</t>
  </si>
  <si>
    <t>31350204136058</t>
  </si>
  <si>
    <t>victzy95@naver.com</t>
  </si>
  <si>
    <t>RN0074</t>
  </si>
  <si>
    <t>940809-1860422</t>
  </si>
  <si>
    <t>강태인</t>
  </si>
  <si>
    <t>47380204106191</t>
  </si>
  <si>
    <t>gee5ism@naver.com</t>
  </si>
  <si>
    <t>RN0075</t>
  </si>
  <si>
    <t>990704-1102017</t>
  </si>
  <si>
    <t>강수겸</t>
  </si>
  <si>
    <t>13730104293598</t>
  </si>
  <si>
    <t>a110201769@gmail.com</t>
  </si>
  <si>
    <t>RN0076</t>
  </si>
  <si>
    <t>910717-2199610</t>
  </si>
  <si>
    <t>임슬기</t>
  </si>
  <si>
    <t>63120204120168</t>
  </si>
  <si>
    <t>dbsgkrhkdvos@naver.com</t>
  </si>
  <si>
    <t>RN0077</t>
  </si>
  <si>
    <t>000904-3163325</t>
  </si>
  <si>
    <t>정태성</t>
  </si>
  <si>
    <t>94900200173649</t>
  </si>
  <si>
    <t>zero7794@naver.com</t>
  </si>
  <si>
    <t>RN0078</t>
  </si>
  <si>
    <t>960822-2012621</t>
  </si>
  <si>
    <t>윤은경</t>
  </si>
  <si>
    <t>66950104299882</t>
  </si>
  <si>
    <t>dbsdmsrud13@naver.com</t>
  </si>
  <si>
    <t>RN0079</t>
  </si>
  <si>
    <t>980814-1478817</t>
  </si>
  <si>
    <t>가은성</t>
  </si>
  <si>
    <t>93770200258879</t>
  </si>
  <si>
    <t>9030073@naver.com</t>
  </si>
  <si>
    <t>RN0080</t>
  </si>
  <si>
    <t>990802-2114117</t>
  </si>
  <si>
    <t>구지현</t>
  </si>
  <si>
    <t>83360200067232</t>
  </si>
  <si>
    <t>gjh1922@naver.com</t>
  </si>
  <si>
    <t>RN0081</t>
  </si>
  <si>
    <t>940301-1740621</t>
  </si>
  <si>
    <t>김종걸</t>
  </si>
  <si>
    <t>56500201476204</t>
  </si>
  <si>
    <t>jonggeolk2@naver.com</t>
  </si>
  <si>
    <t>RN0082</t>
  </si>
  <si>
    <t>971226-2124919</t>
  </si>
  <si>
    <t>임수림</t>
  </si>
  <si>
    <t>10690104026785</t>
  </si>
  <si>
    <t>mayby_1225@naver.com</t>
  </si>
  <si>
    <t>SA0001</t>
  </si>
  <si>
    <t>860128-1698014</t>
  </si>
  <si>
    <t>황윤제</t>
  </si>
  <si>
    <t>90050051269</t>
  </si>
  <si>
    <t>iamhwangjae@nate.com</t>
  </si>
  <si>
    <t>SA0004</t>
  </si>
  <si>
    <t>980717-2169712</t>
  </si>
  <si>
    <t>이주희</t>
  </si>
  <si>
    <t>73060104075065</t>
  </si>
  <si>
    <t>lee5753747@gmail.com</t>
  </si>
  <si>
    <t>SA0005</t>
  </si>
  <si>
    <t>940730-1066518</t>
  </si>
  <si>
    <t>조기종</t>
  </si>
  <si>
    <t>06200204234687</t>
  </si>
  <si>
    <t>whrlwhd13579@naver.com</t>
  </si>
  <si>
    <t>SA0006</t>
  </si>
  <si>
    <t>930126-2213412</t>
  </si>
  <si>
    <t>이아랑</t>
  </si>
  <si>
    <t>45830201270364</t>
  </si>
  <si>
    <t>gina9301@nate.com</t>
  </si>
  <si>
    <t>SA0007</t>
  </si>
  <si>
    <t>920109-1144511</t>
  </si>
  <si>
    <t>신종빈</t>
  </si>
  <si>
    <t>98720200005122</t>
  </si>
  <si>
    <t>ecc0109@naver.com</t>
  </si>
  <si>
    <t>SA0009</t>
  </si>
  <si>
    <t>921123-1002312</t>
  </si>
  <si>
    <t>백우빈</t>
  </si>
  <si>
    <t>60570201455006</t>
  </si>
  <si>
    <t>jinahlovely@gmail.com</t>
  </si>
  <si>
    <t>SA0010</t>
  </si>
  <si>
    <t>990118-2842118</t>
  </si>
  <si>
    <t>이수아</t>
  </si>
  <si>
    <t>69760201260636</t>
  </si>
  <si>
    <t>suaxhrl9960@naver.com</t>
  </si>
  <si>
    <t>SA0011</t>
  </si>
  <si>
    <t>820827-1637216</t>
  </si>
  <si>
    <t>신광호</t>
  </si>
  <si>
    <t>3020825547521</t>
  </si>
  <si>
    <t>sluger82@naver.com</t>
  </si>
  <si>
    <t>SA0012</t>
  </si>
  <si>
    <t>971211-1779410</t>
  </si>
  <si>
    <t>전호진</t>
  </si>
  <si>
    <t>94030200186956</t>
  </si>
  <si>
    <t>koren3249@naver.com</t>
  </si>
  <si>
    <t>SA0014</t>
  </si>
  <si>
    <t>941020-1034715</t>
  </si>
  <si>
    <t>강대한</t>
  </si>
  <si>
    <t>49780101553638</t>
  </si>
  <si>
    <t>aaa1020aa@naver.com</t>
  </si>
  <si>
    <t>SA0016</t>
  </si>
  <si>
    <t>870209-1168023</t>
  </si>
  <si>
    <t>도은우</t>
  </si>
  <si>
    <t>03900104325007</t>
  </si>
  <si>
    <t>newdo29@naver.com</t>
  </si>
  <si>
    <t>SA0018</t>
  </si>
  <si>
    <t>970522-1222513</t>
  </si>
  <si>
    <t>심수영</t>
  </si>
  <si>
    <t>35260201191503</t>
  </si>
  <si>
    <t>tk922sim@naver.com</t>
  </si>
  <si>
    <t>SA0021</t>
  </si>
  <si>
    <t>950509-1010818</t>
  </si>
  <si>
    <t>김기원</t>
  </si>
  <si>
    <t>09890104100616</t>
  </si>
  <si>
    <t>eovy982@hanmail.net</t>
  </si>
  <si>
    <t>750423-1531111</t>
  </si>
  <si>
    <t>25340104343850</t>
  </si>
  <si>
    <t>oasis0423@naver.com</t>
  </si>
  <si>
    <t>930217-1798623</t>
  </si>
  <si>
    <t>63100204489757</t>
  </si>
  <si>
    <t>dldnjswns894@naver.com</t>
  </si>
  <si>
    <t>900322-1041517</t>
  </si>
  <si>
    <t>64800104191662</t>
  </si>
  <si>
    <t>csi0322@naver.com</t>
  </si>
  <si>
    <t>SM0004</t>
  </si>
  <si>
    <t>940412-1154823</t>
  </si>
  <si>
    <t>김민석</t>
  </si>
  <si>
    <t>110470397592</t>
  </si>
  <si>
    <t>skem1810@naver.com</t>
  </si>
  <si>
    <t>SM0005</t>
  </si>
  <si>
    <t>950327-2262319</t>
  </si>
  <si>
    <t>최인화</t>
  </si>
  <si>
    <t>3333038156314</t>
  </si>
  <si>
    <t>dls4045ghk@naver.com</t>
  </si>
  <si>
    <t>SM0006</t>
  </si>
  <si>
    <t>861106-1095828</t>
  </si>
  <si>
    <t>노태영</t>
  </si>
  <si>
    <t>95775555149</t>
  </si>
  <si>
    <t>mkora@naver.com</t>
  </si>
  <si>
    <t>SM0007</t>
  </si>
  <si>
    <t>971225-2247616</t>
  </si>
  <si>
    <t>송승애</t>
  </si>
  <si>
    <t>23812086243</t>
  </si>
  <si>
    <t>l4020350@naver.com</t>
  </si>
  <si>
    <t>SM0008</t>
  </si>
  <si>
    <t>960929-1628012</t>
  </si>
  <si>
    <t>엄준용</t>
  </si>
  <si>
    <t>93350200174425</t>
  </si>
  <si>
    <t>ejy1615@hanmail.net</t>
  </si>
  <si>
    <t>SM0009</t>
  </si>
  <si>
    <t>961024-1933511</t>
  </si>
  <si>
    <t>김지윤</t>
  </si>
  <si>
    <t>3333062616529</t>
  </si>
  <si>
    <t>juliq5370@naver.com</t>
  </si>
  <si>
    <t>SM0010</t>
  </si>
  <si>
    <t>980508-1069721</t>
  </si>
  <si>
    <t>임시현</t>
  </si>
  <si>
    <t>93800200408031</t>
  </si>
  <si>
    <t>rhawpwk@naver.com</t>
  </si>
  <si>
    <t>SM0011</t>
  </si>
  <si>
    <t>900824-1031610</t>
  </si>
  <si>
    <t>김재영</t>
  </si>
  <si>
    <t>40691064200007</t>
  </si>
  <si>
    <t>sininking@naver.com</t>
  </si>
  <si>
    <t>SM0012</t>
  </si>
  <si>
    <t>930801-2240715</t>
  </si>
  <si>
    <t>이승현</t>
  </si>
  <si>
    <t>16491055903707</t>
  </si>
  <si>
    <t>minhee931@naver.com</t>
  </si>
  <si>
    <t>SM0013</t>
  </si>
  <si>
    <t>950729-1042315</t>
  </si>
  <si>
    <t>황종천</t>
  </si>
  <si>
    <t>110328270171</t>
  </si>
  <si>
    <t>hjc0000@naver.com</t>
  </si>
  <si>
    <t>SM0014</t>
  </si>
  <si>
    <t>010422-4216211</t>
  </si>
  <si>
    <t>전민주</t>
  </si>
  <si>
    <t>3521755944823</t>
  </si>
  <si>
    <t>alswn518012@naver.com</t>
  </si>
  <si>
    <t>SM0015</t>
  </si>
  <si>
    <t>960310-2748611</t>
  </si>
  <si>
    <t>곽세린</t>
  </si>
  <si>
    <t>64590204296257</t>
  </si>
  <si>
    <t>kd03285@naver.com</t>
  </si>
  <si>
    <t>SM0016</t>
  </si>
  <si>
    <t>000914-4217018</t>
  </si>
  <si>
    <t>이채원</t>
  </si>
  <si>
    <t>1002364060520</t>
  </si>
  <si>
    <t>cha2onee@naver.com</t>
  </si>
  <si>
    <t>810713-1120515</t>
  </si>
  <si>
    <t>82130100026565</t>
  </si>
  <si>
    <t>hongsgwow@naver.com</t>
  </si>
  <si>
    <t>SM0018</t>
  </si>
  <si>
    <t>000730-3063428</t>
  </si>
  <si>
    <t>곽일봉</t>
  </si>
  <si>
    <t>110511860174</t>
  </si>
  <si>
    <t>yiffeng@gmail.com</t>
  </si>
  <si>
    <t>SM0019</t>
  </si>
  <si>
    <t>970327-1213712</t>
  </si>
  <si>
    <t>김주윤</t>
  </si>
  <si>
    <t>94580200370686</t>
  </si>
  <si>
    <t>dhltlrksdjqruddud17@naver.com</t>
  </si>
  <si>
    <t>SM0020</t>
  </si>
  <si>
    <t>870101-1162415</t>
  </si>
  <si>
    <t>심민후</t>
  </si>
  <si>
    <t>3021250616971</t>
  </si>
  <si>
    <t>smh8797@naver.com</t>
  </si>
  <si>
    <t>SM0021</t>
  </si>
  <si>
    <t>940311-1777920</t>
  </si>
  <si>
    <t>권준일</t>
  </si>
  <si>
    <t>110458317807</t>
  </si>
  <si>
    <t>kji2531@hanmail.net</t>
  </si>
  <si>
    <t>SM0022</t>
  </si>
  <si>
    <t>960409-2043211</t>
  </si>
  <si>
    <t>장수빈</t>
  </si>
  <si>
    <t>88260204152345</t>
  </si>
  <si>
    <t>xmakedothinkx@naver.com</t>
  </si>
  <si>
    <t>SM0023</t>
  </si>
  <si>
    <t>970304-1408714</t>
  </si>
  <si>
    <t>김재환</t>
  </si>
  <si>
    <t>08950204218039</t>
  </si>
  <si>
    <t>qktlsh@naver.com</t>
  </si>
  <si>
    <t>SM0024</t>
  </si>
  <si>
    <t>930327-1156027</t>
  </si>
  <si>
    <t>오상인</t>
  </si>
  <si>
    <t>67520200019031</t>
  </si>
  <si>
    <t>rainsfox@gmail.com</t>
  </si>
  <si>
    <t>SM0025</t>
  </si>
  <si>
    <t>900110-2232819</t>
  </si>
  <si>
    <t>한문희</t>
  </si>
  <si>
    <t>44530204057122</t>
  </si>
  <si>
    <t>moongys83@naver.com</t>
  </si>
  <si>
    <t>SM0026</t>
  </si>
  <si>
    <t>971204-1837015</t>
  </si>
  <si>
    <t>김수경</t>
  </si>
  <si>
    <t>3333087854825</t>
  </si>
  <si>
    <t>rtr2017@naver.com</t>
  </si>
  <si>
    <t>SM0027</t>
  </si>
  <si>
    <t>990807-1198117</t>
  </si>
  <si>
    <t>박동현</t>
  </si>
  <si>
    <t>94320200483539</t>
  </si>
  <si>
    <t>donghyun301@gmail.com</t>
  </si>
  <si>
    <t>SM0028</t>
  </si>
  <si>
    <t>960914-2246914</t>
  </si>
  <si>
    <t>표민정</t>
  </si>
  <si>
    <t>01960204142683</t>
  </si>
  <si>
    <t>7740pmj@naver.com</t>
  </si>
  <si>
    <t>990120-1030038</t>
  </si>
  <si>
    <t>03290104362797</t>
  </si>
  <si>
    <t>fdsjk135@naver.com</t>
  </si>
  <si>
    <t>980602-1055018</t>
  </si>
  <si>
    <t>76520204287342</t>
  </si>
  <si>
    <t>jewhon77@naver.com</t>
  </si>
  <si>
    <t>900317-1246916</t>
  </si>
  <si>
    <t>3522085074873</t>
  </si>
  <si>
    <t>par9317@naver.com</t>
  </si>
  <si>
    <t>990923-1053116</t>
  </si>
  <si>
    <t>93800200501961</t>
  </si>
  <si>
    <t>dltpdud9923@naver.com</t>
  </si>
  <si>
    <t>011111-3157613</t>
  </si>
  <si>
    <t>93770201156787</t>
  </si>
  <si>
    <t>sunwoo4535@naver.com</t>
  </si>
  <si>
    <t>TM0001</t>
  </si>
  <si>
    <t>790816-2233217</t>
  </si>
  <si>
    <t>김민경</t>
  </si>
  <si>
    <t>42750204009273</t>
  </si>
  <si>
    <t>dororock@naver.com</t>
  </si>
  <si>
    <t>TM0002</t>
  </si>
  <si>
    <t>880112-2932733</t>
  </si>
  <si>
    <t>고은혜</t>
  </si>
  <si>
    <t>heygrasia@hanmail.net</t>
  </si>
  <si>
    <t>TM0003</t>
  </si>
  <si>
    <t>940515-2748413</t>
  </si>
  <si>
    <t>백지원</t>
  </si>
  <si>
    <t>508127765282</t>
  </si>
  <si>
    <t>jadoo_wony@naver.com</t>
  </si>
  <si>
    <t>TM0004</t>
  </si>
  <si>
    <t>971104-2841711</t>
  </si>
  <si>
    <t>김유림</t>
  </si>
  <si>
    <t>3025846567911</t>
  </si>
  <si>
    <t>yr1104@naver.com</t>
  </si>
  <si>
    <t>TM0005</t>
  </si>
  <si>
    <t>960917-1698211</t>
  </si>
  <si>
    <t>남경완</t>
  </si>
  <si>
    <t>ruddhks203@naver.com</t>
  </si>
  <si>
    <t>TM0006</t>
  </si>
  <si>
    <t>010906-4055215</t>
  </si>
  <si>
    <t>신지혜</t>
  </si>
  <si>
    <t>48404515902013</t>
  </si>
  <si>
    <t>sjih0906@naver.com</t>
  </si>
  <si>
    <t>TM0007</t>
  </si>
  <si>
    <t>930915-1057413</t>
  </si>
  <si>
    <t>김태용</t>
  </si>
  <si>
    <t>83760104281149</t>
  </si>
  <si>
    <t>whs9916@naver.com</t>
  </si>
  <si>
    <t>TM0008</t>
  </si>
  <si>
    <t>930912-2482111</t>
  </si>
  <si>
    <t>조민영</t>
  </si>
  <si>
    <t>1002450141086</t>
  </si>
  <si>
    <t>whqlsdud1347@naver.com</t>
  </si>
  <si>
    <t>TM0009</t>
  </si>
  <si>
    <t>930616-1156233</t>
  </si>
  <si>
    <t>홍기현</t>
  </si>
  <si>
    <t>110366226256</t>
  </si>
  <si>
    <t>asdfzxcv901@naver.com</t>
  </si>
  <si>
    <t>TM0010</t>
  </si>
  <si>
    <t>000217-4560315</t>
  </si>
  <si>
    <t>허신영</t>
  </si>
  <si>
    <t>3333081347417</t>
  </si>
  <si>
    <t>milly1@naver.com</t>
  </si>
  <si>
    <t>TM0011</t>
  </si>
  <si>
    <t>931020-2200245</t>
  </si>
  <si>
    <t>이성익</t>
  </si>
  <si>
    <t>3333147102678</t>
  </si>
  <si>
    <t>forblem_0423@naver.com</t>
  </si>
  <si>
    <t>TM0012</t>
  </si>
  <si>
    <t>950621-2121717</t>
  </si>
  <si>
    <t>최은혜</t>
  </si>
  <si>
    <t>3521429504753</t>
  </si>
  <si>
    <t>dsaew45@naver.com</t>
  </si>
  <si>
    <t>TM0013</t>
  </si>
  <si>
    <t>951123-1854218</t>
  </si>
  <si>
    <t>이승한</t>
  </si>
  <si>
    <t>96300209601014</t>
  </si>
  <si>
    <t>sh5743841@naver.com</t>
  </si>
  <si>
    <t>TM0014</t>
  </si>
  <si>
    <t>951102-1797816</t>
  </si>
  <si>
    <t>유수호</t>
  </si>
  <si>
    <t>60800204297835</t>
  </si>
  <si>
    <t>y951102@nate.com</t>
  </si>
  <si>
    <t>TM0015</t>
  </si>
  <si>
    <t>870526-1122224</t>
  </si>
  <si>
    <t>이상선</t>
  </si>
  <si>
    <t>110418280200</t>
  </si>
  <si>
    <t>ssieep@naver.com</t>
  </si>
  <si>
    <t>TM0016</t>
  </si>
  <si>
    <t>941120-1686119</t>
  </si>
  <si>
    <t>임대규</t>
  </si>
  <si>
    <t>59970104359751</t>
  </si>
  <si>
    <t>kyu941120@gmail.com</t>
  </si>
  <si>
    <t>TM0017</t>
  </si>
  <si>
    <t>990803-2676210</t>
  </si>
  <si>
    <t>최유진</t>
  </si>
  <si>
    <t>81070101314164</t>
  </si>
  <si>
    <t>pipoasdfgh12@naver.com</t>
  </si>
  <si>
    <t>TM0018</t>
  </si>
  <si>
    <t>930318-1904116</t>
  </si>
  <si>
    <t>이창호</t>
  </si>
  <si>
    <t>3520404512203</t>
  </si>
  <si>
    <t>dlckdgh2004@naver.com</t>
  </si>
  <si>
    <t>TM0019</t>
  </si>
  <si>
    <t>970320-1114211</t>
  </si>
  <si>
    <t>차경혁</t>
  </si>
  <si>
    <t>3333118002619</t>
  </si>
  <si>
    <t>ryan97320@naver.com</t>
  </si>
  <si>
    <t>TM0020</t>
  </si>
  <si>
    <t>980524-1173717</t>
  </si>
  <si>
    <t>윤용빈</t>
  </si>
  <si>
    <t>01090204189124</t>
  </si>
  <si>
    <t>dyddyd920@naver.com</t>
  </si>
  <si>
    <t>TM0021</t>
  </si>
  <si>
    <t>981014-2251213</t>
  </si>
  <si>
    <t>김규림</t>
  </si>
  <si>
    <t>3520697064553</t>
  </si>
  <si>
    <t>qazcb87@naver.com</t>
  </si>
  <si>
    <t>TM0022</t>
  </si>
  <si>
    <t>940730-1065526</t>
  </si>
  <si>
    <t>우영민</t>
  </si>
  <si>
    <t>26880204141075</t>
  </si>
  <si>
    <t>yooyunin@naver.com</t>
  </si>
  <si>
    <t>TM0023</t>
  </si>
  <si>
    <t>960429-1822710</t>
  </si>
  <si>
    <t>이광선</t>
  </si>
  <si>
    <t>1122118584500</t>
  </si>
  <si>
    <t>kik2736@naver.com</t>
  </si>
  <si>
    <t>TM0024</t>
  </si>
  <si>
    <t>000522-4820417</t>
  </si>
  <si>
    <t>박수빈</t>
  </si>
  <si>
    <t>3028831152221</t>
  </si>
  <si>
    <t>soobin04199@gmail.com</t>
  </si>
  <si>
    <t>TM0025</t>
  </si>
  <si>
    <t>800815-2664012</t>
  </si>
  <si>
    <t>김순란</t>
  </si>
  <si>
    <t>110229139046</t>
  </si>
  <si>
    <t>namygicha@naver.com</t>
  </si>
  <si>
    <t>TM0026</t>
  </si>
  <si>
    <t>970417-2063511</t>
  </si>
  <si>
    <t>김다솜</t>
  </si>
  <si>
    <t>63870201508010</t>
  </si>
  <si>
    <t>dyaduom@naver.com</t>
  </si>
  <si>
    <t>TM0027</t>
  </si>
  <si>
    <t>900712-1743212</t>
  </si>
  <si>
    <t>조영태</t>
  </si>
  <si>
    <t>63810104277949</t>
  </si>
  <si>
    <t>djin6414@naver.com</t>
  </si>
  <si>
    <t>TM0028</t>
  </si>
  <si>
    <t>911228-1119918</t>
  </si>
  <si>
    <t>장다빈</t>
  </si>
  <si>
    <t>1002048355194</t>
  </si>
  <si>
    <t>TM0029</t>
  </si>
  <si>
    <t>970523-2180310</t>
  </si>
  <si>
    <t>김민정</t>
  </si>
  <si>
    <t>0332100049821</t>
  </si>
  <si>
    <t>kimmjooo@naver.com</t>
  </si>
  <si>
    <t>TM0030</t>
  </si>
  <si>
    <t>910103-2085437</t>
  </si>
  <si>
    <t>이수연</t>
  </si>
  <si>
    <t>61670101682443</t>
  </si>
  <si>
    <t>su-you-i@hanmail.net</t>
  </si>
  <si>
    <t>TM0031</t>
  </si>
  <si>
    <t>000703-4253717</t>
  </si>
  <si>
    <t>유선우</t>
  </si>
  <si>
    <t>82370104326595</t>
  </si>
  <si>
    <t>mirnir1210@naver.com</t>
  </si>
  <si>
    <t>TM0032</t>
  </si>
  <si>
    <t>980326-1158115</t>
  </si>
  <si>
    <t>이호윤</t>
  </si>
  <si>
    <t>97502067701012</t>
  </si>
  <si>
    <t>kah5039@naver.com</t>
  </si>
  <si>
    <t>TM0033</t>
  </si>
  <si>
    <t>951024-1853620</t>
  </si>
  <si>
    <t>강동균</t>
  </si>
  <si>
    <t>3561368668183</t>
  </si>
  <si>
    <t>zc951335@gmail.com</t>
  </si>
  <si>
    <t>TM0034</t>
  </si>
  <si>
    <t>850320-1042013</t>
  </si>
  <si>
    <t>김학래</t>
  </si>
  <si>
    <t>55112613697</t>
  </si>
  <si>
    <t>hakrae3@gmail.com</t>
  </si>
  <si>
    <t>TM0035</t>
  </si>
  <si>
    <t>040315-4412517</t>
  </si>
  <si>
    <t>김정연</t>
  </si>
  <si>
    <t>3561434716013</t>
  </si>
  <si>
    <t>rladay0401@naver.com</t>
  </si>
  <si>
    <t>TM0036</t>
  </si>
  <si>
    <t>020427-3913214</t>
  </si>
  <si>
    <t>강태훈</t>
  </si>
  <si>
    <t>98004346401018</t>
  </si>
  <si>
    <t>tangg4427@naver.com</t>
  </si>
  <si>
    <t>TM0037</t>
  </si>
  <si>
    <t>990505-1865820</t>
  </si>
  <si>
    <t>오유진</t>
  </si>
  <si>
    <t>3333175305478</t>
  </si>
  <si>
    <t>oyujin1@nate.com</t>
  </si>
  <si>
    <t>TM0038</t>
  </si>
  <si>
    <t>930622-1735113</t>
  </si>
  <si>
    <t>한시환</t>
  </si>
  <si>
    <t>110375537430</t>
  </si>
  <si>
    <t>alrm29@naver.com</t>
  </si>
  <si>
    <t>TM0039</t>
  </si>
  <si>
    <t>960422-1158522</t>
  </si>
  <si>
    <t>김민규</t>
  </si>
  <si>
    <t>47540104200575</t>
  </si>
  <si>
    <t>dbvps4033@naver.com</t>
  </si>
  <si>
    <t>TP0001</t>
  </si>
  <si>
    <t>810407-1051113</t>
  </si>
  <si>
    <t>권형우</t>
  </si>
  <si>
    <t>60020201212109</t>
  </si>
  <si>
    <t>yellowzoom81@naver.com</t>
  </si>
  <si>
    <t>TP0003</t>
  </si>
  <si>
    <t>910903-2148710</t>
  </si>
  <si>
    <t>장윤정</t>
  </si>
  <si>
    <t>65490201199647</t>
  </si>
  <si>
    <t>aaaaa6533@naver.com</t>
  </si>
  <si>
    <t>TP0006</t>
  </si>
  <si>
    <t>910616-2012719</t>
  </si>
  <si>
    <t>신유나</t>
  </si>
  <si>
    <t>78610200003639</t>
  </si>
  <si>
    <t>dbsk6567@naver.com</t>
  </si>
  <si>
    <t>TP0007</t>
  </si>
  <si>
    <t>960617-2200517</t>
  </si>
  <si>
    <t>김지현</t>
  </si>
  <si>
    <t>27980104350283</t>
  </si>
  <si>
    <t>xmflvltnl012@naver.com</t>
  </si>
  <si>
    <t>TP0008</t>
  </si>
  <si>
    <t>960401-2590412</t>
  </si>
  <si>
    <t>김지선</t>
  </si>
  <si>
    <t>27980104349519</t>
  </si>
  <si>
    <t>ggb03154@daum.net</t>
  </si>
  <si>
    <t>TP0009</t>
  </si>
  <si>
    <t>980812-2151115</t>
  </si>
  <si>
    <t>박채영</t>
  </si>
  <si>
    <t>64800204065012</t>
  </si>
  <si>
    <t>Codud812@naver.com</t>
  </si>
  <si>
    <t>TP0010</t>
  </si>
  <si>
    <t>911031-1196215</t>
  </si>
  <si>
    <t>박영민</t>
  </si>
  <si>
    <t>29540101222284</t>
  </si>
  <si>
    <t>1031000@naver.com</t>
  </si>
  <si>
    <t>TP0011</t>
  </si>
  <si>
    <t>960403-1303411</t>
  </si>
  <si>
    <t>박찬호</t>
  </si>
  <si>
    <t>29540201207253</t>
  </si>
  <si>
    <t>chun40033@naver.com</t>
  </si>
  <si>
    <t>TP0012</t>
  </si>
  <si>
    <t>851220-1081116</t>
  </si>
  <si>
    <t>박승준</t>
  </si>
  <si>
    <t>82400104136155</t>
  </si>
  <si>
    <t>seungjunparkjj@hanmail.net</t>
  </si>
  <si>
    <t>TP0013</t>
  </si>
  <si>
    <t>940201-1020418</t>
  </si>
  <si>
    <t>최윤후</t>
  </si>
  <si>
    <t>52870204076538</t>
  </si>
  <si>
    <t>choiyoonhoo@naver.com</t>
  </si>
  <si>
    <t>TP0014</t>
  </si>
  <si>
    <t>950508-1105312</t>
  </si>
  <si>
    <t>94290200001475</t>
  </si>
  <si>
    <t>tmdgus8030@naver.com</t>
  </si>
  <si>
    <t>TP0015</t>
  </si>
  <si>
    <t>980827-2052210</t>
  </si>
  <si>
    <t>정하림</t>
  </si>
  <si>
    <t>66910201541758</t>
  </si>
  <si>
    <t>gkfla9898@naver.com</t>
  </si>
  <si>
    <t>TP0016</t>
  </si>
  <si>
    <t>941031-1249316</t>
  </si>
  <si>
    <t>유병규</t>
  </si>
  <si>
    <t>46680204131517</t>
  </si>
  <si>
    <t>dbrod1004@naver.com</t>
  </si>
  <si>
    <t>TP0017</t>
  </si>
  <si>
    <t>950524-2182516</t>
  </si>
  <si>
    <t>한지윤</t>
  </si>
  <si>
    <t>01053702365</t>
  </si>
  <si>
    <t>gy00n@naver.com</t>
  </si>
  <si>
    <t>TP0018</t>
  </si>
  <si>
    <t>951108-1173918</t>
  </si>
  <si>
    <t>송광식</t>
  </si>
  <si>
    <t>27270104296302</t>
  </si>
  <si>
    <t>gwang9382@naver.com</t>
  </si>
  <si>
    <t>TP0019</t>
  </si>
  <si>
    <t>000517-4829918</t>
  </si>
  <si>
    <t>심슬기</t>
  </si>
  <si>
    <t>79530204186260</t>
  </si>
  <si>
    <t>kunisawaamon@gmail.com</t>
  </si>
  <si>
    <t>TP0020</t>
  </si>
  <si>
    <t>000305-4057125</t>
  </si>
  <si>
    <t>송수빈</t>
  </si>
  <si>
    <t>75840104157051</t>
  </si>
  <si>
    <t>protect_light@naver.com</t>
  </si>
  <si>
    <t>TP0021</t>
  </si>
  <si>
    <t>951031-1155311</t>
  </si>
  <si>
    <t>16320204171580</t>
  </si>
  <si>
    <t>rlaehdrb7202@naver.com</t>
  </si>
  <si>
    <t>TP0022</t>
  </si>
  <si>
    <t>950206-2068716</t>
  </si>
  <si>
    <t>이희원</t>
  </si>
  <si>
    <t>09210104177902</t>
  </si>
  <si>
    <t>ma_ma_song@naver.com</t>
  </si>
  <si>
    <t>TP0023</t>
  </si>
  <si>
    <t>951126-2188714</t>
  </si>
  <si>
    <t>이예린</t>
  </si>
  <si>
    <t>44310201347314</t>
  </si>
  <si>
    <t>yhelin11@naver.com</t>
  </si>
  <si>
    <t>TP0024</t>
  </si>
  <si>
    <t>921009-1163318</t>
  </si>
  <si>
    <t>김원철</t>
  </si>
  <si>
    <t>74670101771673</t>
  </si>
  <si>
    <t>kimwc1009@naver.com</t>
  </si>
  <si>
    <t>TP0025</t>
  </si>
  <si>
    <t>810410-1543610</t>
  </si>
  <si>
    <t>이태관</t>
  </si>
  <si>
    <t>74380101158235</t>
  </si>
  <si>
    <t>neo181899@hanmail.net</t>
  </si>
  <si>
    <t>TP0026</t>
  </si>
  <si>
    <t>991104-2011423</t>
  </si>
  <si>
    <t>박수영</t>
  </si>
  <si>
    <t>01700204527778</t>
  </si>
  <si>
    <t>tndud3525@nate.com</t>
  </si>
  <si>
    <t>TP0027</t>
  </si>
  <si>
    <t>950207-1192320</t>
  </si>
  <si>
    <t>김유원</t>
  </si>
  <si>
    <t>65070201421674</t>
  </si>
  <si>
    <t>qkrlan@naver.com</t>
  </si>
  <si>
    <t>TP0029</t>
  </si>
  <si>
    <t>900207-1209510</t>
  </si>
  <si>
    <t>김진현</t>
  </si>
  <si>
    <t>23300204229564</t>
  </si>
  <si>
    <t>kjh77577@naver.com</t>
  </si>
  <si>
    <t>TP0030</t>
  </si>
  <si>
    <t>930927-1081715</t>
  </si>
  <si>
    <t>전병선</t>
  </si>
  <si>
    <t>91480201607831</t>
  </si>
  <si>
    <t>tjslxps930@gmail.com</t>
  </si>
  <si>
    <t>TP0031</t>
  </si>
  <si>
    <t>870416-1069510</t>
  </si>
  <si>
    <t>김성태</t>
  </si>
  <si>
    <t>41430101160448</t>
  </si>
  <si>
    <t>79sungtae0@gmail.com</t>
  </si>
  <si>
    <t>TP0032</t>
  </si>
  <si>
    <t>921022-1860856</t>
  </si>
  <si>
    <t>왕태현</t>
  </si>
  <si>
    <t>75990100087845</t>
  </si>
  <si>
    <t>hairtaehyun@naver.com</t>
  </si>
  <si>
    <t>TP0033</t>
  </si>
  <si>
    <t>951028-1253527</t>
  </si>
  <si>
    <t>박명연</t>
  </si>
  <si>
    <t>59800101355647</t>
  </si>
  <si>
    <t>myp6309@daum.net</t>
  </si>
  <si>
    <t>TP0034</t>
  </si>
  <si>
    <t>940505-1169515</t>
  </si>
  <si>
    <t>김우영</t>
  </si>
  <si>
    <t>62510101338733</t>
  </si>
  <si>
    <t>rladndudqkqh@naver.com</t>
  </si>
  <si>
    <t>TP0035</t>
  </si>
  <si>
    <t>950517-1703416</t>
  </si>
  <si>
    <t>82330201181192</t>
  </si>
  <si>
    <t>kgg0517@naver.com</t>
  </si>
  <si>
    <t>TP0036</t>
  </si>
  <si>
    <t>930525-1726610</t>
  </si>
  <si>
    <t>이홍석</t>
  </si>
  <si>
    <t>3560595701273</t>
  </si>
  <si>
    <t>cjsdn6466@naver.com</t>
  </si>
  <si>
    <t>TP0037</t>
  </si>
  <si>
    <t>921104-1896613</t>
  </si>
  <si>
    <t>김민기</t>
  </si>
  <si>
    <t>92011611458</t>
  </si>
  <si>
    <t>uilove216@gmail.com</t>
  </si>
  <si>
    <t>871002-1095617</t>
  </si>
  <si>
    <t>13020204158602</t>
  </si>
  <si>
    <t>hsg4687@naver.com</t>
  </si>
  <si>
    <t>UQ0002</t>
  </si>
  <si>
    <t>940402-1120916</t>
  </si>
  <si>
    <t>정재훈</t>
  </si>
  <si>
    <t>55530201308791</t>
  </si>
  <si>
    <t>w1o2g3@naver.com</t>
  </si>
  <si>
    <t>UQ0003</t>
  </si>
  <si>
    <t>940228-1120115</t>
  </si>
  <si>
    <t>유위성</t>
  </si>
  <si>
    <t>55530201319113</t>
  </si>
  <si>
    <t>tkcjstjd08@naver.com</t>
  </si>
  <si>
    <t>UQ0004</t>
  </si>
  <si>
    <t>111111-1111111</t>
  </si>
  <si>
    <t>이휘원</t>
  </si>
  <si>
    <t>11530204263309</t>
  </si>
  <si>
    <t>UQ0005</t>
  </si>
  <si>
    <t>000000-0000000</t>
  </si>
  <si>
    <t>이하영</t>
  </si>
  <si>
    <t>47380204138631</t>
  </si>
  <si>
    <t>UQ0006</t>
  </si>
  <si>
    <t>890708-1110711</t>
  </si>
  <si>
    <t>하진성</t>
  </si>
  <si>
    <t>94650101415034</t>
  </si>
  <si>
    <t>harara0110@naver.com</t>
  </si>
  <si>
    <t>UQ0007</t>
  </si>
  <si>
    <t>950808-2906612</t>
  </si>
  <si>
    <t>조보겸</t>
  </si>
  <si>
    <t>10430104443087</t>
  </si>
  <si>
    <t>mini38301@daum.net</t>
  </si>
  <si>
    <t>UQ0008</t>
  </si>
  <si>
    <t>951108-2865813</t>
  </si>
  <si>
    <t>정혜민</t>
  </si>
  <si>
    <t>10430104443074</t>
  </si>
  <si>
    <t>like9511@naver.com</t>
  </si>
  <si>
    <t>UQ0009</t>
  </si>
  <si>
    <t>900227-1117227</t>
  </si>
  <si>
    <t>김경모</t>
  </si>
  <si>
    <t>12630204160497</t>
  </si>
  <si>
    <t>cheerypop23@naver.com</t>
  </si>
  <si>
    <t>UQ0010</t>
  </si>
  <si>
    <t>941016-1122615</t>
  </si>
  <si>
    <t>김선근</t>
  </si>
  <si>
    <t>10300104263545</t>
  </si>
  <si>
    <t>ocm789@naver.com</t>
  </si>
  <si>
    <t>UQ0011</t>
  </si>
  <si>
    <t>921103-1823311</t>
  </si>
  <si>
    <t>박영수</t>
  </si>
  <si>
    <t>84240202071965</t>
  </si>
  <si>
    <t>tjgnl01@naver.com</t>
  </si>
  <si>
    <t>UQ0012</t>
  </si>
  <si>
    <t>990105-2817510</t>
  </si>
  <si>
    <t>권희주</t>
  </si>
  <si>
    <t>9002172882739</t>
  </si>
  <si>
    <t>gmlwn5062@nate.com</t>
  </si>
  <si>
    <t>UQ0013</t>
  </si>
  <si>
    <t>951108-2786313</t>
  </si>
  <si>
    <t>김혜정</t>
  </si>
  <si>
    <t>60640104452886</t>
  </si>
  <si>
    <t>lllawalll009@naver.com</t>
  </si>
  <si>
    <t>UQ0014</t>
  </si>
  <si>
    <t>950105-1122021</t>
  </si>
  <si>
    <t>오지석</t>
  </si>
  <si>
    <t>82420200034249</t>
  </si>
  <si>
    <t>odgc5292@naver.com</t>
  </si>
  <si>
    <t>UQ0015</t>
  </si>
  <si>
    <t>960229-2113611</t>
  </si>
  <si>
    <t>김경미</t>
  </si>
  <si>
    <t>55750104198066</t>
  </si>
  <si>
    <t>zsksk36@naver.com</t>
  </si>
  <si>
    <t>UQ0016</t>
  </si>
  <si>
    <t>910922-1906710</t>
  </si>
  <si>
    <t>박준섭</t>
  </si>
  <si>
    <t>10430104448024</t>
  </si>
  <si>
    <t>junseob9210@gmail.com</t>
  </si>
  <si>
    <t>UQ0017</t>
  </si>
  <si>
    <t>970305-1616918</t>
  </si>
  <si>
    <t>김명용</t>
  </si>
  <si>
    <t>94450200028942</t>
  </si>
  <si>
    <t>klmwook2@naver.com</t>
  </si>
  <si>
    <t>UQ0018</t>
  </si>
  <si>
    <t>921010-1114818</t>
  </si>
  <si>
    <t>박성곤</t>
  </si>
  <si>
    <t>10430104448558</t>
  </si>
  <si>
    <t>petpuma@naver.com</t>
  </si>
  <si>
    <t>UQ0019</t>
  </si>
  <si>
    <t>990112-2096127</t>
  </si>
  <si>
    <t>임유진</t>
  </si>
  <si>
    <t>1002559882428</t>
  </si>
  <si>
    <t>dladbwls8641@naver.com</t>
  </si>
  <si>
    <t>UQ0020</t>
  </si>
  <si>
    <t>951221-1106410</t>
  </si>
  <si>
    <t>송지율</t>
  </si>
  <si>
    <t>053120975301</t>
  </si>
  <si>
    <t>aooy1234567@naver.com</t>
  </si>
  <si>
    <t>UQ0021</t>
  </si>
  <si>
    <t>940517-1692317</t>
  </si>
  <si>
    <t>장진혁</t>
  </si>
  <si>
    <t>10430104452971</t>
  </si>
  <si>
    <t>h9405177@gmail.com</t>
  </si>
  <si>
    <t>UQ0022</t>
  </si>
  <si>
    <t>960411-1114816</t>
  </si>
  <si>
    <t>서성원</t>
  </si>
  <si>
    <t>20550204564640</t>
  </si>
  <si>
    <t>seongwon0411@naver.com</t>
  </si>
  <si>
    <t>UQ0023</t>
  </si>
  <si>
    <t>980209-2106418</t>
  </si>
  <si>
    <t>박하나</t>
  </si>
  <si>
    <t>93710101431768</t>
  </si>
  <si>
    <t>eo1tjd2@naver.com</t>
  </si>
  <si>
    <t>UQ0024</t>
  </si>
  <si>
    <t>910306-1904312</t>
  </si>
  <si>
    <t>박재성</t>
  </si>
  <si>
    <t>10430104453655</t>
  </si>
  <si>
    <t>pjs1993@nate.com</t>
  </si>
  <si>
    <t>UQ0025</t>
  </si>
  <si>
    <t>930721-1126615</t>
  </si>
  <si>
    <t>류주성</t>
  </si>
  <si>
    <t>96010101334191</t>
  </si>
  <si>
    <t>ckddnjs0989@naver.com</t>
  </si>
  <si>
    <t>UQ0026</t>
  </si>
  <si>
    <t>870420-1696516</t>
  </si>
  <si>
    <t>민태양</t>
  </si>
  <si>
    <t>3333135203421</t>
  </si>
  <si>
    <t>arotya@naver.com</t>
  </si>
  <si>
    <t>UQ0027</t>
  </si>
  <si>
    <t>910828-1788211</t>
  </si>
  <si>
    <t>구교현</t>
  </si>
  <si>
    <t>508129313068</t>
  </si>
  <si>
    <t>rygus9503@gmail.com</t>
  </si>
  <si>
    <t>UQ0028</t>
  </si>
  <si>
    <t>810708-1069013</t>
  </si>
  <si>
    <t>손영국</t>
  </si>
  <si>
    <t>1002559602658</t>
  </si>
  <si>
    <t>tongky23@naver.com</t>
  </si>
  <si>
    <t>UQ0029</t>
  </si>
  <si>
    <t>990202-2686019</t>
  </si>
  <si>
    <t>전예진</t>
  </si>
  <si>
    <t>3333102407671</t>
  </si>
  <si>
    <t>sns0606@daum.net</t>
  </si>
  <si>
    <t>UQ0030</t>
  </si>
  <si>
    <t>960323-2677217</t>
  </si>
  <si>
    <t>김혜령</t>
  </si>
  <si>
    <t>61870104247658</t>
  </si>
  <si>
    <t>hrhr0323@gmail.com</t>
  </si>
  <si>
    <t>UQ0031</t>
  </si>
  <si>
    <t>930218-1697927</t>
  </si>
  <si>
    <t>권용준</t>
  </si>
  <si>
    <t>110420143691</t>
  </si>
  <si>
    <t>sddfss1162@gmail.com</t>
  </si>
  <si>
    <t>UQ0032</t>
  </si>
  <si>
    <t>910223-1677618</t>
  </si>
  <si>
    <t>남은우</t>
  </si>
  <si>
    <t>3520384867863</t>
  </si>
  <si>
    <t>noinyou@hanmail.net</t>
  </si>
  <si>
    <t>UQ0033</t>
  </si>
  <si>
    <t>920216-2095818</t>
  </si>
  <si>
    <t>김경은</t>
  </si>
  <si>
    <t>10140104167986</t>
  </si>
  <si>
    <t>gimgyungeun@naver.com</t>
  </si>
  <si>
    <t>UQ0034</t>
  </si>
  <si>
    <t>000820-4685910</t>
  </si>
  <si>
    <t>김유라</t>
  </si>
  <si>
    <t>63490104303468</t>
  </si>
  <si>
    <t>417yu7@gmail.com</t>
  </si>
  <si>
    <t>UQ0035</t>
  </si>
  <si>
    <t>841122-1789710</t>
  </si>
  <si>
    <t>나민호</t>
  </si>
  <si>
    <t>3028585380441</t>
  </si>
  <si>
    <t>skypeace1030@naver.com</t>
  </si>
  <si>
    <t>UQ0036</t>
  </si>
  <si>
    <t>961002-1740111</t>
  </si>
  <si>
    <t>박훈</t>
  </si>
  <si>
    <t>20550204557268</t>
  </si>
  <si>
    <t>gnsdl1222@naver.com</t>
  </si>
  <si>
    <t>UQ0037</t>
  </si>
  <si>
    <t>951002-1105213</t>
  </si>
  <si>
    <t>조해원</t>
  </si>
  <si>
    <t>38705012001018</t>
  </si>
  <si>
    <t>soos9302@naver.com</t>
  </si>
  <si>
    <t>UQ0038</t>
  </si>
  <si>
    <t>920118-1903719</t>
  </si>
  <si>
    <t>김연수</t>
  </si>
  <si>
    <t>66110204224740</t>
  </si>
  <si>
    <t>yunsu6000@naver.com</t>
  </si>
  <si>
    <t>UQ0039</t>
  </si>
  <si>
    <t>950503-2698012</t>
  </si>
  <si>
    <t>채아신</t>
  </si>
  <si>
    <t>80390101518467</t>
  </si>
  <si>
    <t>qwdlyu0503@naver.com</t>
  </si>
  <si>
    <t>UQ0040</t>
  </si>
  <si>
    <t>000824-3926018</t>
  </si>
  <si>
    <t>오경민</t>
  </si>
  <si>
    <t>56500201464009</t>
  </si>
  <si>
    <t>kja1470@naver.com</t>
  </si>
  <si>
    <t>UQ0041</t>
  </si>
  <si>
    <t>940916-1095818</t>
  </si>
  <si>
    <t>이효진</t>
  </si>
  <si>
    <t>110398651165</t>
  </si>
  <si>
    <t>9409161@naver.com</t>
  </si>
  <si>
    <t>UQ0042</t>
  </si>
  <si>
    <t>961109-2905913</t>
  </si>
  <si>
    <t>강도원</t>
  </si>
  <si>
    <t>51006981801011</t>
  </si>
  <si>
    <t>end6168@naver.com</t>
  </si>
  <si>
    <t>UQ0044</t>
  </si>
  <si>
    <t>980916-1717211</t>
  </si>
  <si>
    <t>서우진</t>
  </si>
  <si>
    <t>3520781129753</t>
  </si>
  <si>
    <t>kbg05071@naver.com</t>
  </si>
  <si>
    <t>UQ0045</t>
  </si>
  <si>
    <t>870920-1674011</t>
  </si>
  <si>
    <t>김현성</t>
  </si>
  <si>
    <t>61290204153879</t>
  </si>
  <si>
    <t>kbg3953@naver.com</t>
  </si>
  <si>
    <t>UQ0046</t>
  </si>
  <si>
    <t>910514-2840913</t>
  </si>
  <si>
    <t>이아진</t>
  </si>
  <si>
    <t>96287310460</t>
  </si>
  <si>
    <t>ajl1012@naver.com</t>
  </si>
  <si>
    <t>UQ0047</t>
  </si>
  <si>
    <t>961226-2677411</t>
  </si>
  <si>
    <t>조영경</t>
  </si>
  <si>
    <t>80130101654633</t>
  </si>
  <si>
    <t>969248@naver.com</t>
  </si>
  <si>
    <t>UQ0048</t>
  </si>
  <si>
    <t>900317-1685610</t>
  </si>
  <si>
    <t>최인록</t>
  </si>
  <si>
    <t>61320104386222</t>
  </si>
  <si>
    <t>zykclg@naver.com</t>
  </si>
  <si>
    <t>UQ0049</t>
  </si>
  <si>
    <t>000412-4123213</t>
  </si>
  <si>
    <t>김효정</t>
  </si>
  <si>
    <t>61290204172612</t>
  </si>
  <si>
    <t>sigk412@naver.com</t>
  </si>
  <si>
    <t>UQ0050</t>
  </si>
  <si>
    <t>960422-1338611</t>
  </si>
  <si>
    <t>임형준</t>
  </si>
  <si>
    <t>3333087277412</t>
  </si>
  <si>
    <t>gudwns5551@naver.com</t>
  </si>
  <si>
    <t>UQ0051</t>
  </si>
  <si>
    <t>930513-1683218</t>
  </si>
  <si>
    <t>박효헌</t>
  </si>
  <si>
    <t>65270204410051</t>
  </si>
  <si>
    <t>hyoheon300@gmail.com</t>
  </si>
  <si>
    <t>UQ0052</t>
  </si>
  <si>
    <t>980303-1113415</t>
  </si>
  <si>
    <t>이창현</t>
  </si>
  <si>
    <t>10430104462271</t>
  </si>
  <si>
    <t>lch34085899@gmail.com</t>
  </si>
  <si>
    <t>UQ0053</t>
  </si>
  <si>
    <t>800418-1110319</t>
  </si>
  <si>
    <t>강동우</t>
  </si>
  <si>
    <t>461210701209</t>
  </si>
  <si>
    <t>evandise@hanmail.net</t>
  </si>
  <si>
    <t>UQ0054</t>
  </si>
  <si>
    <t>890620-1095422</t>
  </si>
  <si>
    <t>김건우</t>
  </si>
  <si>
    <t>56500101406754</t>
  </si>
  <si>
    <t>bumarketing@naver.com</t>
  </si>
  <si>
    <t>UQ0055</t>
  </si>
  <si>
    <t>900208-1127534</t>
  </si>
  <si>
    <t>김달후</t>
  </si>
  <si>
    <t>71200200054454</t>
  </si>
  <si>
    <t>ekfgn1212@gmail.com</t>
  </si>
  <si>
    <t>UQ0056</t>
  </si>
  <si>
    <t>991013-2822819</t>
  </si>
  <si>
    <t>이주비</t>
  </si>
  <si>
    <t>10430204319486</t>
  </si>
  <si>
    <t>wbq1010@naver.com</t>
  </si>
  <si>
    <t>UQ0057</t>
  </si>
  <si>
    <t>941010-1106413</t>
  </si>
  <si>
    <t>이재원</t>
  </si>
  <si>
    <t>66880101697103</t>
  </si>
  <si>
    <t>lcw1994@naver.com</t>
  </si>
  <si>
    <t>UQ0058</t>
  </si>
  <si>
    <t>970422-2203116</t>
  </si>
  <si>
    <t>정다연</t>
  </si>
  <si>
    <t>3333073016735</t>
  </si>
  <si>
    <t>jdy5979@naver.com</t>
  </si>
  <si>
    <t>UQ0059</t>
  </si>
  <si>
    <t>970922-2690614</t>
  </si>
  <si>
    <t>김민희</t>
  </si>
  <si>
    <t>81650201327756</t>
  </si>
  <si>
    <t>qktk0518@naver.com</t>
  </si>
  <si>
    <t>UQ0060</t>
  </si>
  <si>
    <t>941019-1110223</t>
  </si>
  <si>
    <t>김조나</t>
  </si>
  <si>
    <t>10430104464866</t>
  </si>
  <si>
    <t>jonah1994@naver.com</t>
  </si>
  <si>
    <t>UQ0061</t>
  </si>
  <si>
    <t>980409-1114821</t>
  </si>
  <si>
    <t>서인호</t>
  </si>
  <si>
    <t>10430104465438</t>
  </si>
  <si>
    <t>sjtjdlsgh@naver.com</t>
  </si>
  <si>
    <t>UQ0062</t>
  </si>
  <si>
    <t>950928-2183039</t>
  </si>
  <si>
    <t>최고은</t>
  </si>
  <si>
    <t>57370104124906</t>
  </si>
  <si>
    <t>koeun950@naver.com</t>
  </si>
  <si>
    <t>UQ0063</t>
  </si>
  <si>
    <t>891217-1685623</t>
  </si>
  <si>
    <t>오진석</t>
  </si>
  <si>
    <t>80391018849107</t>
  </si>
  <si>
    <t>blacktaehun@hanmail.net</t>
  </si>
  <si>
    <t>UQ0064</t>
  </si>
  <si>
    <t>000802-4203515</t>
  </si>
  <si>
    <t>강유리</t>
  </si>
  <si>
    <t>61450104236106</t>
  </si>
  <si>
    <t>eeehjs88@naver.com</t>
  </si>
  <si>
    <t>UQ0065</t>
  </si>
  <si>
    <t>990605-2686119</t>
  </si>
  <si>
    <t>62420204259255</t>
  </si>
  <si>
    <t>ukun085@naver.com</t>
  </si>
  <si>
    <t>UQ0066</t>
  </si>
  <si>
    <t>980807-1528515</t>
  </si>
  <si>
    <t>정영현</t>
  </si>
  <si>
    <t>94450200292668</t>
  </si>
  <si>
    <t>dudgus7896@gmail.com</t>
  </si>
  <si>
    <t>UQ0067</t>
  </si>
  <si>
    <t>981223-1110211</t>
  </si>
  <si>
    <t>이동훈</t>
  </si>
  <si>
    <t>93930200373635</t>
  </si>
  <si>
    <t>dkehd82@naver.com</t>
  </si>
  <si>
    <t>UQ0068</t>
  </si>
  <si>
    <t>940621-2721913</t>
  </si>
  <si>
    <t>이경민</t>
  </si>
  <si>
    <t>85270200026340</t>
  </si>
  <si>
    <t>tifkfkr21@gmail.com</t>
  </si>
  <si>
    <t>UQ0069</t>
  </si>
  <si>
    <t>980312-2691029</t>
  </si>
  <si>
    <t>김규리</t>
  </si>
  <si>
    <t>110481260234</t>
  </si>
  <si>
    <t>gyumd2@naver.com</t>
  </si>
  <si>
    <t>UQ0070</t>
  </si>
  <si>
    <t>880516-2117811</t>
  </si>
  <si>
    <t>허승희</t>
  </si>
  <si>
    <t>13730204180198</t>
  </si>
  <si>
    <t>dangnagu88@naver.com</t>
  </si>
  <si>
    <t>UQ0071</t>
  </si>
  <si>
    <t>961031-1685813</t>
  </si>
  <si>
    <t>82550200014189</t>
  </si>
  <si>
    <t>ehgus4661@naver.com</t>
  </si>
  <si>
    <t>UQ0072</t>
  </si>
  <si>
    <t>010317-4852923</t>
  </si>
  <si>
    <t>김나현</t>
  </si>
  <si>
    <t>66110104210245</t>
  </si>
  <si>
    <t>dd0135@naver.com</t>
  </si>
  <si>
    <t>UQ0073</t>
  </si>
  <si>
    <t>971205-2675219</t>
  </si>
  <si>
    <t>이은서</t>
  </si>
  <si>
    <t>67210104366595</t>
  </si>
  <si>
    <t>tgu04031@naver.com</t>
  </si>
  <si>
    <t>UQ0074</t>
  </si>
  <si>
    <t>000825-4685031</t>
  </si>
  <si>
    <t>이미진</t>
  </si>
  <si>
    <t>68020104184055</t>
  </si>
  <si>
    <t>dlalwls0104@naver.com</t>
  </si>
  <si>
    <t>UQ0075</t>
  </si>
  <si>
    <t>960222-1903721</t>
  </si>
  <si>
    <t>진건희</t>
  </si>
  <si>
    <t>17000204077905</t>
  </si>
  <si>
    <t>wls0164@naver.com</t>
  </si>
  <si>
    <t>UQ0076</t>
  </si>
  <si>
    <t>950714-2103221</t>
  </si>
  <si>
    <t>신소희</t>
  </si>
  <si>
    <t>110497104595</t>
  </si>
  <si>
    <t>thdml1234@naver.com</t>
  </si>
  <si>
    <t>UQ0077</t>
  </si>
  <si>
    <t>960819-1852017</t>
  </si>
  <si>
    <t>93350200247400</t>
  </si>
  <si>
    <t>russia502@naver.com</t>
  </si>
  <si>
    <t>UQ0078</t>
  </si>
  <si>
    <t>880823-1685617</t>
  </si>
  <si>
    <t>백정욱</t>
  </si>
  <si>
    <t>67500104286278</t>
  </si>
  <si>
    <t>vine0823@naver.com</t>
  </si>
  <si>
    <t>UQ0079</t>
  </si>
  <si>
    <t>960708-1697831</t>
  </si>
  <si>
    <t>김태완</t>
  </si>
  <si>
    <t>96270201312493</t>
  </si>
  <si>
    <t>jtk7035@naver.com</t>
  </si>
  <si>
    <t>UQ0080</t>
  </si>
  <si>
    <t>941031-2095510</t>
  </si>
  <si>
    <t>윤지혜</t>
  </si>
  <si>
    <t>110488099157</t>
  </si>
  <si>
    <t>jihae3315@nate.com</t>
  </si>
  <si>
    <t>UQ0081</t>
  </si>
  <si>
    <t>970116-2795918</t>
  </si>
  <si>
    <t>정희경</t>
  </si>
  <si>
    <t>64460204208248</t>
  </si>
  <si>
    <t>gmlrud97001@naver.com</t>
  </si>
  <si>
    <t>UQ0082</t>
  </si>
  <si>
    <t>981113-1921114</t>
  </si>
  <si>
    <t>박의진</t>
  </si>
  <si>
    <t>10430204324314</t>
  </si>
  <si>
    <t>PRONS15@nate.com</t>
  </si>
  <si>
    <t>UQ0083</t>
  </si>
  <si>
    <t>860214-1684926</t>
  </si>
  <si>
    <t>남대범</t>
  </si>
  <si>
    <t>nam2nam@gmail.com</t>
  </si>
  <si>
    <t>UQ0084</t>
  </si>
  <si>
    <t>900204-1684814</t>
  </si>
  <si>
    <t>김익수</t>
  </si>
  <si>
    <t>69960104067338</t>
  </si>
  <si>
    <t>kis5829@naver.com</t>
  </si>
  <si>
    <t>UQ0085</t>
  </si>
  <si>
    <t>951101-1679915</t>
  </si>
  <si>
    <t>허원준</t>
  </si>
  <si>
    <t>67630204107456</t>
  </si>
  <si>
    <t>onezhuh@gmail.com</t>
  </si>
  <si>
    <t>UQ0086</t>
  </si>
  <si>
    <t>950812-1101814</t>
  </si>
  <si>
    <t>윤찬민</t>
  </si>
  <si>
    <t>110423171530</t>
  </si>
  <si>
    <t>dbscksals01@naver.com</t>
  </si>
  <si>
    <t>UQ0087</t>
  </si>
  <si>
    <t>860330-2567618</t>
  </si>
  <si>
    <t>92623747446</t>
  </si>
  <si>
    <t>32741023@hanmail.net</t>
  </si>
  <si>
    <t>UQ0088</t>
  </si>
  <si>
    <t>910426-1901133</t>
  </si>
  <si>
    <t>황승훈</t>
  </si>
  <si>
    <t>66660104303614</t>
  </si>
  <si>
    <t>seunghun0426@naver.com</t>
  </si>
  <si>
    <t>UQ0089</t>
  </si>
  <si>
    <t>961211-2674011</t>
  </si>
  <si>
    <t>안현지</t>
  </si>
  <si>
    <t>21540104182831</t>
  </si>
  <si>
    <t>Namkil1211@nate.com</t>
  </si>
  <si>
    <t>UQ0090</t>
  </si>
  <si>
    <t>940704-1790416</t>
  </si>
  <si>
    <t>이태균</t>
  </si>
  <si>
    <t>64590104403894</t>
  </si>
  <si>
    <t>julius0623@naver.com</t>
  </si>
  <si>
    <t>UQ0091</t>
  </si>
  <si>
    <t>930123-1125815</t>
  </si>
  <si>
    <t>성진석</t>
  </si>
  <si>
    <t>11110104163411</t>
  </si>
  <si>
    <t>JINVINSENT@naver.com</t>
  </si>
  <si>
    <t>UQ0092</t>
  </si>
  <si>
    <t>930802-1865314</t>
  </si>
  <si>
    <t>엄기탁</t>
  </si>
  <si>
    <t>10430204325142</t>
  </si>
  <si>
    <t>han0311045@gmail.com</t>
  </si>
  <si>
    <t>UQ0093</t>
  </si>
  <si>
    <t>960729-2861714</t>
  </si>
  <si>
    <t>김보인</t>
  </si>
  <si>
    <t>84240101781527</t>
  </si>
  <si>
    <t>rlaqhdls6270@naver.com</t>
  </si>
  <si>
    <t>UQ0094</t>
  </si>
  <si>
    <t>991208-2822717</t>
  </si>
  <si>
    <t>이하은</t>
  </si>
  <si>
    <t>039</t>
  </si>
  <si>
    <t>경남은행</t>
  </si>
  <si>
    <t>2070011395005</t>
  </si>
  <si>
    <t>390939@naver.com</t>
  </si>
  <si>
    <t>UQ0095</t>
  </si>
  <si>
    <t>920111-1823541</t>
  </si>
  <si>
    <t>김현우</t>
  </si>
  <si>
    <t>86150201245733</t>
  </si>
  <si>
    <t>kimhw256@naver.com</t>
  </si>
  <si>
    <t>UQ0096</t>
  </si>
  <si>
    <t>960803-1865117</t>
  </si>
  <si>
    <t>김기현</t>
  </si>
  <si>
    <t>11400104115055</t>
  </si>
  <si>
    <t>kkh02510251@daum.net</t>
  </si>
  <si>
    <t>UQ0097</t>
  </si>
  <si>
    <t>960427-1300413</t>
  </si>
  <si>
    <t>윤종휘</t>
  </si>
  <si>
    <t>60480204130639</t>
  </si>
  <si>
    <t>dbs3038@naver.com</t>
  </si>
  <si>
    <t>UQ0098</t>
  </si>
  <si>
    <t>901217-1790635</t>
  </si>
  <si>
    <t>신준호</t>
  </si>
  <si>
    <t>61870204208355</t>
  </si>
  <si>
    <t>gh7670@naver.com</t>
  </si>
  <si>
    <t>UQ0099</t>
  </si>
  <si>
    <t>920324-1795917</t>
  </si>
  <si>
    <t>백종민</t>
  </si>
  <si>
    <t>61870104259217</t>
  </si>
  <si>
    <t>12skdml12@naver.com</t>
  </si>
  <si>
    <t>UQ0100</t>
  </si>
  <si>
    <t>020225-4774810</t>
  </si>
  <si>
    <t>김선희</t>
  </si>
  <si>
    <t>81780101608464</t>
  </si>
  <si>
    <t>hui432961@gmail.com</t>
  </si>
  <si>
    <t>UQ0101</t>
  </si>
  <si>
    <t>971213-2797817</t>
  </si>
  <si>
    <t>남자영</t>
  </si>
  <si>
    <t>80390101528697</t>
  </si>
  <si>
    <t>skawkdudff@naver.com</t>
  </si>
  <si>
    <t>UQ0102</t>
  </si>
  <si>
    <t>951209-1895013</t>
  </si>
  <si>
    <t>이정석</t>
  </si>
  <si>
    <t>593210112520</t>
  </si>
  <si>
    <t>Leejus101@naver.com</t>
  </si>
  <si>
    <t>UQ0103</t>
  </si>
  <si>
    <t>960627-2860116</t>
  </si>
  <si>
    <t>문수진</t>
  </si>
  <si>
    <t>3520270890623</t>
  </si>
  <si>
    <t>qnftnsdl23@naver.com</t>
  </si>
  <si>
    <t>UQ0104</t>
  </si>
  <si>
    <t>890414-2105716</t>
  </si>
  <si>
    <t>서혜수</t>
  </si>
  <si>
    <t>11400204219808</t>
  </si>
  <si>
    <t>20030824@hanmail.net</t>
  </si>
  <si>
    <t>UQ0105</t>
  </si>
  <si>
    <t>011101-3696522</t>
  </si>
  <si>
    <t>박민혁</t>
  </si>
  <si>
    <t>80550201337942</t>
  </si>
  <si>
    <t>suk8239@nate.com</t>
  </si>
  <si>
    <t>UQ0106</t>
  </si>
  <si>
    <t>000929-4070021</t>
  </si>
  <si>
    <t>윤초롬</t>
  </si>
  <si>
    <t>82400104137868</t>
  </si>
  <si>
    <t>chorom00929@naver.com</t>
  </si>
  <si>
    <t>UQ0107</t>
  </si>
  <si>
    <t>890726-2683811</t>
  </si>
  <si>
    <t>83980201366208</t>
  </si>
  <si>
    <t>kkm614@naver.com</t>
  </si>
  <si>
    <t>UQ0109</t>
  </si>
  <si>
    <t>931230-2622511</t>
  </si>
  <si>
    <t>김영지</t>
  </si>
  <si>
    <t>79200201173211</t>
  </si>
  <si>
    <t>com6763763@naver.com</t>
  </si>
  <si>
    <t>UQ0110</t>
  </si>
  <si>
    <t>940214-1822412</t>
  </si>
  <si>
    <t>공태건</t>
  </si>
  <si>
    <t>84240101868996</t>
  </si>
  <si>
    <t>rhdxorjs@naver.com</t>
  </si>
  <si>
    <t>UQ0111</t>
  </si>
  <si>
    <t>940709-1124212</t>
  </si>
  <si>
    <t>김혜민</t>
  </si>
  <si>
    <t>20390204207682</t>
  </si>
  <si>
    <t>gbgbgbti@naver.com</t>
  </si>
  <si>
    <t>UQ0112</t>
  </si>
  <si>
    <t>960815-2171513</t>
  </si>
  <si>
    <t>정유원</t>
  </si>
  <si>
    <t>10430104472498</t>
  </si>
  <si>
    <t>dbdnjs9210@naver.com</t>
  </si>
  <si>
    <t>UQ0113</t>
  </si>
  <si>
    <t>960427-2929419</t>
  </si>
  <si>
    <t>권지혜</t>
  </si>
  <si>
    <t>65850204253830</t>
  </si>
  <si>
    <t>mykjh0427@naver.com</t>
  </si>
  <si>
    <t>UQ0114</t>
  </si>
  <si>
    <t>940111-1901141</t>
  </si>
  <si>
    <t>유정현</t>
  </si>
  <si>
    <t>1002561693407</t>
  </si>
  <si>
    <t>Yoogaon@naver.com</t>
  </si>
  <si>
    <t>UQ0115</t>
  </si>
  <si>
    <t>010217-4126519</t>
  </si>
  <si>
    <t>정하은</t>
  </si>
  <si>
    <t>96010101416396</t>
  </si>
  <si>
    <t>haeun8258@naver.com</t>
  </si>
  <si>
    <t>UQ0116</t>
  </si>
  <si>
    <t>931029-1671510</t>
  </si>
  <si>
    <t>이종민</t>
  </si>
  <si>
    <t>01713076990</t>
  </si>
  <si>
    <t>whdalssla79@nate.com</t>
  </si>
  <si>
    <t>UQ0117</t>
  </si>
  <si>
    <t>850329-1821823</t>
  </si>
  <si>
    <t>이준경</t>
  </si>
  <si>
    <t>62420104465767</t>
  </si>
  <si>
    <t>selfalie@gmail.com</t>
  </si>
  <si>
    <t>UQ0118</t>
  </si>
  <si>
    <t>980213-1702815</t>
  </si>
  <si>
    <t>김승민</t>
  </si>
  <si>
    <t>94030200306710</t>
  </si>
  <si>
    <t>dhfhqltm@gmail.com</t>
  </si>
  <si>
    <t>UQ0119</t>
  </si>
  <si>
    <t>950210-1080116</t>
  </si>
  <si>
    <t>서정혁</t>
  </si>
  <si>
    <t>62000204210513</t>
  </si>
  <si>
    <t>tjwjdals333@gmail.com</t>
  </si>
  <si>
    <t>UQ0120</t>
  </si>
  <si>
    <t>930801-1693018</t>
  </si>
  <si>
    <t>이정식</t>
  </si>
  <si>
    <t>63650204122592</t>
  </si>
  <si>
    <t>tabled93@naver.com</t>
  </si>
  <si>
    <t>UQ0121</t>
  </si>
  <si>
    <t>950214-1212517</t>
  </si>
  <si>
    <t>73310201058731</t>
  </si>
  <si>
    <t>khs214115@naver.com</t>
  </si>
  <si>
    <t>UQ0122</t>
  </si>
  <si>
    <t>950812-1683418</t>
  </si>
  <si>
    <t>류현익</t>
  </si>
  <si>
    <t>41070104212627</t>
  </si>
  <si>
    <t>gusdlr0812@naver.com</t>
  </si>
  <si>
    <t>UQ0123</t>
  </si>
  <si>
    <t>940523-1726529</t>
  </si>
  <si>
    <t>61320104429378</t>
  </si>
  <si>
    <t>alstn8119@naver.com</t>
  </si>
  <si>
    <t>UQ0124</t>
  </si>
  <si>
    <t>990118-2691513</t>
  </si>
  <si>
    <t>구나영</t>
  </si>
  <si>
    <t>61580104325674</t>
  </si>
  <si>
    <t>rnskdud0118@naver.com</t>
  </si>
  <si>
    <t>UQ0125</t>
  </si>
  <si>
    <t>961129-1121218</t>
  </si>
  <si>
    <t>정은호</t>
  </si>
  <si>
    <t>3120134839801</t>
  </si>
  <si>
    <t>miso9118@naver.com</t>
  </si>
  <si>
    <t>UQ0126</t>
  </si>
  <si>
    <t>960223-2127115</t>
  </si>
  <si>
    <t>김아름</t>
  </si>
  <si>
    <t>3333060684526</t>
  </si>
  <si>
    <t>dkfma8981@naver.com</t>
  </si>
  <si>
    <t>UQ0127</t>
  </si>
  <si>
    <t>971121-2095512</t>
  </si>
  <si>
    <t>곽재희</t>
  </si>
  <si>
    <t>1012033119405</t>
  </si>
  <si>
    <t>rhkrwogml1231@daum.net</t>
  </si>
  <si>
    <t>UQ0128</t>
  </si>
  <si>
    <t>950317-1829828</t>
  </si>
  <si>
    <t>백기홍</t>
  </si>
  <si>
    <t>3524391257993</t>
  </si>
  <si>
    <t>rlghd2579@naver.com</t>
  </si>
  <si>
    <t>UQ0129</t>
  </si>
  <si>
    <t>970307-2860417</t>
  </si>
  <si>
    <t>1012036821004</t>
  </si>
  <si>
    <t>enri037@naver.com</t>
  </si>
  <si>
    <t>UQ0130</t>
  </si>
  <si>
    <t>930610-2679915</t>
  </si>
  <si>
    <t>정경민</t>
  </si>
  <si>
    <t>83980201413748</t>
  </si>
  <si>
    <t>eve06010@naver.com</t>
  </si>
  <si>
    <t>UQ0131</t>
  </si>
  <si>
    <t>961019-1301012</t>
  </si>
  <si>
    <t>박현수</t>
  </si>
  <si>
    <t>35770204159532</t>
  </si>
  <si>
    <t>phyeonsoo96@naver.com</t>
  </si>
  <si>
    <t>UQ0132</t>
  </si>
  <si>
    <t>940830-1407818</t>
  </si>
  <si>
    <t>김승준</t>
  </si>
  <si>
    <t>53130104141967</t>
  </si>
  <si>
    <t>seungjoon9483@gmail.com</t>
  </si>
  <si>
    <t>UQ0133</t>
  </si>
  <si>
    <t>951106-1678420</t>
  </si>
  <si>
    <t>조민수</t>
  </si>
  <si>
    <t>64590204327380</t>
  </si>
  <si>
    <t>cms951106@naver.com</t>
  </si>
  <si>
    <t>UQ0134</t>
  </si>
  <si>
    <t>911210-1785411</t>
  </si>
  <si>
    <t>임후상</t>
  </si>
  <si>
    <t>63100104240148</t>
  </si>
  <si>
    <t>lhs8503@hanmail.net</t>
  </si>
  <si>
    <t>UQ0135</t>
  </si>
  <si>
    <t>990427-2106418</t>
  </si>
  <si>
    <t>김경화</t>
  </si>
  <si>
    <t>10980204204215</t>
  </si>
  <si>
    <t>kimkuonghwa990427@naver.com</t>
  </si>
  <si>
    <t>UQ0136</t>
  </si>
  <si>
    <t>970205-2686111</t>
  </si>
  <si>
    <t>한혜민</t>
  </si>
  <si>
    <t>3333125426401</t>
  </si>
  <si>
    <t>gksgpals204@naver.com</t>
  </si>
  <si>
    <t>UQ0137</t>
  </si>
  <si>
    <t>991023-2853911</t>
  </si>
  <si>
    <t>최소희</t>
  </si>
  <si>
    <t>61870104264950</t>
  </si>
  <si>
    <t>cj88378837@gmail.com</t>
  </si>
  <si>
    <t>UQ0138</t>
  </si>
  <si>
    <t>961127-1690818</t>
  </si>
  <si>
    <t>윤수현</t>
  </si>
  <si>
    <t>61740204126793</t>
  </si>
  <si>
    <t>retro7781@naver.com</t>
  </si>
  <si>
    <t>UQ0139</t>
  </si>
  <si>
    <t>971231-1241118</t>
  </si>
  <si>
    <t>이대민</t>
  </si>
  <si>
    <t>94030200197381</t>
  </si>
  <si>
    <t>akfforhd2@gmail.com</t>
  </si>
  <si>
    <t>UQ0140</t>
  </si>
  <si>
    <t>971126-2918422</t>
  </si>
  <si>
    <t>정도경</t>
  </si>
  <si>
    <t>3010091550411</t>
  </si>
  <si>
    <t>dg2018@naver.com</t>
  </si>
  <si>
    <t>UQ0141</t>
  </si>
  <si>
    <t>940418-1904611</t>
  </si>
  <si>
    <t>신요셉</t>
  </si>
  <si>
    <t>21100104406968</t>
  </si>
  <si>
    <t>sosos0418@hanmail.net</t>
  </si>
  <si>
    <t>UQ0142</t>
  </si>
  <si>
    <t>950929-1119912</t>
  </si>
  <si>
    <t>김재호</t>
  </si>
  <si>
    <t>01049215205</t>
  </si>
  <si>
    <t>wogh098@gmail.com</t>
  </si>
  <si>
    <t>UQ0143</t>
  </si>
  <si>
    <t>930324-1095911</t>
  </si>
  <si>
    <t>578210257998</t>
  </si>
  <si>
    <t>hayeacc@naver.com</t>
  </si>
  <si>
    <t>UQ0144</t>
  </si>
  <si>
    <t>980707-1685321</t>
  </si>
  <si>
    <t>정선우</t>
  </si>
  <si>
    <t>60350104166906</t>
  </si>
  <si>
    <t>23gaz@naver.com</t>
  </si>
  <si>
    <t>UQ0145</t>
  </si>
  <si>
    <t>770220-2821317</t>
  </si>
  <si>
    <t>이안나</t>
  </si>
  <si>
    <t>65980104391688</t>
  </si>
  <si>
    <t>jugamu@naver.com</t>
  </si>
  <si>
    <t>UQ0146</t>
  </si>
  <si>
    <t>860223-1824526</t>
  </si>
  <si>
    <t>김병수</t>
  </si>
  <si>
    <t>84240202013929</t>
  </si>
  <si>
    <t>kbs4468@naver.com</t>
  </si>
  <si>
    <t>UQ0147</t>
  </si>
  <si>
    <t>930817-2696713</t>
  </si>
  <si>
    <t>배현지</t>
  </si>
  <si>
    <t>paps0706@naver.com</t>
  </si>
  <si>
    <t>UQ0148</t>
  </si>
  <si>
    <t>990714-1710817</t>
  </si>
  <si>
    <t>김연춘</t>
  </si>
  <si>
    <t>94030200527500</t>
  </si>
  <si>
    <t>duscns2993@gmail.com</t>
  </si>
  <si>
    <t>UQ0149</t>
  </si>
  <si>
    <t>970510-2683711</t>
  </si>
  <si>
    <t>송현아</t>
  </si>
  <si>
    <t>110518980393</t>
  </si>
  <si>
    <t>gkrtks1109@naver.com</t>
  </si>
  <si>
    <t>UQ0150</t>
  </si>
  <si>
    <t>911206-1914717</t>
  </si>
  <si>
    <t>김재림</t>
  </si>
  <si>
    <t>84240101882932</t>
  </si>
  <si>
    <t>wofal123@nate.com</t>
  </si>
  <si>
    <t>UQ0151</t>
  </si>
  <si>
    <t>000510-4860418</t>
  </si>
  <si>
    <t>84240202325134</t>
  </si>
  <si>
    <t>gwtht668@naver.com</t>
  </si>
  <si>
    <t>UQ0152</t>
  </si>
  <si>
    <t>900518-2121631</t>
  </si>
  <si>
    <t>김유진</t>
  </si>
  <si>
    <t>56630201162382</t>
  </si>
  <si>
    <t>000333yj@naver.com</t>
  </si>
  <si>
    <t>UQ0153</t>
  </si>
  <si>
    <t>920807-1095112</t>
  </si>
  <si>
    <t>강동훈</t>
  </si>
  <si>
    <t>11820104226791</t>
  </si>
  <si>
    <t>kao0807@naver.com</t>
  </si>
  <si>
    <t>UQ0154</t>
  </si>
  <si>
    <t>770227-2322311</t>
  </si>
  <si>
    <t>김인영</t>
  </si>
  <si>
    <t>dewfall27@hanmail.net</t>
  </si>
  <si>
    <t>UQ0155</t>
  </si>
  <si>
    <t>981206-1113417</t>
  </si>
  <si>
    <t>신현석</t>
  </si>
  <si>
    <t>03450204303928</t>
  </si>
  <si>
    <t>dajtw@naver.com</t>
  </si>
  <si>
    <t>UQ0156</t>
  </si>
  <si>
    <t>971001-2684812</t>
  </si>
  <si>
    <t>정성윤</t>
  </si>
  <si>
    <t>3333083541026</t>
  </si>
  <si>
    <t>aswjd77@naver.com</t>
  </si>
  <si>
    <t>UQ0157</t>
  </si>
  <si>
    <t>990213-1410811</t>
  </si>
  <si>
    <t>한규영</t>
  </si>
  <si>
    <t>80420201301964</t>
  </si>
  <si>
    <t>dds05081@naver.com</t>
  </si>
  <si>
    <t>UQ0158</t>
  </si>
  <si>
    <t>960824-2236510</t>
  </si>
  <si>
    <t>김윤지</t>
  </si>
  <si>
    <t>96270101394799</t>
  </si>
  <si>
    <t>tb03129@naver.com</t>
  </si>
  <si>
    <t>UQ0159</t>
  </si>
  <si>
    <t>970429-2790219</t>
  </si>
  <si>
    <t>61870104268028</t>
  </si>
  <si>
    <t>apple32018465@gmail.com</t>
  </si>
  <si>
    <t>UQ0160</t>
  </si>
  <si>
    <t>970922-2683917</t>
  </si>
  <si>
    <t>차민선</t>
  </si>
  <si>
    <t>59600204148117</t>
  </si>
  <si>
    <t>ckalstjs97@naver.com</t>
  </si>
  <si>
    <t>UQ0161</t>
  </si>
  <si>
    <t>960214-1678111</t>
  </si>
  <si>
    <t>김상호</t>
  </si>
  <si>
    <t>ds050321@naver.com</t>
  </si>
  <si>
    <t>UQ0162</t>
  </si>
  <si>
    <t>980917-1792011</t>
  </si>
  <si>
    <t>김규태</t>
  </si>
  <si>
    <t>11080204401595</t>
  </si>
  <si>
    <t>rboxokim1@naver.com</t>
  </si>
  <si>
    <t>UQ0163</t>
  </si>
  <si>
    <t>980207-1690919</t>
  </si>
  <si>
    <t>김동영</t>
  </si>
  <si>
    <t>94030200216657</t>
  </si>
  <si>
    <t>kdyaim@hanmail.net</t>
  </si>
  <si>
    <t>UQ0164</t>
  </si>
  <si>
    <t>970623-2796318</t>
  </si>
  <si>
    <t>이혜원</t>
  </si>
  <si>
    <t>3333035648219</t>
  </si>
  <si>
    <t>hyew623@daum.net</t>
  </si>
  <si>
    <t>UQ0165</t>
  </si>
  <si>
    <t>991212-1692929</t>
  </si>
  <si>
    <t>구대현</t>
  </si>
  <si>
    <t>94030200623006</t>
  </si>
  <si>
    <t>dwc06202@naver.com</t>
  </si>
  <si>
    <t>UQ0166</t>
  </si>
  <si>
    <t>941118-1860310</t>
  </si>
  <si>
    <t>김균석</t>
  </si>
  <si>
    <t>61355402127770</t>
  </si>
  <si>
    <t>clsal24@gmail.com</t>
  </si>
  <si>
    <t>UQ0167</t>
  </si>
  <si>
    <t>980417-1865418</t>
  </si>
  <si>
    <t>유성현</t>
  </si>
  <si>
    <t>3333078371444</t>
  </si>
  <si>
    <t>alswns7572@naver.com</t>
  </si>
  <si>
    <t>UQ0168</t>
  </si>
  <si>
    <t>991226-1676510</t>
  </si>
  <si>
    <t>이유진</t>
  </si>
  <si>
    <t>94030200514098</t>
  </si>
  <si>
    <t>dbwlsdl195@naver.com</t>
  </si>
  <si>
    <t>UQ0169</t>
  </si>
  <si>
    <t>920522-1870514</t>
  </si>
  <si>
    <t>방대원</t>
  </si>
  <si>
    <t>86150101550263</t>
  </si>
  <si>
    <t>unine92@gmail.com</t>
  </si>
  <si>
    <t>UQ0170</t>
  </si>
  <si>
    <t>920917-1823511</t>
  </si>
  <si>
    <t>84240101889001</t>
  </si>
  <si>
    <t>uing123@naver.com</t>
  </si>
  <si>
    <t>UQ0171</t>
  </si>
  <si>
    <t>940927-1917213</t>
  </si>
  <si>
    <t>이준효</t>
  </si>
  <si>
    <t>84240101888877</t>
  </si>
  <si>
    <t>leejuhnhyo@naver.com</t>
  </si>
  <si>
    <t>UQ0172</t>
  </si>
  <si>
    <t>930206-1821218</t>
  </si>
  <si>
    <t>정우제</t>
  </si>
  <si>
    <t>86570201261548</t>
  </si>
  <si>
    <t>gintous@naver.com</t>
  </si>
  <si>
    <t>UQ0173</t>
  </si>
  <si>
    <t>010818-3865921</t>
  </si>
  <si>
    <t>류태용</t>
  </si>
  <si>
    <t>96940100059997</t>
  </si>
  <si>
    <t>smxcz3524@iicloud.com</t>
  </si>
  <si>
    <t>UQ0174</t>
  </si>
  <si>
    <t>960601-1691111</t>
  </si>
  <si>
    <t>이상빈</t>
  </si>
  <si>
    <t>508113397403</t>
  </si>
  <si>
    <t>x22710@nate.com</t>
  </si>
  <si>
    <t>UQ0175</t>
  </si>
  <si>
    <t>980225-2409932</t>
  </si>
  <si>
    <t>박성예</t>
  </si>
  <si>
    <t>9003246466137</t>
  </si>
  <si>
    <t>jiwoowoo9805@gmail.com</t>
  </si>
  <si>
    <t>UQ0176</t>
  </si>
  <si>
    <t>921220-1126816</t>
  </si>
  <si>
    <t>강용모</t>
  </si>
  <si>
    <t>110323193550</t>
  </si>
  <si>
    <t>gangmo123@gmail.com</t>
  </si>
  <si>
    <t>UQ0177</t>
  </si>
  <si>
    <t>881202-1106418</t>
  </si>
  <si>
    <t>김만</t>
  </si>
  <si>
    <t>13020204165167</t>
  </si>
  <si>
    <t>KIPSKILL@naver.com</t>
  </si>
  <si>
    <t>UQ0178</t>
  </si>
  <si>
    <t>960626-1686025</t>
  </si>
  <si>
    <t>안성훈</t>
  </si>
  <si>
    <t>508122466751</t>
  </si>
  <si>
    <t>huny321@naver.com</t>
  </si>
  <si>
    <t>UQ0179</t>
  </si>
  <si>
    <t>961102-2697947</t>
  </si>
  <si>
    <t>이유나</t>
  </si>
  <si>
    <t>3520778167863</t>
  </si>
  <si>
    <t>yu_n_me112@naver.com</t>
  </si>
  <si>
    <t>UQ0180</t>
  </si>
  <si>
    <t>981014-2410821</t>
  </si>
  <si>
    <t>김도들빛</t>
  </si>
  <si>
    <t>96270201371890</t>
  </si>
  <si>
    <t>rlaehemfglc@naver.com</t>
  </si>
  <si>
    <t>UQ0181</t>
  </si>
  <si>
    <t>890304-1727512</t>
  </si>
  <si>
    <t>김종원</t>
  </si>
  <si>
    <t>9003266854881</t>
  </si>
  <si>
    <t>blacksky611@naver.com</t>
  </si>
  <si>
    <t>UQ0182</t>
  </si>
  <si>
    <t>920525-1908315</t>
  </si>
  <si>
    <t>박민준</t>
  </si>
  <si>
    <t>110343998930</t>
  </si>
  <si>
    <t>mape123@naver.com</t>
  </si>
  <si>
    <t>UQ0183</t>
  </si>
  <si>
    <t>971013-1109813</t>
  </si>
  <si>
    <t>정지원</t>
  </si>
  <si>
    <t>110467385859</t>
  </si>
  <si>
    <t>xp9303230@naver.com</t>
  </si>
  <si>
    <t>UQ0184</t>
  </si>
  <si>
    <t>971215-2085510</t>
  </si>
  <si>
    <t>최연수</t>
  </si>
  <si>
    <t>80130201778581</t>
  </si>
  <si>
    <t>holnew@naver.com</t>
  </si>
  <si>
    <t>UQ0185</t>
  </si>
  <si>
    <t>981122-1914215</t>
  </si>
  <si>
    <t>백승준</t>
  </si>
  <si>
    <t>2210086150901</t>
  </si>
  <si>
    <t>bsj6361@naver.com</t>
  </si>
  <si>
    <t>UQ0186</t>
  </si>
  <si>
    <t>980221-2685811</t>
  </si>
  <si>
    <t>송소영</t>
  </si>
  <si>
    <t>508116007935</t>
  </si>
  <si>
    <t>fktyd98@naver.com</t>
  </si>
  <si>
    <t>UQ0187</t>
  </si>
  <si>
    <t>941223-1229911</t>
  </si>
  <si>
    <t>박준우</t>
  </si>
  <si>
    <t>110398844456</t>
  </si>
  <si>
    <t>10birdki@naver.com</t>
  </si>
  <si>
    <t>UQ0189</t>
  </si>
  <si>
    <t>910415-1692814</t>
  </si>
  <si>
    <t>나태영</t>
  </si>
  <si>
    <t>46150104250144</t>
  </si>
  <si>
    <t>nty1004na@naver.com</t>
  </si>
  <si>
    <t>UQ0190</t>
  </si>
  <si>
    <t>910627-1106311</t>
  </si>
  <si>
    <t>홍승표</t>
  </si>
  <si>
    <t>50791037685207</t>
  </si>
  <si>
    <t>seungpyo1991@gmail.com</t>
  </si>
  <si>
    <t>UQ0191</t>
  </si>
  <si>
    <t>3521774854913</t>
  </si>
  <si>
    <t>dianharmony9@gmail.com</t>
  </si>
  <si>
    <t>UQ0192</t>
  </si>
  <si>
    <t>020510-3823718</t>
  </si>
  <si>
    <t>박지훈</t>
  </si>
  <si>
    <t>13589123972707</t>
  </si>
  <si>
    <t>asdjkl11221@gmail.com</t>
  </si>
  <si>
    <t>UQ0193</t>
  </si>
  <si>
    <t>960718-1096015</t>
  </si>
  <si>
    <t>조현우</t>
  </si>
  <si>
    <t>3510318465173</t>
  </si>
  <si>
    <t>tmdhkwlf1234@naver.com</t>
  </si>
  <si>
    <t>UQ0194</t>
  </si>
  <si>
    <t>921122-1110613</t>
  </si>
  <si>
    <t>정동준</t>
  </si>
  <si>
    <t>91079332563</t>
  </si>
  <si>
    <t>zerg6848@gmail.com</t>
  </si>
  <si>
    <t>UQ0195</t>
  </si>
  <si>
    <t>950405-1122919</t>
  </si>
  <si>
    <t>류재웅</t>
  </si>
  <si>
    <t>110412067867</t>
  </si>
  <si>
    <t>jaeung3016@naver.com</t>
  </si>
  <si>
    <t>UQ0196</t>
  </si>
  <si>
    <t>980720-2105318</t>
  </si>
  <si>
    <t>양주영</t>
  </si>
  <si>
    <t>56340101290601</t>
  </si>
  <si>
    <t>uyoung1894@gmail.com</t>
  </si>
  <si>
    <t>UQ0197</t>
  </si>
  <si>
    <t>950308-1840919</t>
  </si>
  <si>
    <t>황지웅</t>
  </si>
  <si>
    <t>96270201432331</t>
  </si>
  <si>
    <t>hjiwoong@nate.com</t>
  </si>
  <si>
    <t>UQ0198</t>
  </si>
  <si>
    <t>020510-3823911</t>
  </si>
  <si>
    <t>최민재</t>
  </si>
  <si>
    <t>98004423501014</t>
  </si>
  <si>
    <t>mj780312@naver.com</t>
  </si>
  <si>
    <t>UQ0199</t>
  </si>
  <si>
    <t>940113-1177311</t>
  </si>
  <si>
    <t>53902159401019</t>
  </si>
  <si>
    <t>raccoon_kyu@naver.com</t>
  </si>
  <si>
    <t>UQ0200</t>
  </si>
  <si>
    <t>970204-1815018</t>
  </si>
  <si>
    <t>최권수</t>
  </si>
  <si>
    <t>93930200136719</t>
  </si>
  <si>
    <t>rnjst73507@naver.com</t>
  </si>
  <si>
    <t>UQ0201</t>
  </si>
  <si>
    <t>020926-4685719</t>
  </si>
  <si>
    <t>81650201323774</t>
  </si>
  <si>
    <t>k23255146@gmail.com</t>
  </si>
  <si>
    <t>UQ0202</t>
  </si>
  <si>
    <t>860916-2125721</t>
  </si>
  <si>
    <t>정희윤</t>
  </si>
  <si>
    <t>12500104115495</t>
  </si>
  <si>
    <t>bright_jesus@naver.com</t>
  </si>
  <si>
    <t>UQ0203</t>
  </si>
  <si>
    <t>920225-1127633</t>
  </si>
  <si>
    <t>김예성</t>
  </si>
  <si>
    <t>92562009758</t>
  </si>
  <si>
    <t>yesung642@naver.com</t>
  </si>
  <si>
    <t>921002-1124135</t>
  </si>
  <si>
    <t>007</t>
  </si>
  <si>
    <t>수협중앙회</t>
  </si>
  <si>
    <t>001039414105</t>
  </si>
  <si>
    <t>cjswlakswl1@naver.com</t>
  </si>
  <si>
    <t>940625-1233610</t>
  </si>
  <si>
    <t>83702051031809</t>
  </si>
  <si>
    <t>rudals45785@naver.com</t>
  </si>
  <si>
    <t>UQ0207</t>
  </si>
  <si>
    <t>901210-2860533</t>
  </si>
  <si>
    <t>이영숙</t>
  </si>
  <si>
    <t>13730204202931</t>
  </si>
  <si>
    <t>tnrtnr90@naver.com</t>
  </si>
  <si>
    <t>UQ0208</t>
  </si>
  <si>
    <t>970820-2094011</t>
  </si>
  <si>
    <t>주다희</t>
  </si>
  <si>
    <t>56470101570395</t>
  </si>
  <si>
    <t>dahee2862@naver.com</t>
  </si>
  <si>
    <t>UQ0209</t>
  </si>
  <si>
    <t>991103-1685237</t>
  </si>
  <si>
    <t>임대혁</t>
  </si>
  <si>
    <t>3025801538831</t>
  </si>
  <si>
    <t>eogur5388@naver.com</t>
  </si>
  <si>
    <t>UQ0210</t>
  </si>
  <si>
    <t>890108-1853139</t>
  </si>
  <si>
    <t>최유민</t>
  </si>
  <si>
    <t>85500101321323</t>
  </si>
  <si>
    <t>showwolf0220@gmail.com</t>
  </si>
  <si>
    <t>UQ0211</t>
  </si>
  <si>
    <t>961218-1703610</t>
  </si>
  <si>
    <t>김상목</t>
  </si>
  <si>
    <t>110532302743</t>
  </si>
  <si>
    <t>tkdahr6515@gmail.com</t>
  </si>
  <si>
    <t>UQ0212</t>
  </si>
  <si>
    <t>870525-1822411</t>
  </si>
  <si>
    <t>이상익</t>
  </si>
  <si>
    <t>65140204140500</t>
  </si>
  <si>
    <t>winemoon7@naver.com</t>
  </si>
  <si>
    <t>UQ0213</t>
  </si>
  <si>
    <t>970331-1095412</t>
  </si>
  <si>
    <t>최민수</t>
  </si>
  <si>
    <t>93930200012828</t>
  </si>
  <si>
    <t>a01034640331@gmail.com</t>
  </si>
  <si>
    <t>UQ0214</t>
  </si>
  <si>
    <t>000519-3124518</t>
  </si>
  <si>
    <t>백승제</t>
  </si>
  <si>
    <t>97904519501017</t>
  </si>
  <si>
    <t>jetback@naver.com</t>
  </si>
  <si>
    <t>UQ0215</t>
  </si>
  <si>
    <t>911005-1865425</t>
  </si>
  <si>
    <t>박재범</t>
  </si>
  <si>
    <t>55660201585120</t>
  </si>
  <si>
    <t>bbbbno3@naver.com</t>
  </si>
  <si>
    <t>UQ0216</t>
  </si>
  <si>
    <t>990915-1035533</t>
  </si>
  <si>
    <t>임세진</t>
  </si>
  <si>
    <t>94580200549026</t>
  </si>
  <si>
    <t>im5065@naver.com</t>
  </si>
  <si>
    <t>UQ0217</t>
  </si>
  <si>
    <t>971220-1123025</t>
  </si>
  <si>
    <t>한승진</t>
  </si>
  <si>
    <t>66370204157086</t>
  </si>
  <si>
    <t>gkstmdwls123@naver.com</t>
  </si>
  <si>
    <t>UQ0218</t>
  </si>
  <si>
    <t>961211-1823410</t>
  </si>
  <si>
    <t>김지훈</t>
  </si>
  <si>
    <t>65980204195968</t>
  </si>
  <si>
    <t>kkfghj456@naver.com</t>
  </si>
  <si>
    <t>UQ0219</t>
  </si>
  <si>
    <t>820705-1908735</t>
  </si>
  <si>
    <t>김효식</t>
  </si>
  <si>
    <t>60510104234573</t>
  </si>
  <si>
    <t>sick486@naver.com</t>
  </si>
  <si>
    <t>UQ0220</t>
  </si>
  <si>
    <t>020125-4229714</t>
  </si>
  <si>
    <t>김환희</t>
  </si>
  <si>
    <t>62440104153396</t>
  </si>
  <si>
    <t>sall0125@naver.com</t>
  </si>
  <si>
    <t>UQ0221</t>
  </si>
  <si>
    <t>950819-1124914</t>
  </si>
  <si>
    <t>이상화</t>
  </si>
  <si>
    <t>1002058251744</t>
  </si>
  <si>
    <t>siop143@naver.com</t>
  </si>
  <si>
    <t>UQ0222</t>
  </si>
  <si>
    <t>990820-1685216</t>
  </si>
  <si>
    <t>하민철</t>
  </si>
  <si>
    <t>94030200480922</t>
  </si>
  <si>
    <t>sonsh4750@nate.com</t>
  </si>
  <si>
    <t>UQ0223</t>
  </si>
  <si>
    <t>960522-1164421</t>
  </si>
  <si>
    <t>안재성</t>
  </si>
  <si>
    <t>3333216971660</t>
  </si>
  <si>
    <t>dyddl0522@naver.com</t>
  </si>
  <si>
    <t>UQ0224</t>
  </si>
  <si>
    <t>710123-2544119</t>
  </si>
  <si>
    <t>최혜정</t>
  </si>
  <si>
    <t>29712081503</t>
  </si>
  <si>
    <t>chj970712@naver.com</t>
  </si>
  <si>
    <t>UQ0225</t>
  </si>
  <si>
    <t>990212-1209917</t>
  </si>
  <si>
    <t>양성국</t>
  </si>
  <si>
    <t>3560879882903</t>
  </si>
  <si>
    <t>tjdrnr7350@naver.com</t>
  </si>
  <si>
    <t>UQ0226</t>
  </si>
  <si>
    <t>930511-1685910</t>
  </si>
  <si>
    <t>은동학</t>
  </si>
  <si>
    <t>00911332001018</t>
  </si>
  <si>
    <t>qwer66602287@gmail.com</t>
  </si>
  <si>
    <t>UQ0227</t>
  </si>
  <si>
    <t>030524-3916710</t>
  </si>
  <si>
    <t>김형락</t>
  </si>
  <si>
    <t>3521570313613</t>
  </si>
  <si>
    <t>gudfkreoeks@naver.com</t>
  </si>
  <si>
    <t>UQ0228</t>
  </si>
  <si>
    <t>960411-1108711</t>
  </si>
  <si>
    <t>박진현</t>
  </si>
  <si>
    <t>110446189386</t>
  </si>
  <si>
    <t>gus40111@naver.com</t>
  </si>
  <si>
    <t>UQ0229</t>
  </si>
  <si>
    <t>930415-2682514</t>
  </si>
  <si>
    <t>예지원</t>
  </si>
  <si>
    <t>110466319347</t>
  </si>
  <si>
    <t>Jennfer62@naver.com</t>
  </si>
  <si>
    <t>UQ0230</t>
  </si>
  <si>
    <t>780405-1820517</t>
  </si>
  <si>
    <t>진영환</t>
  </si>
  <si>
    <t>56920201104936</t>
  </si>
  <si>
    <t>jyh5267@naver.com</t>
  </si>
  <si>
    <t>UQ0231</t>
  </si>
  <si>
    <t>931027-2696112</t>
  </si>
  <si>
    <t>장은희</t>
  </si>
  <si>
    <t>9003205649714</t>
  </si>
  <si>
    <t>dmsgml6617@naver.com</t>
  </si>
  <si>
    <t>UQ0232</t>
  </si>
  <si>
    <t>980506-2902718</t>
  </si>
  <si>
    <t>김민지</t>
  </si>
  <si>
    <t>3024712340491</t>
  </si>
  <si>
    <t>wjdwh003@naver.com</t>
  </si>
  <si>
    <t>UQ0233</t>
  </si>
  <si>
    <t>950920-1093717</t>
  </si>
  <si>
    <t>유동균</t>
  </si>
  <si>
    <t>110423953258</t>
  </si>
  <si>
    <t>fbehd1995@naver.com</t>
  </si>
  <si>
    <t>UQ0234</t>
  </si>
  <si>
    <t>901013-1822532</t>
  </si>
  <si>
    <t>표성균</t>
  </si>
  <si>
    <t>95209262667</t>
  </si>
  <si>
    <t>pyo127@naver.com</t>
  </si>
  <si>
    <t>UQ0235</t>
  </si>
  <si>
    <t>870331-1126229</t>
  </si>
  <si>
    <t>12500204451479</t>
  </si>
  <si>
    <t>yatonly@gmail.com</t>
  </si>
  <si>
    <t>UQ0236</t>
  </si>
  <si>
    <t>970114-1821037</t>
  </si>
  <si>
    <t>남성윤</t>
  </si>
  <si>
    <t>55950101347900</t>
  </si>
  <si>
    <t>nsy3689@naver.com</t>
  </si>
  <si>
    <t>UQ0237</t>
  </si>
  <si>
    <t>790205-1682812</t>
  </si>
  <si>
    <t>배광민</t>
  </si>
  <si>
    <t>110405623795</t>
  </si>
  <si>
    <t>asdf2442@naver.com</t>
  </si>
  <si>
    <t>UQ0238</t>
  </si>
  <si>
    <t>920922-1821918</t>
  </si>
  <si>
    <t>송재근</t>
  </si>
  <si>
    <t>3560348347513</t>
  </si>
  <si>
    <t>qkzksh02@naver.com</t>
  </si>
  <si>
    <t>UQ0239</t>
  </si>
  <si>
    <t>960602-2861720</t>
  </si>
  <si>
    <t>이은조</t>
  </si>
  <si>
    <t>65980104370164</t>
  </si>
  <si>
    <t>clcldk0602@naver.com</t>
  </si>
  <si>
    <t>UQ0240</t>
  </si>
  <si>
    <t>961026-1114215</t>
  </si>
  <si>
    <t>김영우</t>
  </si>
  <si>
    <t>110471685277</t>
  </si>
  <si>
    <t>kyw1026kyw@gmail.com</t>
  </si>
  <si>
    <t>UQ0241</t>
  </si>
  <si>
    <t>951107-1860811</t>
  </si>
  <si>
    <t>강요셉</t>
  </si>
  <si>
    <t>110480933884</t>
  </si>
  <si>
    <t>dytpq1107@naver.com</t>
  </si>
  <si>
    <t>UQ0242</t>
  </si>
  <si>
    <t>000531-3678015</t>
  </si>
  <si>
    <t>국민우</t>
  </si>
  <si>
    <t>81100201267866</t>
  </si>
  <si>
    <t>jecko1506@naver.com</t>
  </si>
  <si>
    <t>UQ0243</t>
  </si>
  <si>
    <t>881210-1182913</t>
  </si>
  <si>
    <t>유덕현</t>
  </si>
  <si>
    <t>25050104060031</t>
  </si>
  <si>
    <t>thanabytoss@gmail.com</t>
  </si>
  <si>
    <t>UQ0244</t>
  </si>
  <si>
    <t>971022-1896915</t>
  </si>
  <si>
    <t>조진욱</t>
  </si>
  <si>
    <t>95000200105772</t>
  </si>
  <si>
    <t>whwlsdnr4955@naver.com</t>
  </si>
  <si>
    <t>UQ0245</t>
  </si>
  <si>
    <t>980708-1768317</t>
  </si>
  <si>
    <t>민경민</t>
  </si>
  <si>
    <t>508118397996</t>
  </si>
  <si>
    <t>tmfprznl@naver.com</t>
  </si>
  <si>
    <t>UQ0247</t>
  </si>
  <si>
    <t>880110-1824418</t>
  </si>
  <si>
    <t>김성훈</t>
  </si>
  <si>
    <t>3020162310431</t>
  </si>
  <si>
    <t>soulrain02@naver.com</t>
  </si>
  <si>
    <t>UQ0249</t>
  </si>
  <si>
    <t>990612-1106317</t>
  </si>
  <si>
    <t>이현빈</t>
  </si>
  <si>
    <t>110529926132</t>
  </si>
  <si>
    <t>dlgusqls999@naver.com</t>
  </si>
  <si>
    <t>UQ0251</t>
  </si>
  <si>
    <t>940426-2163421</t>
  </si>
  <si>
    <t>이다미</t>
  </si>
  <si>
    <t>86860201158771</t>
  </si>
  <si>
    <t>ek_al@naver.com</t>
  </si>
  <si>
    <t>UQ0252</t>
  </si>
  <si>
    <t>991208-1117517</t>
  </si>
  <si>
    <t>이원석</t>
  </si>
  <si>
    <t>97903556901010</t>
  </si>
  <si>
    <t>khay0929@gmail.com</t>
  </si>
  <si>
    <t>UQ0253</t>
  </si>
  <si>
    <t>930417-1124814</t>
  </si>
  <si>
    <t>이경원</t>
  </si>
  <si>
    <t>110375386380</t>
  </si>
  <si>
    <t>ruddnjs7448@naver.com</t>
  </si>
  <si>
    <t>UQ0254</t>
  </si>
  <si>
    <t>920710-1120018</t>
  </si>
  <si>
    <t>양동규</t>
  </si>
  <si>
    <t>91050142649</t>
  </si>
  <si>
    <t>yang2649@naver.com</t>
  </si>
  <si>
    <t>UQ0255</t>
  </si>
  <si>
    <t>840213-2047112</t>
  </si>
  <si>
    <t>김유나</t>
  </si>
  <si>
    <t>52940101177917</t>
  </si>
  <si>
    <t>asienda@naver.com</t>
  </si>
  <si>
    <t>UQ0256</t>
  </si>
  <si>
    <t>010729-4124625</t>
  </si>
  <si>
    <t>1012064863803</t>
  </si>
  <si>
    <t>jw5668@naver.com</t>
  </si>
  <si>
    <t>UQ0257</t>
  </si>
  <si>
    <t>010120-3768016</t>
  </si>
  <si>
    <t>김재훈</t>
  </si>
  <si>
    <t>94030200692419</t>
  </si>
  <si>
    <t>jehoon010120@gmail.com</t>
  </si>
  <si>
    <t>UQ0258</t>
  </si>
  <si>
    <t>831128-2841013</t>
  </si>
  <si>
    <t>김미혜</t>
  </si>
  <si>
    <t>3020717602431</t>
  </si>
  <si>
    <t>kmh6229@naver.com</t>
  </si>
  <si>
    <t>UQ0259</t>
  </si>
  <si>
    <t>930210-1865826</t>
  </si>
  <si>
    <t>노란식</t>
  </si>
  <si>
    <t>3521147694553</t>
  </si>
  <si>
    <t>ham01212@naver.com</t>
  </si>
  <si>
    <t>UQ0260</t>
  </si>
  <si>
    <t>950630-1188721</t>
  </si>
  <si>
    <t>이루다</t>
  </si>
  <si>
    <t>3521365867853</t>
  </si>
  <si>
    <t>syarsyuan@naver.com</t>
  </si>
  <si>
    <t>UQ0261</t>
  </si>
  <si>
    <t>951016-1686118</t>
  </si>
  <si>
    <t>배재준</t>
  </si>
  <si>
    <t>508114929214</t>
  </si>
  <si>
    <t>Jaehyung@naver.com</t>
  </si>
  <si>
    <t>UQ0262</t>
  </si>
  <si>
    <t>960103-1906418</t>
  </si>
  <si>
    <t>김종욱</t>
  </si>
  <si>
    <t>89001056942</t>
  </si>
  <si>
    <t>rwd6967@gmail.com</t>
  </si>
  <si>
    <t>UQ0264</t>
  </si>
  <si>
    <t>960807-1114719</t>
  </si>
  <si>
    <t>김호현</t>
  </si>
  <si>
    <t>10980204231354</t>
  </si>
  <si>
    <t>khh5762@naver.com</t>
  </si>
  <si>
    <t>UQ0265</t>
  </si>
  <si>
    <t>010417-3127722</t>
  </si>
  <si>
    <t>정종현</t>
  </si>
  <si>
    <t>3333115533583</t>
  </si>
  <si>
    <t>jhjh0653@naver.com</t>
  </si>
  <si>
    <t>UQ0266</t>
  </si>
  <si>
    <t>880624-1124614</t>
  </si>
  <si>
    <t>오재용</t>
  </si>
  <si>
    <t>47380204079165</t>
  </si>
  <si>
    <t>foryou2210@gmail.com</t>
  </si>
  <si>
    <t>UQ0267</t>
  </si>
  <si>
    <t>930212-1675610</t>
  </si>
  <si>
    <t>차준영</t>
  </si>
  <si>
    <t>3333012955538</t>
  </si>
  <si>
    <t>cjy4616@naver.com</t>
  </si>
  <si>
    <t>UQ0268</t>
  </si>
  <si>
    <t>940519-2894913</t>
  </si>
  <si>
    <t>김아람</t>
  </si>
  <si>
    <t>3561467413753</t>
  </si>
  <si>
    <t>lovely2053@gmail.com</t>
  </si>
  <si>
    <t>UQ0269</t>
  </si>
  <si>
    <t>910830-2915011</t>
  </si>
  <si>
    <t>김현지</t>
  </si>
  <si>
    <t>230</t>
  </si>
  <si>
    <t>미래에셋증권</t>
  </si>
  <si>
    <t>010718558380</t>
  </si>
  <si>
    <t>hyeon9259@naver.com</t>
  </si>
  <si>
    <t>UQ0270</t>
  </si>
  <si>
    <t>000505-4674010</t>
  </si>
  <si>
    <t>오지원</t>
  </si>
  <si>
    <t>67630104246831</t>
  </si>
  <si>
    <t>dhwl3617@naver.com</t>
  </si>
  <si>
    <t>UQ0271</t>
  </si>
  <si>
    <t>010301-3676419</t>
  </si>
  <si>
    <t>안현석</t>
  </si>
  <si>
    <t>59970104344290</t>
  </si>
  <si>
    <t>mltr3017@naver.com</t>
  </si>
  <si>
    <t>UQ0272</t>
  </si>
  <si>
    <t>011018-3095513</t>
  </si>
  <si>
    <t>최지승</t>
  </si>
  <si>
    <t>55110101404634</t>
  </si>
  <si>
    <t>chlwltmd@gmail.com</t>
  </si>
  <si>
    <t>UQ0275</t>
  </si>
  <si>
    <t>910608-2953419</t>
  </si>
  <si>
    <t>강민아</t>
  </si>
  <si>
    <t>70340104220630</t>
  </si>
  <si>
    <t>kmina9177@naver.com</t>
  </si>
  <si>
    <t>UQ0276</t>
  </si>
  <si>
    <t>981201-2861933</t>
  </si>
  <si>
    <t>배선하</t>
  </si>
  <si>
    <t>25891007179907</t>
  </si>
  <si>
    <t>elinlowel@naver.com</t>
  </si>
  <si>
    <t>UQ0277</t>
  </si>
  <si>
    <t>980815-1830614</t>
  </si>
  <si>
    <t>정선광</t>
  </si>
  <si>
    <t>10311716201014</t>
  </si>
  <si>
    <t>wjdtjsrhkd10@gmail.com</t>
  </si>
  <si>
    <t>UQ0278</t>
  </si>
  <si>
    <t>910102-2095912</t>
  </si>
  <si>
    <t>황은영</t>
  </si>
  <si>
    <t>100018080716</t>
  </si>
  <si>
    <t>sssalfmls@naver.com</t>
  </si>
  <si>
    <t>UQ0279</t>
  </si>
  <si>
    <t>870812-1386517</t>
  </si>
  <si>
    <t>3120018270661</t>
  </si>
  <si>
    <t>miyazawa21@naver.com</t>
  </si>
  <si>
    <t>UQ0281</t>
  </si>
  <si>
    <t>721213-2121625</t>
  </si>
  <si>
    <t>1122038260905</t>
  </si>
  <si>
    <t>aldfk72@naver.com</t>
  </si>
  <si>
    <t>UQ0282</t>
  </si>
  <si>
    <t>681115-2114236</t>
  </si>
  <si>
    <t>양하진</t>
  </si>
  <si>
    <t>097020167391</t>
  </si>
  <si>
    <t>cdpull2@naver.com</t>
  </si>
  <si>
    <t>UQ0283</t>
  </si>
  <si>
    <t>950503-2686010</t>
  </si>
  <si>
    <t>김지은</t>
  </si>
  <si>
    <t>63490204204209</t>
  </si>
  <si>
    <t>bbbbbbyg@naver.com</t>
  </si>
  <si>
    <t>UQ0284</t>
  </si>
  <si>
    <t>880416-1683414</t>
  </si>
  <si>
    <t>강창모</t>
  </si>
  <si>
    <t>98095206465</t>
  </si>
  <si>
    <t>sorry11201@naver.com</t>
  </si>
  <si>
    <t>UQ0285</t>
  </si>
  <si>
    <t>960109-1118418</t>
  </si>
  <si>
    <t>1002159933146</t>
  </si>
  <si>
    <t>wwwkkm8072@naver.com</t>
  </si>
  <si>
    <t>UQ0286</t>
  </si>
  <si>
    <t>850815-2796116</t>
  </si>
  <si>
    <t>이진향</t>
  </si>
  <si>
    <t>95590201438698</t>
  </si>
  <si>
    <t>ljh2644@naver.com</t>
  </si>
  <si>
    <t>UQ0287</t>
  </si>
  <si>
    <t>990518-2692715</t>
  </si>
  <si>
    <t>박보라</t>
  </si>
  <si>
    <t>06813173232</t>
  </si>
  <si>
    <t>qhfk9063@naver.com</t>
  </si>
  <si>
    <t>UQ0288</t>
  </si>
  <si>
    <t>920824-1670119</t>
  </si>
  <si>
    <t>22313126042</t>
  </si>
  <si>
    <t>rlarudals898@naver.com</t>
  </si>
  <si>
    <t>UQ0289</t>
  </si>
  <si>
    <t>960104-2698417</t>
  </si>
  <si>
    <t>백경래</t>
  </si>
  <si>
    <t>3521816882553</t>
  </si>
  <si>
    <t>ft56@naver.com</t>
  </si>
  <si>
    <t>UQ0290</t>
  </si>
  <si>
    <t>900727-1692410</t>
  </si>
  <si>
    <t>서정우</t>
  </si>
  <si>
    <t>73820200175337</t>
  </si>
  <si>
    <t>gkc6345@naver.com</t>
  </si>
  <si>
    <t>UQ0291</t>
  </si>
  <si>
    <t>890517-1908214</t>
  </si>
  <si>
    <t>조형찬</t>
  </si>
  <si>
    <t>56760201168952</t>
  </si>
  <si>
    <t>chojja-nada@naver.com</t>
  </si>
  <si>
    <t>UQ0292</t>
  </si>
  <si>
    <t>970220-1121227</t>
  </si>
  <si>
    <t>박은광</t>
  </si>
  <si>
    <t>97900031201019</t>
  </si>
  <si>
    <t>38670krwogus@naver.com</t>
  </si>
  <si>
    <t>UQ0293</t>
  </si>
  <si>
    <t>961019-2912513</t>
  </si>
  <si>
    <t>김한솔</t>
  </si>
  <si>
    <t>3020564253041</t>
  </si>
  <si>
    <t>1340khs@naver.com</t>
  </si>
  <si>
    <t>UQ0294</t>
  </si>
  <si>
    <t>010921-3121227</t>
  </si>
  <si>
    <t>강동완</t>
  </si>
  <si>
    <t>100104722254</t>
  </si>
  <si>
    <t>0309atm@naver.com</t>
  </si>
  <si>
    <t>UQ0296</t>
  </si>
  <si>
    <t>980620-1678211</t>
  </si>
  <si>
    <t>임규진</t>
  </si>
  <si>
    <t>100008640282</t>
  </si>
  <si>
    <t>nm565620@naver.com</t>
  </si>
  <si>
    <t>UQ0297</t>
  </si>
  <si>
    <t>951222-1692513</t>
  </si>
  <si>
    <t>김칠규</t>
  </si>
  <si>
    <t>508117991414</t>
  </si>
  <si>
    <t>ppqq123123@naver.com</t>
  </si>
  <si>
    <t>UQ0298</t>
  </si>
  <si>
    <t>990616-1692224</t>
  </si>
  <si>
    <t>이윤대</t>
  </si>
  <si>
    <t>64200104321971</t>
  </si>
  <si>
    <t>dbseo6244@naver.com</t>
  </si>
  <si>
    <t>UQ0299</t>
  </si>
  <si>
    <t>970927-1124911</t>
  </si>
  <si>
    <t>이현건</t>
  </si>
  <si>
    <t>3021377617111</t>
  </si>
  <si>
    <t>byj6321@naver.com</t>
  </si>
  <si>
    <t>UQ0300</t>
  </si>
  <si>
    <t>990214-1852819</t>
  </si>
  <si>
    <t>이세현</t>
  </si>
  <si>
    <t>3010323739841</t>
  </si>
  <si>
    <t>leebh2010@naver.com</t>
  </si>
  <si>
    <t>UQ0301</t>
  </si>
  <si>
    <t>011127-4852512</t>
  </si>
  <si>
    <t>채혜원</t>
  </si>
  <si>
    <t>81512256198996</t>
  </si>
  <si>
    <t>c011270@naver.com</t>
  </si>
  <si>
    <t>UQ0302</t>
  </si>
  <si>
    <t>920527-1095227</t>
  </si>
  <si>
    <t>김우진</t>
  </si>
  <si>
    <t>99306639455</t>
  </si>
  <si>
    <t>uu2109@naver.com</t>
  </si>
  <si>
    <t>UQ0303</t>
  </si>
  <si>
    <t>001109-4853511</t>
  </si>
  <si>
    <t>정효진</t>
  </si>
  <si>
    <t>3333154051250</t>
  </si>
  <si>
    <t>suga0685@gmail.com</t>
  </si>
  <si>
    <t>UQ0304</t>
  </si>
  <si>
    <t>970910-5320027</t>
  </si>
  <si>
    <t>강명엽</t>
  </si>
  <si>
    <t>28240104365180</t>
  </si>
  <si>
    <t>kmeop@daum.net</t>
  </si>
  <si>
    <t>UQ0305</t>
  </si>
  <si>
    <t>850829-1695818</t>
  </si>
  <si>
    <t>이상우</t>
  </si>
  <si>
    <t>13713177967</t>
  </si>
  <si>
    <t>makewoomin@naver.com</t>
  </si>
  <si>
    <t>UQ0306</t>
  </si>
  <si>
    <t>961118-1678317</t>
  </si>
  <si>
    <t>정우민</t>
  </si>
  <si>
    <t>16580204274193</t>
  </si>
  <si>
    <t>cuarzo1119@gmail.com</t>
  </si>
  <si>
    <t>UQ0307</t>
  </si>
  <si>
    <t>960106-1721917</t>
  </si>
  <si>
    <t>백기선</t>
  </si>
  <si>
    <t>94030200072013</t>
  </si>
  <si>
    <t>giseon0531@gmail.com</t>
  </si>
  <si>
    <t>UQ0308</t>
  </si>
  <si>
    <t>910620-1216017</t>
  </si>
  <si>
    <t>강문모</t>
  </si>
  <si>
    <t>110472551612</t>
  </si>
  <si>
    <t>kmunmo@naver.com</t>
  </si>
  <si>
    <t>UQ0309</t>
  </si>
  <si>
    <t>911011-1808519</t>
  </si>
  <si>
    <t>권정혁</t>
  </si>
  <si>
    <t>91101118072</t>
  </si>
  <si>
    <t>touchpen@kakao.com</t>
  </si>
  <si>
    <t>UQ0310</t>
  </si>
  <si>
    <t>020704-3682611</t>
  </si>
  <si>
    <t>기영민</t>
  </si>
  <si>
    <t>59970104367846</t>
  </si>
  <si>
    <t>ki070400@naver.com</t>
  </si>
  <si>
    <t>UQ0311</t>
  </si>
  <si>
    <t>941127-1675215</t>
  </si>
  <si>
    <t>류대승</t>
  </si>
  <si>
    <t>57020201315246</t>
  </si>
  <si>
    <t>dbeotmd8@naver.com</t>
  </si>
  <si>
    <t>UQ0313</t>
  </si>
  <si>
    <t>020129-3683516</t>
  </si>
  <si>
    <t>최동영</t>
  </si>
  <si>
    <t>3333155094239</t>
  </si>
  <si>
    <t>endwnsdud42@naver.com</t>
  </si>
  <si>
    <t>UQ0314</t>
  </si>
  <si>
    <t>011218-4698317</t>
  </si>
  <si>
    <t>박하늘</t>
  </si>
  <si>
    <t>25513090273</t>
  </si>
  <si>
    <t>5755sky11@gmail.com</t>
  </si>
  <si>
    <t>UQ0315</t>
  </si>
  <si>
    <t>970503-2728214</t>
  </si>
  <si>
    <t>60800204283988</t>
  </si>
  <si>
    <t>sog2724@naver.com</t>
  </si>
  <si>
    <t>UQ0316</t>
  </si>
  <si>
    <t>881009-1096019</t>
  </si>
  <si>
    <t>박기영</t>
  </si>
  <si>
    <t>1002961124351</t>
  </si>
  <si>
    <t>hehehengwork@gmail.com</t>
  </si>
  <si>
    <t>UQ0317</t>
  </si>
  <si>
    <t>981217-1685918</t>
  </si>
  <si>
    <t>정민기</t>
  </si>
  <si>
    <t>94030200255087</t>
  </si>
  <si>
    <t>taeyeoncute1@naver.com</t>
  </si>
  <si>
    <t>UQ0318</t>
  </si>
  <si>
    <t>890622-1930511</t>
  </si>
  <si>
    <t>박윤기</t>
  </si>
  <si>
    <t>3021522845141</t>
  </si>
  <si>
    <t>lattegiants89@naver.com</t>
  </si>
  <si>
    <t>UQ0319</t>
  </si>
  <si>
    <t>940319-2850515</t>
  </si>
  <si>
    <t>김민주</t>
  </si>
  <si>
    <t>85500101633851</t>
  </si>
  <si>
    <t>youngki94@naver.com</t>
  </si>
  <si>
    <t>UQ0320</t>
  </si>
  <si>
    <t>010307-4345310</t>
  </si>
  <si>
    <t>신은지</t>
  </si>
  <si>
    <t>1122213082601</t>
  </si>
  <si>
    <t>lang12273421@gmail.com</t>
  </si>
  <si>
    <t>UQ0321</t>
  </si>
  <si>
    <t>010117-4114420</t>
  </si>
  <si>
    <t>노상미</t>
  </si>
  <si>
    <t>84660101465975</t>
  </si>
  <si>
    <t>hosangmi1515@gmail.com</t>
  </si>
  <si>
    <t>UQ0322</t>
  </si>
  <si>
    <t>000427-3697870</t>
  </si>
  <si>
    <t>김귀남</t>
  </si>
  <si>
    <t>3021327533511</t>
  </si>
  <si>
    <t>vexchoong@naver.com</t>
  </si>
  <si>
    <t>UQ0323</t>
  </si>
  <si>
    <t>001214-3823627</t>
  </si>
  <si>
    <t>남준형</t>
  </si>
  <si>
    <t>3333080439417</t>
  </si>
  <si>
    <t>wndgud703@naver.com</t>
  </si>
  <si>
    <t>UQ0324</t>
  </si>
  <si>
    <t>000302-3912711</t>
  </si>
  <si>
    <t>윤종혁</t>
  </si>
  <si>
    <t>93350200969841</t>
  </si>
  <si>
    <t>jonghyuck007@daum.net</t>
  </si>
  <si>
    <t>UQ0325</t>
  </si>
  <si>
    <t>980920-1065020</t>
  </si>
  <si>
    <t>민재원</t>
  </si>
  <si>
    <t>94030200237577</t>
  </si>
  <si>
    <t>mjw5323@naver.com</t>
  </si>
  <si>
    <t>UQ0326</t>
  </si>
  <si>
    <t>941225-1913514</t>
  </si>
  <si>
    <t>최원석</t>
  </si>
  <si>
    <t>66080104041505</t>
  </si>
  <si>
    <t>cwsjjlej@naver.com</t>
  </si>
  <si>
    <t>UQ0327</t>
  </si>
  <si>
    <t>930618-1683916</t>
  </si>
  <si>
    <t>전윤건</t>
  </si>
  <si>
    <t>60350204072349</t>
  </si>
  <si>
    <t>wjsdbsrjs123@naver.com</t>
  </si>
  <si>
    <t>UQ0328</t>
  </si>
  <si>
    <t>040720-3110117</t>
  </si>
  <si>
    <t>정한별</t>
  </si>
  <si>
    <t>3333231872704</t>
  </si>
  <si>
    <t>hanbyel076@gmail.com</t>
  </si>
  <si>
    <t>UQ0330</t>
  </si>
  <si>
    <t>920103-1874222</t>
  </si>
  <si>
    <t>김하영</t>
  </si>
  <si>
    <t>62420104431489</t>
  </si>
  <si>
    <t>chomakim@gmail.com</t>
  </si>
  <si>
    <t>UQ0331</t>
  </si>
  <si>
    <t>930927-2852533</t>
  </si>
  <si>
    <t>이동희</t>
  </si>
  <si>
    <t>55240101716219</t>
  </si>
  <si>
    <t>leedh927@naver.com</t>
  </si>
  <si>
    <t>UQ0332</t>
  </si>
  <si>
    <t>810302-1696718</t>
  </si>
  <si>
    <t>장민석</t>
  </si>
  <si>
    <t>625210368624</t>
  </si>
  <si>
    <t>haruharu81@naver.com</t>
  </si>
  <si>
    <t>UQ0335</t>
  </si>
  <si>
    <t>940505-1768711</t>
  </si>
  <si>
    <t>김유한</t>
  </si>
  <si>
    <t>41070104237110</t>
  </si>
  <si>
    <t>ansvlfqhd@naver.com</t>
  </si>
  <si>
    <t>UQ0336</t>
  </si>
  <si>
    <t>990810-2693314</t>
  </si>
  <si>
    <t>김연진</t>
  </si>
  <si>
    <t>508131415979</t>
  </si>
  <si>
    <t>yeounjin624@naver.com</t>
  </si>
  <si>
    <t>UQ0337</t>
  </si>
  <si>
    <t>941201-1127716</t>
  </si>
  <si>
    <t>서승현</t>
  </si>
  <si>
    <t>3021276987331</t>
  </si>
  <si>
    <t>have4811@naver.com</t>
  </si>
  <si>
    <t>UQ0338</t>
  </si>
  <si>
    <t>990208-1677727</t>
  </si>
  <si>
    <t>장정현</t>
  </si>
  <si>
    <t>94030200600335</t>
  </si>
  <si>
    <t>jjh55170@naver.com</t>
  </si>
  <si>
    <t>UQ0341</t>
  </si>
  <si>
    <t>961130-1748426</t>
  </si>
  <si>
    <t>김재현</t>
  </si>
  <si>
    <t>3333275528594</t>
  </si>
  <si>
    <t>turrjh9317@naver.com</t>
  </si>
  <si>
    <t>UQ0342</t>
  </si>
  <si>
    <t>940616-1841111</t>
  </si>
  <si>
    <t>서진우</t>
  </si>
  <si>
    <t>110400784270</t>
  </si>
  <si>
    <t>seo_jin94@naver.com</t>
  </si>
  <si>
    <t>UQ0343</t>
  </si>
  <si>
    <t>980502-1690811</t>
  </si>
  <si>
    <t>김도윤</t>
  </si>
  <si>
    <t>508129984047</t>
  </si>
  <si>
    <t>kingkdy98@naver.com</t>
  </si>
  <si>
    <t>UQ0345</t>
  </si>
  <si>
    <t>920731-1403513</t>
  </si>
  <si>
    <t>홍현우</t>
  </si>
  <si>
    <t>1002356190246</t>
  </si>
  <si>
    <t>gusdn5364@naver.com</t>
  </si>
  <si>
    <t>UQ0346</t>
  </si>
  <si>
    <t>970311-1155412</t>
  </si>
  <si>
    <t>최성우</t>
  </si>
  <si>
    <t>17015664201010</t>
  </si>
  <si>
    <t>kkzxcvb@naver.com</t>
  </si>
  <si>
    <t>UQ0347</t>
  </si>
  <si>
    <t>931129-1927220</t>
  </si>
  <si>
    <t>구성우</t>
  </si>
  <si>
    <t>110359455708</t>
  </si>
  <si>
    <t>tjddn4430@naver.com</t>
  </si>
  <si>
    <t>UQ0348</t>
  </si>
  <si>
    <t>930103-1058212</t>
  </si>
  <si>
    <t>3560177473603</t>
  </si>
  <si>
    <t>sketch620@naver.com</t>
  </si>
  <si>
    <t>UQ0349</t>
  </si>
  <si>
    <t>991126-1674712</t>
  </si>
  <si>
    <t>김원빈</t>
  </si>
  <si>
    <t>94030200465567</t>
  </si>
  <si>
    <t>khb828282@naver.com</t>
  </si>
  <si>
    <t>UQ0350</t>
  </si>
  <si>
    <t>901117-2902413</t>
  </si>
  <si>
    <t>3020734624131</t>
  </si>
  <si>
    <t>sd10212@naver.com</t>
  </si>
  <si>
    <t>UQ0351</t>
  </si>
  <si>
    <t>980128-1127718</t>
  </si>
  <si>
    <t>이도훈</t>
  </si>
  <si>
    <t>41604710501018</t>
  </si>
  <si>
    <t>dlehgns1233@naver.com</t>
  </si>
  <si>
    <t>UQ0352</t>
  </si>
  <si>
    <t>921025-1126611</t>
  </si>
  <si>
    <t>56050201890944</t>
  </si>
  <si>
    <t>qkrwnsdud144@naver.com</t>
  </si>
  <si>
    <t>UQ0353</t>
  </si>
  <si>
    <t>870901-1123023</t>
  </si>
  <si>
    <t>66820104272475</t>
  </si>
  <si>
    <t>wjgnsl1987@naver.com</t>
  </si>
  <si>
    <t>UQ0354</t>
  </si>
  <si>
    <t>950222-1120612</t>
  </si>
  <si>
    <t>최재웅</t>
  </si>
  <si>
    <t>049120911817</t>
  </si>
  <si>
    <t>bzy777@naver.com</t>
  </si>
  <si>
    <t>UQ0355</t>
  </si>
  <si>
    <t>860122-1124316</t>
  </si>
  <si>
    <t>남호성</t>
  </si>
  <si>
    <t>110450848041</t>
  </si>
  <si>
    <t>nhsblizzard@naver.com</t>
  </si>
  <si>
    <t>WF0000</t>
  </si>
  <si>
    <t>851002-1558611</t>
  </si>
  <si>
    <t>석건후</t>
  </si>
  <si>
    <t>77260101669982</t>
  </si>
  <si>
    <t>ckdtjqtjr@gmail.com</t>
  </si>
  <si>
    <t>WF0001</t>
  </si>
  <si>
    <t>850513-1462410</t>
  </si>
  <si>
    <t>강성길</t>
  </si>
  <si>
    <t>79750101403226</t>
  </si>
  <si>
    <t>blackksg01@naver.com</t>
  </si>
  <si>
    <t>WF0002</t>
  </si>
  <si>
    <t>940923-1644029</t>
  </si>
  <si>
    <t>김민국</t>
  </si>
  <si>
    <t>79750101403198</t>
  </si>
  <si>
    <t>alsrnr9995@gmail.com</t>
  </si>
  <si>
    <t>WF0003</t>
  </si>
  <si>
    <t>920830-1553518</t>
  </si>
  <si>
    <t>류상백</t>
  </si>
  <si>
    <t>21780204391827</t>
  </si>
  <si>
    <t>fbtkdqor@naver.com</t>
  </si>
  <si>
    <t>WF0004</t>
  </si>
  <si>
    <t>860613-1069011</t>
  </si>
  <si>
    <t>박진옥</t>
  </si>
  <si>
    <t>55860104323751</t>
  </si>
  <si>
    <t>koreab3@naver.com</t>
  </si>
  <si>
    <t>WF0005</t>
  </si>
  <si>
    <t>930406-1500412</t>
  </si>
  <si>
    <t>이종혁</t>
  </si>
  <si>
    <t>74210200087899</t>
  </si>
  <si>
    <t>whdgur1596@naver.com</t>
  </si>
  <si>
    <t>WF0006</t>
  </si>
  <si>
    <t>900410-1483312</t>
  </si>
  <si>
    <t>류재민</t>
  </si>
  <si>
    <t>33291027758407</t>
  </si>
  <si>
    <t>ppolop123@naver.com</t>
  </si>
  <si>
    <t>WF0007</t>
  </si>
  <si>
    <t>991016-2056915</t>
  </si>
  <si>
    <t>전유빈</t>
  </si>
  <si>
    <t>77130101779770</t>
  </si>
  <si>
    <t>dbqlsl375@naver.com</t>
  </si>
  <si>
    <t>WF0008</t>
  </si>
  <si>
    <t>951117-1552517</t>
  </si>
  <si>
    <t>유민환</t>
  </si>
  <si>
    <t>77130201499145</t>
  </si>
  <si>
    <t>hoho487@naver.com</t>
  </si>
  <si>
    <t>WF0009</t>
  </si>
  <si>
    <t>950627-1222229</t>
  </si>
  <si>
    <t>김영빈</t>
  </si>
  <si>
    <t>76610101472725</t>
  </si>
  <si>
    <t>rladudqls0821@naver.com</t>
  </si>
  <si>
    <t>WF0010</t>
  </si>
  <si>
    <t>970313-1559213</t>
  </si>
  <si>
    <t>진수빈</t>
  </si>
  <si>
    <t>77130201584021</t>
  </si>
  <si>
    <t>jsb2202@naver.com</t>
  </si>
  <si>
    <t>WF0011</t>
  </si>
  <si>
    <t>941207-1627925</t>
  </si>
  <si>
    <t>김용만</t>
  </si>
  <si>
    <t>77130101782505</t>
  </si>
  <si>
    <t>tmfflavosej8@naver.com</t>
  </si>
  <si>
    <t>WF0012</t>
  </si>
  <si>
    <t>940101-2668011</t>
  </si>
  <si>
    <t>고아윤</t>
  </si>
  <si>
    <t>77680201157176</t>
  </si>
  <si>
    <t>rhwlzz@gmail.com</t>
  </si>
  <si>
    <t>WF0013</t>
  </si>
  <si>
    <t>940209-1581210</t>
  </si>
  <si>
    <t>77130101784976</t>
  </si>
  <si>
    <t>rlaalstn752@naver.com</t>
  </si>
  <si>
    <t>WF0014</t>
  </si>
  <si>
    <t>970403-2562011</t>
  </si>
  <si>
    <t>곽진주</t>
  </si>
  <si>
    <t>91640201172937</t>
  </si>
  <si>
    <t>rhkrwlswn97@naver.com</t>
  </si>
  <si>
    <t>WF0015</t>
  </si>
  <si>
    <t>960504-2626513</t>
  </si>
  <si>
    <t>박민영</t>
  </si>
  <si>
    <t>55730204139345</t>
  </si>
  <si>
    <t>qkralsdud673@naver.com</t>
  </si>
  <si>
    <t>WF0016</t>
  </si>
  <si>
    <t>901024-1567919</t>
  </si>
  <si>
    <t>유근철</t>
  </si>
  <si>
    <t>74050200177097</t>
  </si>
  <si>
    <t>looksouler@naver.com</t>
  </si>
  <si>
    <t>WF0017</t>
  </si>
  <si>
    <t>881204-2580919</t>
  </si>
  <si>
    <t>김나래</t>
  </si>
  <si>
    <t>44790104147310</t>
  </si>
  <si>
    <t>bongnarae@naver.com</t>
  </si>
  <si>
    <t>WF0018</t>
  </si>
  <si>
    <t>940206-1850917</t>
  </si>
  <si>
    <t>박정민</t>
  </si>
  <si>
    <t>78940101738055</t>
  </si>
  <si>
    <t>ggo886@naver.com</t>
  </si>
  <si>
    <t>WF0019</t>
  </si>
  <si>
    <t>961104-2654817</t>
  </si>
  <si>
    <t>최이삭</t>
  </si>
  <si>
    <t>132097700454</t>
  </si>
  <si>
    <t>2sak1104@naver.com</t>
  </si>
  <si>
    <t>WF0020</t>
  </si>
  <si>
    <t>841217-1568210</t>
  </si>
  <si>
    <t>조용택</t>
  </si>
  <si>
    <t>58030104154976</t>
  </si>
  <si>
    <t>cytzzang3934@naver.com</t>
  </si>
  <si>
    <t>WF0021</t>
  </si>
  <si>
    <t>951224-2899112</t>
  </si>
  <si>
    <t>김다빈</t>
  </si>
  <si>
    <t>3561387555973</t>
  </si>
  <si>
    <t>kdb3237@naver.com</t>
  </si>
  <si>
    <t>WF0022</t>
  </si>
  <si>
    <t>951225-1020319</t>
  </si>
  <si>
    <t>신용석</t>
  </si>
  <si>
    <t>77130101740439</t>
  </si>
  <si>
    <t>dydtjr2559@naver.com</t>
  </si>
  <si>
    <t>WF0023</t>
  </si>
  <si>
    <t>950313-2155717</t>
  </si>
  <si>
    <t>고민희</t>
  </si>
  <si>
    <t>55730104341127</t>
  </si>
  <si>
    <t>kominhee95@naver.com</t>
  </si>
  <si>
    <t>WF0024</t>
  </si>
  <si>
    <t>000916-4019112</t>
  </si>
  <si>
    <t>전혜민</t>
  </si>
  <si>
    <t>3333136434076</t>
  </si>
  <si>
    <t>jeon6160@naver.com</t>
  </si>
  <si>
    <t>WF0025</t>
  </si>
  <si>
    <t>951231-1580510</t>
  </si>
  <si>
    <t>전민우</t>
  </si>
  <si>
    <t>98061934565</t>
  </si>
  <si>
    <t>a5742345@naver.com</t>
  </si>
  <si>
    <t>WF0026</t>
  </si>
  <si>
    <t>940503-1555315</t>
  </si>
  <si>
    <t>조성혁</t>
  </si>
  <si>
    <t>034</t>
  </si>
  <si>
    <t>광주은행</t>
  </si>
  <si>
    <t>179107030113</t>
  </si>
  <si>
    <t>mark6485@naver.com</t>
  </si>
  <si>
    <t>WF0027</t>
  </si>
  <si>
    <t>931004-1624214</t>
  </si>
  <si>
    <t>정성재</t>
  </si>
  <si>
    <t>77130101594492</t>
  </si>
  <si>
    <t>WF0028</t>
  </si>
  <si>
    <t>970213-2005810</t>
  </si>
  <si>
    <t>78940201463965</t>
  </si>
  <si>
    <t>eksqkfrkek@naver.com</t>
  </si>
  <si>
    <t>WF0029</t>
  </si>
  <si>
    <t>931122-1471238</t>
  </si>
  <si>
    <t>선보민</t>
  </si>
  <si>
    <t>3333049094573</t>
  </si>
  <si>
    <t>micky7394@naver.com</t>
  </si>
  <si>
    <t>WF0030</t>
  </si>
  <si>
    <t>931126-1559012</t>
  </si>
  <si>
    <t>장진우</t>
  </si>
  <si>
    <t>58030104400264</t>
  </si>
  <si>
    <t>ghfaosqneo@naver.com</t>
  </si>
  <si>
    <t>WF0031</t>
  </si>
  <si>
    <t>991117-2580615</t>
  </si>
  <si>
    <t>정다인</t>
  </si>
  <si>
    <t>77130101802188</t>
  </si>
  <si>
    <t>dnaldald@naver.com</t>
  </si>
  <si>
    <t>WF0032</t>
  </si>
  <si>
    <t>011017-4641422</t>
  </si>
  <si>
    <t>최유정</t>
  </si>
  <si>
    <t>77130201592710</t>
  </si>
  <si>
    <t>tkdydwk483@naver.com</t>
  </si>
  <si>
    <t>WF0033</t>
  </si>
  <si>
    <t>991204-2574510</t>
  </si>
  <si>
    <t>서민서</t>
  </si>
  <si>
    <t>55990104378952</t>
  </si>
  <si>
    <t>sms3776@naver.com</t>
  </si>
  <si>
    <t>WF0034</t>
  </si>
  <si>
    <t>010120-4561425</t>
  </si>
  <si>
    <t>정혜인</t>
  </si>
  <si>
    <t>77420101477439</t>
  </si>
  <si>
    <t>jjc6033@naver.com</t>
  </si>
  <si>
    <t>WF0035</t>
  </si>
  <si>
    <t>970605-2647919</t>
  </si>
  <si>
    <t>윤지현</t>
  </si>
  <si>
    <t>77130101783429</t>
  </si>
  <si>
    <t>dbswlgus65@naver.com</t>
  </si>
  <si>
    <t>WF0036</t>
  </si>
  <si>
    <t>980323-1555312</t>
  </si>
  <si>
    <t>이성연</t>
  </si>
  <si>
    <t>94450200256875</t>
  </si>
  <si>
    <t>sungyeon9473@naver.com</t>
  </si>
  <si>
    <t>WF0037</t>
  </si>
  <si>
    <t>970504-2562011</t>
  </si>
  <si>
    <t>김지우</t>
  </si>
  <si>
    <t>3022288707461</t>
  </si>
  <si>
    <t>lllllove4@naver.com</t>
  </si>
  <si>
    <t>WF0038</t>
  </si>
  <si>
    <t>980725-1561214</t>
  </si>
  <si>
    <t>민요한</t>
  </si>
  <si>
    <t>77260101723932</t>
  </si>
  <si>
    <t>alsdy2ks123@naver.com</t>
  </si>
  <si>
    <t>frid</t>
  </si>
  <si>
    <t>complete_signups</t>
  </si>
  <si>
    <t>complete_amount</t>
  </si>
  <si>
    <t>commission</t>
  </si>
  <si>
    <t>override</t>
  </si>
  <si>
    <t>training_fee</t>
  </si>
  <si>
    <t>unsettled_amount</t>
  </si>
  <si>
    <t>monthly_bonus</t>
  </si>
  <si>
    <t>salary</t>
  </si>
  <si>
    <t>tax</t>
  </si>
  <si>
    <t>net_salary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</si>
</sst>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₩&quot;#,##0;[Red]\-&quot;₩&quot;#,##0"/>
    <numFmt numFmtId="176" formatCode="&quot;₩&quot;#,##0"/>
    <numFmt numFmtId="177" formatCode="yyyy/mm/dd\ aaa"/>
    <numFmt numFmtId="178" formatCode="h:mm;@"/>
    <numFmt numFmtId="179" formatCode="&quot;₩&quot;#,##0_);[Red]\(&quot;₩&quot;#,##0\)"/>
    <numFmt numFmtId="180" formatCode="#,##0_ "/>
    <numFmt numFmtId="181" formatCode="0_);[Red]\(0\)"/>
    <numFmt numFmtId="182" formatCode="&quot;₩&quot;#,##0;[Red]\-&quot;₩&quot;#,##0;"/>
    <numFmt numFmtId="183" formatCode="#&quot; 건&quot;;#&quot; 건&quot;;&quot;0 건&quot;"/>
    <numFmt numFmtId="184" formatCode="&quot;₩&quot;#,##0.00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8"/>
      <name val="맑은 고딕"/>
      <family val="2"/>
      <scheme val="minor"/>
    </font>
    <font>
      <b/>
      <sz val="11"/>
      <name val="Arial"/>
      <family val="2"/>
    </font>
    <font>
      <sz val="8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i/>
      <sz val="10"/>
      <color rgb="FFFF0000"/>
      <name val="굴림"/>
      <family val="3"/>
      <charset val="129"/>
    </font>
    <font>
      <sz val="10"/>
      <name val="굴림"/>
      <family val="3"/>
      <charset val="129"/>
    </font>
    <font>
      <sz val="10"/>
      <color theme="1"/>
      <name val="맑은 고딕"/>
      <family val="3"/>
      <charset val="129"/>
      <scheme val="major"/>
    </font>
    <font>
      <sz val="10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9" fontId="12" fillId="0" borderId="0" applyFont="0" applyFill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0" fontId="0" fillId="2" borderId="0" xfId="0" applyFill="1" applyAlignment="1"/>
    <xf numFmtId="176" fontId="0" fillId="2" borderId="0" xfId="0" applyNumberFormat="1" applyFill="1" applyAlignment="1"/>
    <xf numFmtId="176" fontId="0" fillId="0" borderId="0" xfId="0" applyNumberFormat="1">
      <alignment vertical="center"/>
    </xf>
    <xf numFmtId="14" fontId="0" fillId="0" borderId="0" xfId="0" applyNumberFormat="1">
      <alignment vertical="center"/>
    </xf>
    <xf numFmtId="49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2" borderId="0" xfId="0" applyFill="1">
      <alignment vertical="center"/>
    </xf>
    <xf numFmtId="179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3" borderId="0" xfId="0" applyFill="1">
      <alignment vertical="center"/>
    </xf>
    <xf numFmtId="177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180" fontId="0" fillId="0" borderId="0" xfId="0" applyNumberFormat="1">
      <alignment vertical="center"/>
    </xf>
    <xf numFmtId="181" fontId="7" fillId="0" borderId="0" xfId="2" applyNumberFormat="1" applyFont="1">
      <alignment vertical="center"/>
    </xf>
    <xf numFmtId="0" fontId="9" fillId="0" borderId="0" xfId="2" applyFont="1">
      <alignment vertical="center"/>
    </xf>
    <xf numFmtId="6" fontId="7" fillId="0" borderId="0" xfId="2" applyNumberFormat="1" applyFont="1">
      <alignment vertical="center"/>
    </xf>
    <xf numFmtId="6" fontId="10" fillId="0" borderId="0" xfId="2" applyNumberFormat="1" applyFont="1">
      <alignment vertical="center"/>
    </xf>
    <xf numFmtId="0" fontId="10" fillId="0" borderId="0" xfId="2" applyFont="1">
      <alignment vertical="center"/>
    </xf>
    <xf numFmtId="176" fontId="0" fillId="2" borderId="0" xfId="0" applyNumberFormat="1" applyFill="1">
      <alignment vertical="center"/>
    </xf>
    <xf numFmtId="9" fontId="0" fillId="2" borderId="0" xfId="0" applyNumberFormat="1" applyFill="1">
      <alignment vertic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>
      <alignment vertical="center"/>
    </xf>
    <xf numFmtId="183" fontId="0" fillId="0" borderId="0" xfId="0" applyNumberFormat="1" applyAlignment="1">
      <alignment horizontal="left" vertical="center"/>
    </xf>
    <xf numFmtId="176" fontId="0" fillId="2" borderId="1" xfId="0" applyNumberFormat="1" applyFill="1" applyBorder="1" applyAlignment="1">
      <alignment horizontal="center" vertical="center"/>
    </xf>
    <xf numFmtId="6" fontId="0" fillId="0" borderId="0" xfId="0" applyNumberFormat="1">
      <alignment vertical="center"/>
    </xf>
    <xf numFmtId="6" fontId="13" fillId="0" borderId="0" xfId="2" applyNumberFormat="1" applyFont="1">
      <alignment vertical="center"/>
    </xf>
    <xf numFmtId="182" fontId="0" fillId="0" borderId="0" xfId="0" applyNumberFormat="1">
      <alignment vertical="center"/>
    </xf>
    <xf numFmtId="177" fontId="0" fillId="4" borderId="2" xfId="0" applyNumberForma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8" fontId="0" fillId="4" borderId="2" xfId="0" applyNumberFormat="1" applyFill="1" applyBorder="1" applyAlignment="1">
      <alignment horizontal="center" vertical="center"/>
    </xf>
    <xf numFmtId="176" fontId="0" fillId="4" borderId="2" xfId="0" applyNumberFormat="1" applyFill="1" applyBorder="1" applyAlignment="1">
      <alignment horizontal="center" vertical="center"/>
    </xf>
    <xf numFmtId="0" fontId="11" fillId="0" borderId="0" xfId="0" applyFont="1">
      <alignment vertical="center"/>
    </xf>
    <xf numFmtId="177" fontId="0" fillId="5" borderId="2" xfId="0" applyNumberForma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178" fontId="0" fillId="5" borderId="2" xfId="0" applyNumberFormat="1" applyFill="1" applyBorder="1" applyAlignment="1">
      <alignment horizontal="center" vertical="center"/>
    </xf>
    <xf numFmtId="179" fontId="0" fillId="5" borderId="2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0" fontId="0" fillId="6" borderId="0" xfId="0" applyFill="1">
      <alignment vertical="center"/>
    </xf>
    <xf numFmtId="49" fontId="0" fillId="6" borderId="0" xfId="0" applyNumberFormat="1" applyFill="1">
      <alignment vertical="center"/>
    </xf>
    <xf numFmtId="0" fontId="11" fillId="0" borderId="0" xfId="0" applyFont="1" applyAlignment="1">
      <alignment horizontal="center" vertical="center"/>
    </xf>
    <xf numFmtId="0" fontId="7" fillId="0" borderId="0" xfId="2" applyFont="1">
      <alignment vertical="center"/>
    </xf>
    <xf numFmtId="0" fontId="8" fillId="0" borderId="0" xfId="2" applyFont="1" applyAlignment="1">
      <alignment horizontal="right" vertical="center"/>
    </xf>
    <xf numFmtId="184" fontId="0" fillId="0" borderId="0" xfId="0" applyNumberFormat="1">
      <alignment vertical="center"/>
    </xf>
    <xf numFmtId="0" fontId="3" fillId="0" borderId="0" xfId="1" applyFont="1" applyAlignment="1">
      <alignment horizontal="center" vertical="center"/>
    </xf>
    <xf numFmtId="49" fontId="3" fillId="0" borderId="0" xfId="1" applyNumberFormat="1" applyFont="1" applyAlignment="1">
      <alignment horizontal="center" vertical="center"/>
    </xf>
    <xf numFmtId="0" fontId="14" fillId="0" borderId="0" xfId="1" applyFont="1" applyAlignment="1">
      <alignment horizontal="left" vertical="center"/>
    </xf>
    <xf numFmtId="0" fontId="10" fillId="0" borderId="0" xfId="1" applyFont="1" applyAlignment="1">
      <alignment horizontal="left" vertical="center"/>
    </xf>
    <xf numFmtId="49" fontId="14" fillId="0" borderId="0" xfId="1" applyNumberFormat="1" applyFont="1" applyAlignment="1">
      <alignment horizontal="left" vertical="center"/>
    </xf>
    <xf numFmtId="0" fontId="0" fillId="0" borderId="1" xfId="0" applyBorder="1">
      <alignment vertical="center"/>
    </xf>
    <xf numFmtId="0" fontId="0" fillId="7" borderId="1" xfId="0" applyFill="1" applyBorder="1">
      <alignment vertical="center"/>
    </xf>
    <xf numFmtId="0" fontId="0" fillId="0" borderId="3" xfId="0" applyBorder="1">
      <alignment vertical="center"/>
    </xf>
    <xf numFmtId="176" fontId="0" fillId="0" borderId="6" xfId="0" applyNumberFormat="1" applyBorder="1">
      <alignment vertical="center"/>
    </xf>
    <xf numFmtId="176" fontId="0" fillId="0" borderId="7" xfId="0" applyNumberFormat="1" applyBorder="1">
      <alignment vertical="center"/>
    </xf>
    <xf numFmtId="179" fontId="0" fillId="0" borderId="4" xfId="0" applyNumberFormat="1" applyBorder="1" applyAlignment="1">
      <alignment horizontal="right" vertical="center"/>
    </xf>
    <xf numFmtId="9" fontId="0" fillId="0" borderId="4" xfId="3" applyFon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176" fontId="11" fillId="0" borderId="0" xfId="0" applyNumberFormat="1" applyFont="1" applyAlignment="1">
      <alignment horizontal="right" vertical="center"/>
    </xf>
    <xf numFmtId="177" fontId="5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2" fontId="0" fillId="0" borderId="0" xfId="0" applyNumberFormat="1" applyAlignment="1">
      <alignment horizontal="right" vertical="center"/>
    </xf>
    <xf numFmtId="9" fontId="0" fillId="0" borderId="0" xfId="3" applyFont="1" applyAlignment="1">
      <alignment horizontal="right" vertical="center" indent="1"/>
    </xf>
    <xf numFmtId="179" fontId="0" fillId="0" borderId="0" xfId="0" applyNumberFormat="1" applyAlignment="1">
      <alignment horizontal="right" vertical="center" indent="1"/>
    </xf>
  </cellXfs>
  <cellStyles count="4">
    <cellStyle name="백분율" xfId="3" builtinId="5"/>
    <cellStyle name="표준" xfId="0" builtinId="0"/>
    <cellStyle name="표준 2" xfId="1" xr:uid="{7C096069-A3DB-42D4-8BCF-4CE1978184D1}"/>
    <cellStyle name="표준 3" xfId="2" xr:uid="{409B7F1C-4C7A-4F80-B329-14350E446E7A}"/>
  </cellStyles>
  <dxfs count="58">
    <dxf>
      <numFmt numFmtId="176" formatCode="&quot;₩&quot;#,##0"/>
    </dxf>
    <dxf>
      <fill>
        <patternFill patternType="solid">
          <fgColor indexed="64"/>
          <bgColor theme="8" tint="0.79998168889431442"/>
        </patternFill>
      </fill>
    </dxf>
    <dxf>
      <numFmt numFmtId="176" formatCode="&quot;₩&quot;#,##0"/>
    </dxf>
    <dxf>
      <numFmt numFmtId="13" formatCode="0%"/>
    </dxf>
    <dxf>
      <numFmt numFmtId="176" formatCode="&quot;₩&quot;#,##0"/>
    </dxf>
    <dxf>
      <numFmt numFmtId="176" formatCode="&quot;₩&quot;#,##0"/>
    </dxf>
    <dxf>
      <numFmt numFmtId="13" formatCode="0%"/>
    </dxf>
    <dxf>
      <numFmt numFmtId="176" formatCode="&quot;₩&quot;#,##0"/>
    </dxf>
    <dxf>
      <numFmt numFmtId="176" formatCode="&quot;₩&quot;#,##0"/>
    </dxf>
    <dxf>
      <numFmt numFmtId="176" formatCode="&quot;₩&quot;#,##0"/>
      <fill>
        <patternFill patternType="solid">
          <fgColor indexed="64"/>
          <bgColor theme="8" tint="0.79998168889431442"/>
        </patternFill>
      </fill>
    </dxf>
    <dxf>
      <numFmt numFmtId="30" formatCode="@"/>
    </dxf>
    <dxf>
      <fill>
        <patternFill patternType="solid">
          <fgColor indexed="64"/>
          <bgColor theme="4" tint="0.79998168889431442"/>
        </patternFill>
      </fill>
    </dxf>
    <dxf>
      <numFmt numFmtId="176" formatCode="&quot;₩&quot;#,##0"/>
    </dxf>
    <dxf>
      <numFmt numFmtId="176" formatCode="&quot;₩&quot;#,##0"/>
    </dxf>
    <dxf>
      <fill>
        <patternFill patternType="solid">
          <fgColor indexed="64"/>
          <bgColor theme="8" tint="0.79998168889431442"/>
        </patternFill>
      </fill>
      <alignment horizontal="general" vertical="bottom" textRotation="0" wrapText="0" indent="0" justifyLastLine="0" shrinkToFit="0" readingOrder="0"/>
    </dxf>
    <dxf>
      <numFmt numFmtId="176" formatCode="&quot;₩&quot;#,##0"/>
    </dxf>
    <dxf>
      <fill>
        <patternFill patternType="solid">
          <fgColor indexed="64"/>
          <bgColor theme="8" tint="0.79998168889431442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돋움"/>
        <family val="3"/>
        <charset val="129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돋움"/>
        <family val="3"/>
        <charset val="129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돋움"/>
        <family val="3"/>
        <charset val="129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ill>
        <patternFill>
          <bgColor rgb="FFFF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-0.24994659260841701"/>
        </patternFill>
      </fill>
    </dxf>
    <dxf>
      <fill>
        <patternFill>
          <bgColor rgb="FFFFABAB"/>
        </patternFill>
      </fill>
    </dxf>
    <dxf>
      <fill>
        <patternFill>
          <bgColor rgb="FF92D050"/>
        </patternFill>
      </fill>
    </dxf>
    <dxf>
      <fill>
        <patternFill>
          <bgColor rgb="FFD0EBB3"/>
        </patternFill>
      </fill>
    </dxf>
    <dxf>
      <fill>
        <patternFill>
          <bgColor rgb="FFC9A4E4"/>
        </patternFill>
      </fill>
    </dxf>
    <dxf>
      <fill>
        <patternFill>
          <bgColor rgb="FFFFED9F"/>
        </patternFill>
      </fill>
    </dxf>
    <dxf>
      <fill>
        <patternFill>
          <bgColor rgb="FF71C2FF"/>
        </patternFill>
      </fill>
    </dxf>
    <dxf>
      <fill>
        <patternFill>
          <bgColor rgb="FFBABABA"/>
        </patternFill>
      </fill>
    </dxf>
    <dxf>
      <fill>
        <patternFill>
          <bgColor rgb="FFFEF9E7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rgb="FFFFABAB"/>
        </patternFill>
      </fill>
    </dxf>
    <dxf>
      <fill>
        <patternFill>
          <bgColor rgb="FF92D050"/>
        </patternFill>
      </fill>
    </dxf>
    <dxf>
      <fill>
        <patternFill>
          <bgColor rgb="FFD0EBB3"/>
        </patternFill>
      </fill>
    </dxf>
    <dxf>
      <fill>
        <patternFill>
          <bgColor rgb="FFC9A4E4"/>
        </patternFill>
      </fill>
    </dxf>
    <dxf>
      <fill>
        <patternFill>
          <bgColor rgb="FFFFED9F"/>
        </patternFill>
      </fill>
    </dxf>
    <dxf>
      <fill>
        <patternFill>
          <bgColor rgb="FF71C2FF"/>
        </patternFill>
      </fill>
    </dxf>
    <dxf>
      <fill>
        <patternFill>
          <bgColor rgb="FFBABABA"/>
        </patternFill>
      </fill>
    </dxf>
    <dxf>
      <fill>
        <patternFill>
          <bgColor rgb="FFFEF9E7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</dxfs>
  <tableStyles count="0" defaultTableStyle="TableStyleMedium2" defaultPivotStyle="PivotStyleLight16"/>
  <colors>
    <mruColors>
      <color rgb="FFFEF9E7"/>
      <color rgb="FFDDEBF7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06/relationships/rdRichValue" Target="richData/rdrichvalue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530823-EEEE-4BD6-8D04-A14C50547544}" name="settlement_att" displayName="settlement_att" ref="A4:D36" totalsRowShown="0" headerRowDxfId="57">
  <autoFilter ref="A4:D36" xr:uid="{24530823-EEEE-4BD6-8D04-A14C50547544}"/>
  <tableColumns count="4">
    <tableColumn id="1" xr3:uid="{C54B0AB5-12E3-4211-AC4E-DC68F73F38B7}" name="FLID"/>
    <tableColumn id="2" xr3:uid="{ACE1479C-8F81-452D-AB71-68944BF18725}" name="FRID"/>
    <tableColumn id="3" xr3:uid="{1DDF22F6-1442-4898-BFBD-9B3AC91D2445}" name="FRName"/>
    <tableColumn id="4" xr3:uid="{C59BCD9A-0A58-41D6-896A-31C507BC11D5}" name="FRPosition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7578B74-2BB1-407E-A0EB-5D508073DA2C}" name="firstday_att" displayName="firstday_att" ref="H4:K38" totalsRowShown="0" headerRowDxfId="56">
  <autoFilter ref="H4:K38" xr:uid="{E7578B74-2BB1-407E-A0EB-5D508073DA2C}"/>
  <tableColumns count="4">
    <tableColumn id="1" xr3:uid="{6E93DA15-CD83-47EC-8B14-59D13CADEE9F}" name="FLID"/>
    <tableColumn id="2" xr3:uid="{374334C7-79B4-4783-B042-78BB0E4AD511}" name="FRID"/>
    <tableColumn id="3" xr3:uid="{B3C10080-521F-42B3-97AF-AD9B71B6E27A}" name="FRName"/>
    <tableColumn id="4" xr3:uid="{7AF2DCCA-5F26-4D56-9412-066A11B21FD4}" name="FRPosition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B26C0A-83CC-4ED5-89A5-C6C53DA32231}" name="member_table" displayName="member_table" ref="A1:H953" totalsRowShown="0" headerRowDxfId="25" headerRowCellStyle="표준 2">
  <autoFilter ref="A1:H953" xr:uid="{1EB26C0A-83CC-4ED5-89A5-C6C53DA32231}"/>
  <tableColumns count="8">
    <tableColumn id="1" xr3:uid="{07EBF113-7474-441C-AF25-3101AD888187}" name="사원번호" dataDxfId="24" dataCellStyle="표준 2"/>
    <tableColumn id="2" xr3:uid="{58230783-33AA-4F4A-8864-F443C157BB9B}" name="주민등록번호" dataDxfId="23" dataCellStyle="표준 2"/>
    <tableColumn id="3" xr3:uid="{429F1EDA-98CB-476C-B9A2-4B0AC7B9233A}" name="성명" dataDxfId="22" dataCellStyle="표준 2"/>
    <tableColumn id="4" xr3:uid="{0A14696D-5CC5-4FF7-B14F-1A1C4CE3B560}" name="급여통장 은행코드" dataDxfId="21" dataCellStyle="표준 2"/>
    <tableColumn id="5" xr3:uid="{D945EF4E-D723-48C3-85AF-BA2BE2BCDCDE}" name="급여통장 은행명" dataDxfId="20" dataCellStyle="표준 2"/>
    <tableColumn id="6" xr3:uid="{76B82E81-EFAC-4D1C-B15F-8300935457B2}" name="계좌번호" dataDxfId="19" dataCellStyle="표준 2"/>
    <tableColumn id="7" xr3:uid="{34BB1639-ABA5-457A-A7E4-3EF7F82B8E69}" name="예금주" dataDxfId="18" dataCellStyle="표준 2"/>
    <tableColumn id="8" xr3:uid="{0BE6BADB-3739-4057-A3D9-4EDF3FAA2428}" name="Email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2FA066-D7A9-4D35-A685-1150AC83F1FF}" name="unsettled_table" displayName="unsettled_table" ref="A1:D3" totalsRowShown="0" headerRowDxfId="16">
  <autoFilter ref="A1:D3" xr:uid="{FA2FA066-D7A9-4D35-A685-1150AC83F1FF}"/>
  <tableColumns count="4">
    <tableColumn id="1" xr3:uid="{F0EC38FE-0390-4DB5-9D8A-DE139BBDD867}" name="FRID"/>
    <tableColumn id="2" xr3:uid="{4AFDAA98-2063-470E-8873-55833E2278A3}" name="FRName"/>
    <tableColumn id="3" xr3:uid="{8264501B-BC01-499A-8F40-14831CC47F6A}" name="Unsettled_Salary" dataDxfId="15"/>
    <tableColumn id="4" xr3:uid="{47D0859E-182C-4BE9-B6CB-3F65E98FDBB6}" name="Memo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F7D3206-E3D9-46AA-9FA7-A2F7BD518704}" name="training_fee_table" displayName="training_fee_table" ref="A1:D3" totalsRowShown="0" headerRowDxfId="14">
  <autoFilter ref="A1:D3" xr:uid="{3F7D3206-E3D9-46AA-9FA7-A2F7BD518704}"/>
  <tableColumns count="4">
    <tableColumn id="1" xr3:uid="{EC0CD3C4-E6A5-4661-AC4B-90496D22A54D}" name="frid"/>
    <tableColumn id="2" xr3:uid="{734A9BE1-6BE0-4C2C-92A1-2D96FE88C436}" name="frname"/>
    <tableColumn id="3" xr3:uid="{9710D7F3-254F-4490-A614-D5431CDAEC5F}" name="days"/>
    <tableColumn id="4" xr3:uid="{7BD7A9D3-04AA-4A5B-9A50-960A7217CF15}" name="fee" dataDxfId="13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5F7925F-8283-4AF5-8F2D-202D884A09DB}" name="bonus_table" displayName="bonus_table" ref="A1:D3" totalsRowShown="0">
  <autoFilter ref="A1:D3" xr:uid="{65F7925F-8283-4AF5-8F2D-202D884A09DB}"/>
  <tableColumns count="4">
    <tableColumn id="1" xr3:uid="{629A8DF6-B644-4DF8-B3DA-C3D1EA5FC0A1}" name="frid"/>
    <tableColumn id="2" xr3:uid="{2F6818D1-5B48-4534-A038-7A426420A3BE}" name="frname"/>
    <tableColumn id="3" xr3:uid="{562F3C74-5F66-4027-B6F3-B0E3376A8B95}" name="bonus" dataDxfId="12"/>
    <tableColumn id="4" xr3:uid="{AB5301E4-3F46-4B0A-B2E8-176B825D1366}" name="memo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07AA36-204E-48D9-BAE3-E958AC3899C6}" name="data_table" displayName="data_table" ref="A1:Q3" totalsRowShown="0" headerRowDxfId="11">
  <autoFilter ref="A1:Q3" xr:uid="{8307AA36-204E-48D9-BAE3-E958AC3899C6}"/>
  <tableColumns count="17">
    <tableColumn id="1" xr3:uid="{02CEF302-062F-429D-B99C-5F283E5602C7}" name="일자"/>
    <tableColumn id="2" xr3:uid="{D15103B8-0354-4DBB-A1F9-BD18D893CCDC}" name="시리얼"/>
    <tableColumn id="3" xr3:uid="{DE4A57D8-AEB2-4975-926D-C9A4BBA0FFA1}" name="사이트"/>
    <tableColumn id="4" xr3:uid="{F10C74BD-EC5B-4779-827E-5C3DCA728A2F}" name="시간"/>
    <tableColumn id="5" xr3:uid="{E067CC89-12EB-4D49-B644-B96D069097F8}" name="기관"/>
    <tableColumn id="6" xr3:uid="{44568A55-9F9D-4847-A6FE-142193858700}" name="나이"/>
    <tableColumn id="7" xr3:uid="{0E5BE100-7C50-4BCC-837E-169857E67BA4}" name="등록상태"/>
    <tableColumn id="8" xr3:uid="{DD1E7CF0-8BED-495D-9ED0-3645FE39A3A2}" name="등록약정액"/>
    <tableColumn id="9" xr3:uid="{28AD44C5-58B8-424E-BA63-524EE138CA7A}" name="출금상태"/>
    <tableColumn id="10" xr3:uid="{E0C4DB23-145B-458E-B7E3-F274F46F6A82}" name="출금액"/>
    <tableColumn id="11" xr3:uid="{3A351063-42EA-42CE-82F6-376BAF19D093}" name="정산급여"/>
    <tableColumn id="12" xr3:uid="{4992A551-7B8F-4B6C-92DE-222CD53D79FC}" name="직책"/>
    <tableColumn id="13" xr3:uid="{3DB01FF2-0894-4044-BF59-1D7DAD0F4807}" name="FRID"/>
    <tableColumn id="14" xr3:uid="{74D12459-DADA-45BD-BF9D-CF5C183D3A38}" name="FRName"/>
    <tableColumn id="15" xr3:uid="{0BBC3C41-6016-413E-99F1-1D165BB1A3AB}" name="treecode"/>
    <tableColumn id="16" xr3:uid="{E9B09C8F-8D01-4CCA-BC8D-C38A7C3EB4E2}" name="salarymonth" dataDxfId="10"/>
    <tableColumn id="17" xr3:uid="{88F4B1D9-3436-4029-83F6-16C6FAB5961D}" name="rate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DF82E3-A0DD-404F-BD2E-A4F60C70FFA5}" name="override_table" displayName="override_table" ref="A1:J3" totalsRowShown="0" headerRowDxfId="9">
  <autoFilter ref="A1:J3" xr:uid="{6FDF82E3-A0DD-404F-BD2E-A4F60C70FFA5}"/>
  <tableColumns count="10">
    <tableColumn id="1" xr3:uid="{E832856E-AD6E-480D-AFB5-C85BD598DCDA}" name="FRID"/>
    <tableColumn id="2" xr3:uid="{94ACA8FA-E7A7-434B-B5B6-3FCEF331E015}" name="FRName"/>
    <tableColumn id="3" xr3:uid="{90B986B9-DBA5-4574-AEF8-A274223B3A5B}" name="Position"/>
    <tableColumn id="4" xr3:uid="{DD02ACC0-E3EE-46E6-906D-17DECC3A33EF}" name="팀인정월급액" dataDxfId="8"/>
    <tableColumn id="5" xr3:uid="{7B33F0FA-9CAF-4620-AD15-C2DB53741C0D}" name="전월모금액" dataDxfId="7"/>
    <tableColumn id="6" xr3:uid="{2B6A726B-0CEE-4D8C-97D6-C87432DD0051}" name="비율" dataDxfId="6"/>
    <tableColumn id="7" xr3:uid="{6845EC25-B947-4F2F-87F0-9DE5F1B73188}" name="인정override" dataDxfId="5"/>
    <tableColumn id="8" xr3:uid="{A09825AF-9B5F-42E4-9A47-D708270F41C6}" name="정산override" dataDxfId="4"/>
    <tableColumn id="9" xr3:uid="{027BB63D-AAAE-4276-987E-177AA1BF300D}" name="rate" dataDxfId="3"/>
    <tableColumn id="10" xr3:uid="{C5052662-B2D4-4D90-BB33-B2323A4AE38C}" name="최종override" dataDxfId="2">
      <calculatedColumnFormula>override_table[[#This Row],[정산override]]*override_table[[#This Row],[rate]]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B50182-0CD6-42F4-A981-62F4F148E7C6}" name="down_override_table" displayName="down_override_table" ref="L1:N3" totalsRowShown="0" headerRowDxfId="1">
  <autoFilter ref="L1:N3" xr:uid="{4BB50182-0CD6-42F4-A981-62F4F148E7C6}"/>
  <tableColumns count="3">
    <tableColumn id="1" xr3:uid="{0A7BE3EE-AF60-4E2C-947B-886784EA1EBC}" name="FLID"/>
    <tableColumn id="2" xr3:uid="{AA0BEBB1-3121-4DB0-BC11-1BA2A37BD862}" name="FRID"/>
    <tableColumn id="3" xr3:uid="{9749DB3F-0A59-4BBE-A36F-ED2B44671B54}" name="down_overrid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AF5B9-D11D-4E98-BF48-964C47A35012}">
  <sheetPr codeName="Sheet1">
    <tabColor theme="4" tint="0.59999389629810485"/>
  </sheetPr>
  <dimension ref="A1:L38"/>
  <sheetViews>
    <sheetView workbookViewId="0">
      <selection activeCell="J19" sqref="J19"/>
    </sheetView>
  </sheetViews>
  <sheetFormatPr defaultRowHeight="16.5" x14ac:dyDescent="0.3"/>
  <cols>
    <col min="3" max="3" width="10.25" customWidth="1"/>
    <col min="4" max="4" width="12.125" customWidth="1"/>
    <col min="10" max="10" width="10.25" customWidth="1"/>
    <col min="11" max="11" width="12.125" customWidth="1"/>
  </cols>
  <sheetData>
    <row r="1" spans="1:12" x14ac:dyDescent="0.3">
      <c r="A1" s="54" t="s">
        <v>72</v>
      </c>
      <c r="B1" s="55">
        <v>2024</v>
      </c>
      <c r="C1" s="54" t="s">
        <v>73</v>
      </c>
      <c r="D1" s="55">
        <v>1</v>
      </c>
    </row>
    <row r="2" spans="1:12" x14ac:dyDescent="0.3">
      <c r="B2">
        <f>IF(D1=1,B1-1,B1)</f>
        <v>2023</v>
      </c>
      <c r="D2">
        <f>IF(D1=1,12,D1-1)</f>
        <v>12</v>
      </c>
    </row>
    <row r="3" spans="1:12" x14ac:dyDescent="0.3">
      <c r="A3" s="64" t="s">
        <v>83</v>
      </c>
      <c r="B3" s="64"/>
      <c r="C3" s="64"/>
      <c r="D3" s="64"/>
      <c r="H3" s="64" t="s">
        <v>84</v>
      </c>
      <c r="I3" s="64"/>
      <c r="J3" s="64"/>
      <c r="K3" s="64"/>
    </row>
    <row r="4" spans="1:12" x14ac:dyDescent="0.3">
      <c r="A4" s="8" t="s">
        <v>26</v>
      </c>
      <c r="B4" s="8" t="s">
        <v>11</v>
      </c>
      <c r="C4" s="8" t="s">
        <v>12</v>
      </c>
      <c r="D4" s="8" t="s">
        <v>32</v>
      </c>
      <c r="H4" s="8" t="s">
        <v>26</v>
      </c>
      <c r="I4" s="8" t="s">
        <v>11</v>
      </c>
      <c r="J4" s="8" t="s">
        <v>12</v>
      </c>
      <c r="K4" s="8" t="s">
        <v>32</v>
      </c>
      <c r="L4" s="11" t="s">
        <v>35</v>
      </c>
    </row>
    <row r="5" spans="1:12" x14ac:dyDescent="0.3">
      <c r="A5" t="s">
        <v>85</v>
      </c>
      <c r="B5" t="s">
        <v>86</v>
      </c>
      <c r="C5" t="s">
        <v>87</v>
      </c>
      <c r="D5" t="s">
        <v>88</v>
      </c>
      <c r="H5" t="s">
        <v>85</v>
      </c>
      <c r="I5" t="s">
        <v>86</v>
      </c>
      <c r="J5" t="s">
        <v>87</v>
      </c>
      <c r="K5" t="s">
        <v>88</v>
      </c>
      <c r="L5" cm="1">
        <f t="array" ref="L5:L38">((firstday_att[FRPosition]="TL")+(firstday_att[FRPosition]="STL")+(firstday_att[FRPosition]="D")+(firstday_att[FRPosition]="SD"))*(COUNTIF(settlement_att[FLID],firstday_att[FRID])&gt;0)</f>
        <v>0</v>
      </c>
    </row>
    <row r="6" spans="1:12" x14ac:dyDescent="0.3">
      <c r="A6" t="s">
        <v>89</v>
      </c>
      <c r="B6" t="s">
        <v>90</v>
      </c>
      <c r="C6" t="s">
        <v>91</v>
      </c>
      <c r="D6" t="s">
        <v>92</v>
      </c>
      <c r="H6" t="s">
        <v>89</v>
      </c>
      <c r="I6" t="s">
        <v>90</v>
      </c>
      <c r="J6" t="s">
        <v>91</v>
      </c>
      <c r="K6" t="s">
        <v>92</v>
      </c>
      <c r="L6">
        <v>1</v>
      </c>
    </row>
    <row r="7" spans="1:12" x14ac:dyDescent="0.3">
      <c r="A7" t="s">
        <v>90</v>
      </c>
      <c r="B7" t="s">
        <v>93</v>
      </c>
      <c r="C7" t="s">
        <v>94</v>
      </c>
      <c r="D7" t="s">
        <v>88</v>
      </c>
      <c r="H7" t="s">
        <v>90</v>
      </c>
      <c r="I7" t="s">
        <v>93</v>
      </c>
      <c r="J7" t="s">
        <v>94</v>
      </c>
      <c r="K7" t="s">
        <v>88</v>
      </c>
      <c r="L7">
        <v>1</v>
      </c>
    </row>
    <row r="8" spans="1:12" x14ac:dyDescent="0.3">
      <c r="A8" t="s">
        <v>93</v>
      </c>
      <c r="B8" t="s">
        <v>95</v>
      </c>
      <c r="C8" t="s">
        <v>96</v>
      </c>
      <c r="D8" t="s">
        <v>97</v>
      </c>
      <c r="H8" t="s">
        <v>93</v>
      </c>
      <c r="I8" t="s">
        <v>95</v>
      </c>
      <c r="J8" t="s">
        <v>96</v>
      </c>
      <c r="K8" t="s">
        <v>97</v>
      </c>
      <c r="L8">
        <v>0</v>
      </c>
    </row>
    <row r="9" spans="1:12" x14ac:dyDescent="0.3">
      <c r="A9" t="s">
        <v>93</v>
      </c>
      <c r="B9" t="s">
        <v>98</v>
      </c>
      <c r="C9" t="s">
        <v>99</v>
      </c>
      <c r="D9" t="s">
        <v>97</v>
      </c>
      <c r="H9" t="s">
        <v>93</v>
      </c>
      <c r="I9" t="s">
        <v>98</v>
      </c>
      <c r="J9" t="s">
        <v>99</v>
      </c>
      <c r="K9" t="s">
        <v>97</v>
      </c>
      <c r="L9">
        <v>1</v>
      </c>
    </row>
    <row r="10" spans="1:12" x14ac:dyDescent="0.3">
      <c r="A10" t="s">
        <v>98</v>
      </c>
      <c r="B10" t="s">
        <v>100</v>
      </c>
      <c r="C10" t="s">
        <v>101</v>
      </c>
      <c r="D10" t="s">
        <v>102</v>
      </c>
      <c r="H10" t="s">
        <v>98</v>
      </c>
      <c r="I10" t="s">
        <v>100</v>
      </c>
      <c r="J10" t="s">
        <v>101</v>
      </c>
      <c r="K10" t="s">
        <v>102</v>
      </c>
      <c r="L10">
        <v>0</v>
      </c>
    </row>
    <row r="11" spans="1:12" x14ac:dyDescent="0.3">
      <c r="A11" t="s">
        <v>90</v>
      </c>
      <c r="B11" t="s">
        <v>103</v>
      </c>
      <c r="C11" t="s">
        <v>104</v>
      </c>
      <c r="D11" t="s">
        <v>102</v>
      </c>
      <c r="H11" t="s">
        <v>93</v>
      </c>
      <c r="I11" t="s">
        <v>156</v>
      </c>
      <c r="J11" t="s">
        <v>157</v>
      </c>
      <c r="K11" t="s">
        <v>102</v>
      </c>
      <c r="L11">
        <v>0</v>
      </c>
    </row>
    <row r="12" spans="1:12" x14ac:dyDescent="0.3">
      <c r="A12" t="s">
        <v>85</v>
      </c>
      <c r="B12" t="s">
        <v>105</v>
      </c>
      <c r="C12" t="s">
        <v>106</v>
      </c>
      <c r="D12" t="s">
        <v>97</v>
      </c>
      <c r="H12" t="s">
        <v>90</v>
      </c>
      <c r="I12" t="s">
        <v>103</v>
      </c>
      <c r="J12" t="s">
        <v>104</v>
      </c>
      <c r="K12" t="s">
        <v>102</v>
      </c>
      <c r="L12">
        <v>0</v>
      </c>
    </row>
    <row r="13" spans="1:12" x14ac:dyDescent="0.3">
      <c r="A13" t="s">
        <v>105</v>
      </c>
      <c r="B13" t="s">
        <v>107</v>
      </c>
      <c r="C13" t="s">
        <v>108</v>
      </c>
      <c r="D13" t="s">
        <v>97</v>
      </c>
      <c r="H13" t="s">
        <v>85</v>
      </c>
      <c r="I13" t="s">
        <v>105</v>
      </c>
      <c r="J13" t="s">
        <v>106</v>
      </c>
      <c r="K13" t="s">
        <v>97</v>
      </c>
      <c r="L13">
        <v>1</v>
      </c>
    </row>
    <row r="14" spans="1:12" x14ac:dyDescent="0.3">
      <c r="A14" t="s">
        <v>107</v>
      </c>
      <c r="B14" t="s">
        <v>109</v>
      </c>
      <c r="C14" t="s">
        <v>110</v>
      </c>
      <c r="D14" t="s">
        <v>102</v>
      </c>
      <c r="H14" t="s">
        <v>105</v>
      </c>
      <c r="I14" t="s">
        <v>107</v>
      </c>
      <c r="J14" t="s">
        <v>108</v>
      </c>
      <c r="K14" t="s">
        <v>97</v>
      </c>
      <c r="L14">
        <v>1</v>
      </c>
    </row>
    <row r="15" spans="1:12" x14ac:dyDescent="0.3">
      <c r="A15" t="s">
        <v>111</v>
      </c>
      <c r="B15" t="s">
        <v>112</v>
      </c>
      <c r="C15" t="s">
        <v>113</v>
      </c>
      <c r="D15" t="s">
        <v>102</v>
      </c>
      <c r="H15" t="s">
        <v>107</v>
      </c>
      <c r="I15" t="s">
        <v>109</v>
      </c>
      <c r="J15" t="s">
        <v>110</v>
      </c>
      <c r="K15" t="s">
        <v>102</v>
      </c>
      <c r="L15">
        <v>0</v>
      </c>
    </row>
    <row r="16" spans="1:12" x14ac:dyDescent="0.3">
      <c r="A16" t="s">
        <v>89</v>
      </c>
      <c r="B16" t="s">
        <v>111</v>
      </c>
      <c r="C16" t="s">
        <v>114</v>
      </c>
      <c r="D16" t="s">
        <v>92</v>
      </c>
      <c r="H16" t="s">
        <v>111</v>
      </c>
      <c r="I16" t="s">
        <v>112</v>
      </c>
      <c r="J16" t="s">
        <v>113</v>
      </c>
      <c r="K16" t="s">
        <v>102</v>
      </c>
      <c r="L16">
        <v>0</v>
      </c>
    </row>
    <row r="17" spans="1:12" x14ac:dyDescent="0.3">
      <c r="A17" t="s">
        <v>111</v>
      </c>
      <c r="B17" t="s">
        <v>115</v>
      </c>
      <c r="C17" t="s">
        <v>116</v>
      </c>
      <c r="D17" t="s">
        <v>97</v>
      </c>
      <c r="H17" t="s">
        <v>89</v>
      </c>
      <c r="I17" t="s">
        <v>111</v>
      </c>
      <c r="J17" t="s">
        <v>114</v>
      </c>
      <c r="K17" t="s">
        <v>92</v>
      </c>
      <c r="L17">
        <v>1</v>
      </c>
    </row>
    <row r="18" spans="1:12" x14ac:dyDescent="0.3">
      <c r="A18" t="s">
        <v>111</v>
      </c>
      <c r="B18" t="s">
        <v>117</v>
      </c>
      <c r="C18" t="s">
        <v>118</v>
      </c>
      <c r="D18" t="s">
        <v>97</v>
      </c>
      <c r="H18" t="s">
        <v>111</v>
      </c>
      <c r="I18" t="s">
        <v>158</v>
      </c>
      <c r="J18" t="s">
        <v>159</v>
      </c>
      <c r="K18" t="s">
        <v>88</v>
      </c>
      <c r="L18">
        <v>0</v>
      </c>
    </row>
    <row r="19" spans="1:12" x14ac:dyDescent="0.3">
      <c r="A19" t="s">
        <v>117</v>
      </c>
      <c r="B19" t="s">
        <v>119</v>
      </c>
      <c r="C19" t="s">
        <v>120</v>
      </c>
      <c r="D19" t="s">
        <v>97</v>
      </c>
      <c r="H19" t="s">
        <v>111</v>
      </c>
      <c r="I19" t="s">
        <v>115</v>
      </c>
      <c r="J19" t="s">
        <v>116</v>
      </c>
      <c r="K19" t="s">
        <v>97</v>
      </c>
      <c r="L19">
        <v>1</v>
      </c>
    </row>
    <row r="20" spans="1:12" x14ac:dyDescent="0.3">
      <c r="A20" t="s">
        <v>117</v>
      </c>
      <c r="B20" t="s">
        <v>121</v>
      </c>
      <c r="C20" t="s">
        <v>122</v>
      </c>
      <c r="D20" t="s">
        <v>102</v>
      </c>
      <c r="H20" t="s">
        <v>111</v>
      </c>
      <c r="I20" t="s">
        <v>117</v>
      </c>
      <c r="J20" t="s">
        <v>118</v>
      </c>
      <c r="K20" t="s">
        <v>97</v>
      </c>
      <c r="L20">
        <v>1</v>
      </c>
    </row>
    <row r="21" spans="1:12" x14ac:dyDescent="0.3">
      <c r="A21" t="s">
        <v>111</v>
      </c>
      <c r="B21" t="s">
        <v>123</v>
      </c>
      <c r="C21" t="s">
        <v>124</v>
      </c>
      <c r="D21" t="s">
        <v>97</v>
      </c>
      <c r="H21" t="s">
        <v>158</v>
      </c>
      <c r="I21" t="s">
        <v>160</v>
      </c>
      <c r="J21" t="s">
        <v>161</v>
      </c>
      <c r="K21" t="s">
        <v>97</v>
      </c>
      <c r="L21">
        <v>0</v>
      </c>
    </row>
    <row r="22" spans="1:12" x14ac:dyDescent="0.3">
      <c r="A22" t="s">
        <v>115</v>
      </c>
      <c r="B22" t="s">
        <v>125</v>
      </c>
      <c r="C22" t="s">
        <v>126</v>
      </c>
      <c r="D22" t="s">
        <v>102</v>
      </c>
      <c r="H22" t="s">
        <v>117</v>
      </c>
      <c r="I22" t="s">
        <v>119</v>
      </c>
      <c r="J22" t="s">
        <v>120</v>
      </c>
      <c r="K22" t="s">
        <v>97</v>
      </c>
      <c r="L22">
        <v>1</v>
      </c>
    </row>
    <row r="23" spans="1:12" x14ac:dyDescent="0.3">
      <c r="A23" t="s">
        <v>119</v>
      </c>
      <c r="B23" t="s">
        <v>127</v>
      </c>
      <c r="C23" t="s">
        <v>128</v>
      </c>
      <c r="D23" t="s">
        <v>102</v>
      </c>
      <c r="H23" t="s">
        <v>117</v>
      </c>
      <c r="I23" t="s">
        <v>121</v>
      </c>
      <c r="J23" t="s">
        <v>122</v>
      </c>
      <c r="K23" t="s">
        <v>102</v>
      </c>
      <c r="L23">
        <v>0</v>
      </c>
    </row>
    <row r="24" spans="1:12" x14ac:dyDescent="0.3">
      <c r="A24" t="s">
        <v>111</v>
      </c>
      <c r="B24" t="s">
        <v>129</v>
      </c>
      <c r="C24" t="s">
        <v>130</v>
      </c>
      <c r="D24" t="s">
        <v>131</v>
      </c>
      <c r="H24" t="s">
        <v>111</v>
      </c>
      <c r="I24" t="s">
        <v>123</v>
      </c>
      <c r="J24" t="s">
        <v>124</v>
      </c>
      <c r="K24" t="s">
        <v>97</v>
      </c>
      <c r="L24">
        <v>0</v>
      </c>
    </row>
    <row r="25" spans="1:12" x14ac:dyDescent="0.3">
      <c r="A25" t="s">
        <v>85</v>
      </c>
      <c r="B25" t="s">
        <v>132</v>
      </c>
      <c r="C25" t="s">
        <v>133</v>
      </c>
      <c r="D25" t="s">
        <v>88</v>
      </c>
      <c r="H25" t="s">
        <v>115</v>
      </c>
      <c r="I25" t="s">
        <v>125</v>
      </c>
      <c r="J25" t="s">
        <v>126</v>
      </c>
      <c r="K25" t="s">
        <v>102</v>
      </c>
      <c r="L25">
        <v>0</v>
      </c>
    </row>
    <row r="26" spans="1:12" x14ac:dyDescent="0.3">
      <c r="A26" t="s">
        <v>132</v>
      </c>
      <c r="B26" t="s">
        <v>134</v>
      </c>
      <c r="C26" t="s">
        <v>135</v>
      </c>
      <c r="D26" t="s">
        <v>97</v>
      </c>
      <c r="H26" t="s">
        <v>119</v>
      </c>
      <c r="I26" t="s">
        <v>127</v>
      </c>
      <c r="J26" t="s">
        <v>128</v>
      </c>
      <c r="K26" t="s">
        <v>102</v>
      </c>
      <c r="L26">
        <v>0</v>
      </c>
    </row>
    <row r="27" spans="1:12" x14ac:dyDescent="0.3">
      <c r="A27" t="s">
        <v>132</v>
      </c>
      <c r="B27" t="s">
        <v>136</v>
      </c>
      <c r="C27" t="s">
        <v>137</v>
      </c>
      <c r="D27" t="s">
        <v>97</v>
      </c>
      <c r="H27" t="s">
        <v>85</v>
      </c>
      <c r="I27" t="s">
        <v>132</v>
      </c>
      <c r="J27" t="s">
        <v>133</v>
      </c>
      <c r="K27" t="s">
        <v>88</v>
      </c>
      <c r="L27">
        <v>1</v>
      </c>
    </row>
    <row r="28" spans="1:12" x14ac:dyDescent="0.3">
      <c r="A28" t="s">
        <v>132</v>
      </c>
      <c r="B28" t="s">
        <v>138</v>
      </c>
      <c r="C28" t="s">
        <v>139</v>
      </c>
      <c r="D28" t="s">
        <v>97</v>
      </c>
      <c r="H28" t="s">
        <v>132</v>
      </c>
      <c r="I28" t="s">
        <v>134</v>
      </c>
      <c r="J28" t="s">
        <v>135</v>
      </c>
      <c r="K28" t="s">
        <v>97</v>
      </c>
      <c r="L28">
        <v>1</v>
      </c>
    </row>
    <row r="29" spans="1:12" x14ac:dyDescent="0.3">
      <c r="A29" t="s">
        <v>138</v>
      </c>
      <c r="B29" t="s">
        <v>140</v>
      </c>
      <c r="C29" t="s">
        <v>141</v>
      </c>
      <c r="D29" t="s">
        <v>102</v>
      </c>
      <c r="H29" t="s">
        <v>132</v>
      </c>
      <c r="I29" t="s">
        <v>136</v>
      </c>
      <c r="J29" t="s">
        <v>137</v>
      </c>
      <c r="K29" t="s">
        <v>97</v>
      </c>
      <c r="L29">
        <v>1</v>
      </c>
    </row>
    <row r="30" spans="1:12" x14ac:dyDescent="0.3">
      <c r="A30" t="s">
        <v>134</v>
      </c>
      <c r="B30" t="s">
        <v>142</v>
      </c>
      <c r="C30" t="s">
        <v>143</v>
      </c>
      <c r="D30" t="s">
        <v>102</v>
      </c>
      <c r="H30" t="s">
        <v>132</v>
      </c>
      <c r="I30" t="s">
        <v>138</v>
      </c>
      <c r="J30" t="s">
        <v>139</v>
      </c>
      <c r="K30" t="s">
        <v>97</v>
      </c>
      <c r="L30">
        <v>1</v>
      </c>
    </row>
    <row r="31" spans="1:12" x14ac:dyDescent="0.3">
      <c r="A31" t="s">
        <v>138</v>
      </c>
      <c r="B31" t="s">
        <v>144</v>
      </c>
      <c r="C31" t="s">
        <v>145</v>
      </c>
      <c r="D31" t="s">
        <v>102</v>
      </c>
      <c r="H31" t="s">
        <v>138</v>
      </c>
      <c r="I31" t="s">
        <v>140</v>
      </c>
      <c r="J31" t="s">
        <v>141</v>
      </c>
      <c r="K31" t="s">
        <v>102</v>
      </c>
      <c r="L31">
        <v>0</v>
      </c>
    </row>
    <row r="32" spans="1:12" x14ac:dyDescent="0.3">
      <c r="A32" t="s">
        <v>136</v>
      </c>
      <c r="B32" t="s">
        <v>146</v>
      </c>
      <c r="C32" t="s">
        <v>147</v>
      </c>
      <c r="D32" t="s">
        <v>102</v>
      </c>
      <c r="H32" t="s">
        <v>134</v>
      </c>
      <c r="I32" t="s">
        <v>142</v>
      </c>
      <c r="J32" t="s">
        <v>143</v>
      </c>
      <c r="K32" t="s">
        <v>102</v>
      </c>
      <c r="L32">
        <v>0</v>
      </c>
    </row>
    <row r="33" spans="1:12" x14ac:dyDescent="0.3">
      <c r="A33" t="s">
        <v>132</v>
      </c>
      <c r="B33" t="s">
        <v>148</v>
      </c>
      <c r="C33" t="s">
        <v>149</v>
      </c>
      <c r="D33" t="s">
        <v>102</v>
      </c>
      <c r="H33" t="s">
        <v>138</v>
      </c>
      <c r="I33" t="s">
        <v>144</v>
      </c>
      <c r="J33" t="s">
        <v>145</v>
      </c>
      <c r="K33" t="s">
        <v>102</v>
      </c>
      <c r="L33">
        <v>0</v>
      </c>
    </row>
    <row r="34" spans="1:12" x14ac:dyDescent="0.3">
      <c r="A34" t="s">
        <v>85</v>
      </c>
      <c r="B34" t="s">
        <v>89</v>
      </c>
      <c r="C34" t="s">
        <v>150</v>
      </c>
      <c r="D34" t="s">
        <v>151</v>
      </c>
      <c r="H34" t="s">
        <v>136</v>
      </c>
      <c r="I34" t="s">
        <v>146</v>
      </c>
      <c r="J34" t="s">
        <v>147</v>
      </c>
      <c r="K34" t="s">
        <v>102</v>
      </c>
      <c r="L34">
        <v>0</v>
      </c>
    </row>
    <row r="35" spans="1:12" x14ac:dyDescent="0.3">
      <c r="A35" t="s">
        <v>89</v>
      </c>
      <c r="B35" t="s">
        <v>152</v>
      </c>
      <c r="C35" t="s">
        <v>153</v>
      </c>
      <c r="D35" t="s">
        <v>97</v>
      </c>
      <c r="H35" t="s">
        <v>132</v>
      </c>
      <c r="I35" t="s">
        <v>148</v>
      </c>
      <c r="J35" t="s">
        <v>149</v>
      </c>
      <c r="K35" t="s">
        <v>162</v>
      </c>
      <c r="L35">
        <v>0</v>
      </c>
    </row>
    <row r="36" spans="1:12" x14ac:dyDescent="0.3">
      <c r="A36" t="s">
        <v>152</v>
      </c>
      <c r="B36" t="s">
        <v>154</v>
      </c>
      <c r="C36" t="s">
        <v>155</v>
      </c>
      <c r="D36" t="s">
        <v>97</v>
      </c>
      <c r="H36" t="s">
        <v>85</v>
      </c>
      <c r="I36" t="s">
        <v>89</v>
      </c>
      <c r="J36" t="s">
        <v>150</v>
      </c>
      <c r="K36" t="s">
        <v>151</v>
      </c>
      <c r="L36">
        <v>1</v>
      </c>
    </row>
    <row r="37" spans="1:12" x14ac:dyDescent="0.3">
      <c r="H37" t="s">
        <v>89</v>
      </c>
      <c r="I37" t="s">
        <v>152</v>
      </c>
      <c r="J37" t="s">
        <v>153</v>
      </c>
      <c r="K37" t="s">
        <v>97</v>
      </c>
      <c r="L37">
        <v>1</v>
      </c>
    </row>
    <row r="38" spans="1:12" x14ac:dyDescent="0.3">
      <c r="H38" t="s">
        <v>152</v>
      </c>
      <c r="I38" t="s">
        <v>154</v>
      </c>
      <c r="J38" t="s">
        <v>155</v>
      </c>
      <c r="K38" t="s">
        <v>97</v>
      </c>
      <c r="L38">
        <v>0</v>
      </c>
    </row>
  </sheetData>
  <mergeCells count="2">
    <mergeCell ref="A3:D3"/>
    <mergeCell ref="H3:K3"/>
  </mergeCells>
  <phoneticPr fontId="1" type="noConversion"/>
  <pageMargins left="0.7" right="0.7" top="0.75" bottom="0.75" header="0.3" footer="0.3"/>
  <pageSetup paperSize="9" orientation="portrait" horizontalDpi="300" verticalDpi="3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F5A4D-3C80-4A42-B36B-CE0BA9FCD7CD}">
  <sheetPr codeName="Sheet12">
    <tabColor theme="4" tint="0.59999389629810485"/>
  </sheetPr>
  <dimension ref="A1:O4"/>
  <sheetViews>
    <sheetView workbookViewId="0">
      <selection activeCell="H3" sqref="H3"/>
    </sheetView>
  </sheetViews>
  <sheetFormatPr defaultRowHeight="16.5" x14ac:dyDescent="0.3"/>
  <cols>
    <col min="3" max="3" width="11.5" customWidth="1"/>
    <col min="4" max="4" width="7.125" bestFit="1" customWidth="1"/>
    <col min="5" max="5" width="10.25" customWidth="1"/>
    <col min="6" max="6" width="12.375" customWidth="1"/>
    <col min="7" max="7" width="13.5" style="3" customWidth="1"/>
    <col min="8" max="8" width="13.625" style="3" bestFit="1" customWidth="1"/>
    <col min="9" max="9" width="11.875" style="3" customWidth="1"/>
    <col min="10" max="11" width="12.5" style="3" customWidth="1"/>
    <col min="12" max="13" width="14.875" style="3" bestFit="1" customWidth="1"/>
    <col min="14" max="14" width="12.375" style="3" bestFit="1" customWidth="1"/>
    <col min="15" max="15" width="14.875" style="3" bestFit="1" customWidth="1"/>
    <col min="17" max="19" width="10" customWidth="1"/>
  </cols>
  <sheetData>
    <row r="1" spans="1:15" x14ac:dyDescent="0.3">
      <c r="G1"/>
      <c r="H1"/>
      <c r="I1"/>
      <c r="J1"/>
      <c r="K1"/>
      <c r="L1"/>
      <c r="M1"/>
      <c r="N1"/>
      <c r="O1"/>
    </row>
    <row r="2" spans="1:15" x14ac:dyDescent="0.3">
      <c r="C2" s="14" t="s">
        <v>62</v>
      </c>
      <c r="D2" s="14"/>
      <c r="E2">
        <f>COUNTIF(data!I:I,"출금완료")</f>
        <v>0</v>
      </c>
      <c r="F2" s="30">
        <f>SUMIF(data!I:I,"출금완료",data!J:J)</f>
        <v>0</v>
      </c>
      <c r="G2" s="30">
        <f>SUMIF(data!I:I,"출금완료",data!K:K)</f>
        <v>0</v>
      </c>
      <c r="H2" s="30">
        <f>SUM(override!J2:J1000)</f>
        <v>0</v>
      </c>
      <c r="I2" s="30">
        <f>SUM(training_fee!D2:D1000)</f>
        <v>0</v>
      </c>
      <c r="J2" s="30">
        <f>SUM(unsettled!C2:C1000)</f>
        <v>0</v>
      </c>
      <c r="K2" s="30">
        <f>SUM(bonus!C2:C1000)</f>
        <v>0</v>
      </c>
      <c r="L2" s="30">
        <f>G2+H2+I2+J2+K2</f>
        <v>0</v>
      </c>
      <c r="M2" s="30">
        <f>SUMIF(L5:L2000,"&gt;0")</f>
        <v>0</v>
      </c>
      <c r="N2" s="30" cm="1">
        <f t="array" ref="N2">SUM(ROUNDDOWN((M5:M1000)*3%,-1))+SUM(ROUNDDOWN((M5:M1000)*0.3%,-1))</f>
        <v>0</v>
      </c>
      <c r="O2" s="30">
        <f>M2-N2</f>
        <v>0</v>
      </c>
    </row>
    <row r="3" spans="1:15" x14ac:dyDescent="0.3">
      <c r="A3" s="65" t="s">
        <v>11</v>
      </c>
      <c r="B3" s="65" t="s">
        <v>12</v>
      </c>
      <c r="C3" s="65" t="s">
        <v>27</v>
      </c>
      <c r="D3" s="66" t="s">
        <v>81</v>
      </c>
      <c r="E3" s="26" t="s">
        <v>47</v>
      </c>
      <c r="F3" s="26" t="s">
        <v>48</v>
      </c>
      <c r="G3" s="29" t="s">
        <v>53</v>
      </c>
      <c r="H3" s="26" t="s">
        <v>49</v>
      </c>
      <c r="I3" s="26" t="s">
        <v>50</v>
      </c>
      <c r="J3" s="26" t="s">
        <v>63</v>
      </c>
      <c r="K3" s="26" t="s">
        <v>66</v>
      </c>
      <c r="L3" s="26" t="s">
        <v>7</v>
      </c>
      <c r="M3" s="26" t="s">
        <v>64</v>
      </c>
      <c r="N3" s="26" t="s">
        <v>51</v>
      </c>
      <c r="O3" s="26" t="s">
        <v>52</v>
      </c>
    </row>
    <row r="4" spans="1:15" x14ac:dyDescent="0.3">
      <c r="A4" s="65"/>
      <c r="B4" s="65"/>
      <c r="C4" s="65"/>
      <c r="D4" s="67"/>
      <c r="E4" s="27">
        <f>SUM(E5:E1000)</f>
        <v>0</v>
      </c>
      <c r="F4" s="27">
        <f t="shared" ref="F4:O4" si="0">SUM(F5:F1000)</f>
        <v>0</v>
      </c>
      <c r="G4" s="27">
        <f t="shared" si="0"/>
        <v>0</v>
      </c>
      <c r="H4" s="27">
        <f t="shared" si="0"/>
        <v>0</v>
      </c>
      <c r="I4" s="27">
        <f t="shared" si="0"/>
        <v>0</v>
      </c>
      <c r="J4" s="27">
        <f t="shared" si="0"/>
        <v>0</v>
      </c>
      <c r="K4" s="27">
        <f t="shared" si="0"/>
        <v>0</v>
      </c>
      <c r="L4" s="27">
        <f t="shared" si="0"/>
        <v>0</v>
      </c>
      <c r="M4" s="27">
        <f t="shared" si="0"/>
        <v>0</v>
      </c>
      <c r="N4" s="27">
        <f t="shared" si="0"/>
        <v>0</v>
      </c>
      <c r="O4" s="27">
        <f t="shared" si="0"/>
        <v>0</v>
      </c>
    </row>
  </sheetData>
  <mergeCells count="4">
    <mergeCell ref="A3:A4"/>
    <mergeCell ref="B3:B4"/>
    <mergeCell ref="C3:C4"/>
    <mergeCell ref="D3:D4"/>
  </mergeCells>
  <phoneticPr fontId="1" type="noConversion"/>
  <conditionalFormatting sqref="E2:O2">
    <cfRule type="expression" dxfId="55" priority="2">
      <formula>E2&lt;&gt;E4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953C-BE49-43EB-94D8-F199E675A17F}">
  <sheetPr codeName="Sheet13"/>
  <dimension ref="A1:K2"/>
  <sheetViews>
    <sheetView workbookViewId="0">
      <selection activeCell="C20" sqref="C20"/>
    </sheetView>
  </sheetViews>
  <sheetFormatPr defaultRowHeight="16.5" x14ac:dyDescent="0.3"/>
  <cols>
    <col min="1" max="1" width="7.75" bestFit="1" customWidth="1"/>
    <col min="2" max="2" width="17.375" bestFit="1" customWidth="1"/>
    <col min="3" max="3" width="17.5" bestFit="1" customWidth="1"/>
    <col min="4" max="4" width="11.625" bestFit="1" customWidth="1"/>
    <col min="5" max="5" width="10" customWidth="1"/>
    <col min="6" max="6" width="12.75" customWidth="1"/>
    <col min="7" max="7" width="17.5" bestFit="1" customWidth="1"/>
    <col min="8" max="8" width="15" bestFit="1" customWidth="1"/>
    <col min="9" max="11" width="12.375" customWidth="1"/>
  </cols>
  <sheetData>
    <row r="1" spans="1:11" x14ac:dyDescent="0.3">
      <c r="A1" t="s">
        <v>4843</v>
      </c>
      <c r="B1" t="s">
        <v>4844</v>
      </c>
      <c r="C1" t="s">
        <v>4845</v>
      </c>
      <c r="D1" t="s">
        <v>4846</v>
      </c>
      <c r="E1" t="s">
        <v>4847</v>
      </c>
      <c r="F1" t="s">
        <v>4848</v>
      </c>
      <c r="G1" t="s">
        <v>4849</v>
      </c>
      <c r="H1" t="s">
        <v>4850</v>
      </c>
      <c r="I1" t="s">
        <v>4851</v>
      </c>
      <c r="J1" t="s">
        <v>4852</v>
      </c>
      <c r="K1" t="s">
        <v>4853</v>
      </c>
    </row>
    <row r="2" spans="1:11" x14ac:dyDescent="0.3">
      <c r="A2" t="e" cm="1" vm="1">
        <f t="array" ref="A2">_xlfn.CHOOSECOLS(_xlfn._xlws.FILTER(종합!A5:O200,종합!A5:A200&lt;&gt;""),1,5,6,7,8,9,10,11,13,14,15)</f>
        <v>#VALUE!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487DD-00FD-4C50-8AA7-2D687BEFE4DF}">
  <sheetPr codeName="Sheet8">
    <pageSetUpPr fitToPage="1"/>
  </sheetPr>
  <dimension ref="A1:P13"/>
  <sheetViews>
    <sheetView tabSelected="1" view="pageBreakPreview" zoomScale="85" zoomScaleNormal="100" zoomScaleSheetLayoutView="85" workbookViewId="0">
      <selection activeCell="J5" sqref="J5"/>
    </sheetView>
  </sheetViews>
  <sheetFormatPr defaultRowHeight="16.5" x14ac:dyDescent="0.3"/>
  <cols>
    <col min="1" max="1" width="13.875" style="15" bestFit="1" customWidth="1"/>
    <col min="2" max="2" width="12.125" style="14" customWidth="1"/>
    <col min="3" max="3" width="27.625" style="14" bestFit="1" customWidth="1"/>
    <col min="4" max="4" width="7.125" style="16" customWidth="1"/>
    <col min="5" max="5" width="9" style="14"/>
    <col min="6" max="6" width="6.25" style="14" customWidth="1"/>
    <col min="7" max="7" width="9" style="14"/>
    <col min="8" max="8" width="10.375" style="3" customWidth="1"/>
    <col min="9" max="9" width="9" style="45"/>
    <col min="10" max="10" width="9.125" style="3" bestFit="1" customWidth="1"/>
    <col min="11" max="11" width="10.625" style="3" bestFit="1" customWidth="1"/>
    <col min="12" max="12" width="9" style="14" customWidth="1"/>
    <col min="15" max="16" width="11.125" bestFit="1" customWidth="1"/>
  </cols>
  <sheetData>
    <row r="1" spans="1:16" ht="39" x14ac:dyDescent="0.3">
      <c r="A1" s="69" t="str">
        <f>setting!B1&amp;"년 "&amp;setting!D1&amp;"월 PROJECT-N 급여명세서"</f>
        <v>2024년 1월 PROJECT-N 급여명세서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t="e">
        <f>AND(M2:M9)</f>
        <v>#N/A</v>
      </c>
    </row>
    <row r="2" spans="1:16" x14ac:dyDescent="0.3">
      <c r="A2" s="6"/>
      <c r="B2"/>
      <c r="C2"/>
      <c r="D2" s="7"/>
      <c r="E2"/>
      <c r="F2"/>
      <c r="I2"/>
      <c r="J2" s="13" t="str">
        <f>IF(K2=0,"","이월 (-)급여 : ")</f>
        <v/>
      </c>
      <c r="K2" s="71">
        <f>_xlfn.XLOOKUP(B5,unsettled!A:A,unsettled!C:C,0)</f>
        <v>0</v>
      </c>
      <c r="L2" s="71"/>
      <c r="M2" t="e">
        <f>K2=_xlfn.XLOOKUP(B5,종합!A:A,종합!J:J)</f>
        <v>#N/A</v>
      </c>
    </row>
    <row r="3" spans="1:16" x14ac:dyDescent="0.3">
      <c r="A3" s="6"/>
      <c r="B3"/>
      <c r="C3"/>
      <c r="D3" s="7"/>
      <c r="E3"/>
      <c r="F3"/>
      <c r="I3"/>
      <c r="J3" s="13" t="str">
        <f>IF(K3=0,"","신입교육비 : ")</f>
        <v/>
      </c>
      <c r="K3" s="71">
        <f>_xlfn.XLOOKUP(B5,training_fee!A:A,training_fee!D:D,0)</f>
        <v>0</v>
      </c>
      <c r="L3" s="71"/>
      <c r="M3" t="e">
        <f>K3=_xlfn.XLOOKUP(B5,종합!A:A,종합!I:I)</f>
        <v>#N/A</v>
      </c>
    </row>
    <row r="4" spans="1:16" x14ac:dyDescent="0.3">
      <c r="A4" s="6"/>
      <c r="B4"/>
      <c r="C4"/>
      <c r="D4" s="7"/>
      <c r="E4"/>
      <c r="F4"/>
      <c r="I4"/>
      <c r="J4" s="13" t="str">
        <f>IF(K4=0,"",_xlfn.XLOOKUP(B5,bonus_table[frid],bonus_table[memo])&amp;" : ")</f>
        <v/>
      </c>
      <c r="K4" s="71">
        <f>_xlfn.XLOOKUP(B5,bonus!A:A,bonus!C:C,0)</f>
        <v>0</v>
      </c>
      <c r="L4" s="71"/>
      <c r="M4" t="e">
        <f>K4=_xlfn.XLOOKUP(B5,종합!A:A,종합!K:K)</f>
        <v>#N/A</v>
      </c>
    </row>
    <row r="5" spans="1:16" x14ac:dyDescent="0.3">
      <c r="A5" s="12" t="s">
        <v>36</v>
      </c>
      <c r="B5" s="37" t="s">
        <v>67</v>
      </c>
      <c r="C5"/>
      <c r="D5" s="7"/>
      <c r="E5"/>
      <c r="F5"/>
      <c r="I5"/>
      <c r="J5" s="13" t="s">
        <v>54</v>
      </c>
      <c r="K5" s="70">
        <f>SUMIF(I13:I2003,"출금완료",K13:K2003)</f>
        <v>0</v>
      </c>
      <c r="L5" s="70"/>
      <c r="M5" t="e">
        <f>K5=_xlfn.XLOOKUP(B5,종합!A:A,종합!G:G)</f>
        <v>#N/A</v>
      </c>
    </row>
    <row r="6" spans="1:16" x14ac:dyDescent="0.3">
      <c r="A6" s="12" t="s">
        <v>37</v>
      </c>
      <c r="B6" s="37" t="str">
        <f>_xlfn.XLOOKUP(B5,members!A:A,members!C:C)</f>
        <v>황정민</v>
      </c>
      <c r="C6"/>
      <c r="D6" s="7"/>
      <c r="E6"/>
      <c r="F6"/>
      <c r="I6"/>
      <c r="J6" s="13" t="s">
        <v>39</v>
      </c>
      <c r="K6" s="70">
        <f>_xlfn.XLOOKUP(B5,override!A:A,override!J:J,0)</f>
        <v>0</v>
      </c>
      <c r="L6" s="70"/>
      <c r="M6" t="e">
        <f>K6=_xlfn.XLOOKUP(B5,종합!A:A,종합!H:H)</f>
        <v>#N/A</v>
      </c>
    </row>
    <row r="7" spans="1:16" x14ac:dyDescent="0.3">
      <c r="A7" s="12" t="s">
        <v>38</v>
      </c>
      <c r="B7" s="37" t="e">
        <f>_xlfn.XLOOKUP(B5,종합!A:A,종합!C:C)</f>
        <v>#N/A</v>
      </c>
      <c r="C7"/>
      <c r="D7" s="7"/>
      <c r="E7"/>
      <c r="F7"/>
      <c r="G7"/>
      <c r="H7" s="18"/>
      <c r="I7"/>
      <c r="J7" s="13" t="s">
        <v>42</v>
      </c>
      <c r="K7" s="70">
        <f>K2+K3+K4+K5+K6</f>
        <v>0</v>
      </c>
      <c r="L7" s="70"/>
      <c r="M7" t="e">
        <f>K7=_xlfn.XLOOKUP(B5,종합!A:A,종합!L:L)</f>
        <v>#N/A</v>
      </c>
    </row>
    <row r="8" spans="1:16" x14ac:dyDescent="0.3">
      <c r="A8" s="12"/>
      <c r="B8"/>
      <c r="C8"/>
      <c r="D8" s="7"/>
      <c r="E8"/>
      <c r="F8"/>
      <c r="G8" s="17" t="s">
        <v>43</v>
      </c>
      <c r="H8" s="28">
        <f>COUNTIF(I13:I1048576,"출금완료")</f>
        <v>0</v>
      </c>
      <c r="I8"/>
      <c r="J8" s="13" t="s">
        <v>40</v>
      </c>
      <c r="K8" s="70">
        <f>IF(K7&lt;0,0,ROUNDDOWN(K7*3%,-1) + ROUNDDOWN(K7*0.3%,-1))</f>
        <v>0</v>
      </c>
      <c r="L8" s="70"/>
      <c r="M8" t="e">
        <f>K8=_xlfn.XLOOKUP(B5,종합!A:A,종합!N:N)</f>
        <v>#N/A</v>
      </c>
    </row>
    <row r="9" spans="1:16" x14ac:dyDescent="0.3">
      <c r="A9" s="12"/>
      <c r="B9"/>
      <c r="C9"/>
      <c r="D9" s="7"/>
      <c r="E9"/>
      <c r="F9"/>
      <c r="G9" s="17" t="s">
        <v>44</v>
      </c>
      <c r="H9" s="28">
        <f>COUNTIF(I13:I1048576,"진행중")</f>
        <v>0</v>
      </c>
      <c r="I9"/>
      <c r="J9" s="13" t="s">
        <v>41</v>
      </c>
      <c r="K9" s="68">
        <f>IF(K7&lt;0,0,K7-K8)</f>
        <v>0</v>
      </c>
      <c r="L9" s="68"/>
      <c r="M9" t="e">
        <f>K9=_xlfn.XLOOKUP(B5,종합!A:A,종합!O:O)</f>
        <v>#N/A</v>
      </c>
    </row>
    <row r="10" spans="1:16" x14ac:dyDescent="0.3">
      <c r="A10" s="12"/>
      <c r="B10"/>
      <c r="C10"/>
      <c r="D10" s="7"/>
      <c r="E10"/>
      <c r="F10"/>
      <c r="G10"/>
      <c r="I10"/>
      <c r="L10"/>
    </row>
    <row r="11" spans="1:16" x14ac:dyDescent="0.3">
      <c r="A11" s="6"/>
      <c r="B11"/>
      <c r="C11"/>
      <c r="D11" s="7"/>
      <c r="E11"/>
      <c r="F11"/>
      <c r="G11"/>
      <c r="I11"/>
      <c r="L11"/>
    </row>
    <row r="12" spans="1:16" ht="17.25" thickBot="1" x14ac:dyDescent="0.35">
      <c r="A12" s="33" t="s">
        <v>0</v>
      </c>
      <c r="B12" s="34" t="s">
        <v>1</v>
      </c>
      <c r="C12" s="34" t="s">
        <v>13</v>
      </c>
      <c r="D12" s="35" t="s">
        <v>2</v>
      </c>
      <c r="E12" s="34" t="s">
        <v>3</v>
      </c>
      <c r="F12" s="34" t="s">
        <v>9</v>
      </c>
      <c r="G12" s="34" t="s">
        <v>4</v>
      </c>
      <c r="H12" s="36" t="s">
        <v>5</v>
      </c>
      <c r="I12" s="34" t="s">
        <v>8</v>
      </c>
      <c r="J12" s="36" t="s">
        <v>6</v>
      </c>
      <c r="K12" s="36" t="s">
        <v>7</v>
      </c>
      <c r="L12" s="34" t="s">
        <v>10</v>
      </c>
      <c r="O12" s="4"/>
      <c r="P12" s="4"/>
    </row>
    <row r="13" spans="1:16" ht="17.25" thickTop="1" x14ac:dyDescent="0.3">
      <c r="A13" s="15" t="str" cm="1">
        <f t="array" ref="A13">IFERROR(_xlfn._xlws.FILTER(data!A:L,data!M:M=B5),"내역없음")</f>
        <v>내역없음</v>
      </c>
    </row>
  </sheetData>
  <mergeCells count="9">
    <mergeCell ref="K9:L9"/>
    <mergeCell ref="A1:L1"/>
    <mergeCell ref="K5:L5"/>
    <mergeCell ref="K6:L6"/>
    <mergeCell ref="K7:L7"/>
    <mergeCell ref="K8:L8"/>
    <mergeCell ref="K2:L2"/>
    <mergeCell ref="K3:L3"/>
    <mergeCell ref="K4:L4"/>
  </mergeCells>
  <phoneticPr fontId="1" type="noConversion"/>
  <conditionalFormatting sqref="A13:L671">
    <cfRule type="expression" dxfId="54" priority="12">
      <formula>AND($A13&lt;&gt;"",$A14="")</formula>
    </cfRule>
    <cfRule type="expression" dxfId="53" priority="14">
      <formula>$A13&lt;&gt;$A14</formula>
    </cfRule>
  </conditionalFormatting>
  <conditionalFormatting sqref="A13:L1001">
    <cfRule type="expression" dxfId="52" priority="2">
      <formula>$I13="진행중"</formula>
    </cfRule>
    <cfRule type="expression" dxfId="51" priority="3">
      <formula>$I13="보류"</formula>
    </cfRule>
    <cfRule type="expression" dxfId="50" priority="4">
      <formula>$I13="금액미만"</formula>
    </cfRule>
    <cfRule type="expression" dxfId="49" priority="5">
      <formula>$I13="나이미만"</formula>
    </cfRule>
    <cfRule type="expression" dxfId="48" priority="6">
      <formula>$I13="정보오류"</formula>
    </cfRule>
    <cfRule type="expression" dxfId="47" priority="7">
      <formula>$I13="일시후원"</formula>
    </cfRule>
    <cfRule type="expression" dxfId="46" priority="8">
      <formula>$I13="기간한정"</formula>
    </cfRule>
    <cfRule type="expression" dxfId="45" priority="9">
      <formula>$I13="취소"</formula>
    </cfRule>
    <cfRule type="expression" dxfId="44" priority="1">
      <formula>$I13="중복후원"</formula>
    </cfRule>
  </conditionalFormatting>
  <pageMargins left="0.70866141732283472" right="0.70866141732283472" top="0.74803149606299213" bottom="0.74803149606299213" header="0.31496062992125984" footer="0.31496062992125984"/>
  <pageSetup paperSize="9" scale="60" fitToHeight="0" orientation="portrait" horizontalDpi="300" verticalDpi="300" r:id="rId1"/>
  <headerFooter>
    <oddHeader>&amp;L&amp;G</oddHeader>
    <oddFooter>&amp;C&amp;P/&amp;N&amp;R&amp;G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B24E6-5D8E-4024-8FC0-35746D2E0262}">
  <sheetPr codeName="Sheet9">
    <pageSetUpPr fitToPage="1"/>
  </sheetPr>
  <dimension ref="A1:Q11"/>
  <sheetViews>
    <sheetView view="pageBreakPreview" zoomScale="85" zoomScaleNormal="100" zoomScaleSheetLayoutView="85" workbookViewId="0">
      <selection activeCell="I11" sqref="I11"/>
    </sheetView>
  </sheetViews>
  <sheetFormatPr defaultRowHeight="16.5" x14ac:dyDescent="0.3"/>
  <cols>
    <col min="1" max="1" width="13.875" style="15" bestFit="1" customWidth="1"/>
    <col min="2" max="2" width="10.375" style="14" customWidth="1"/>
    <col min="3" max="3" width="30.25" style="14" bestFit="1" customWidth="1"/>
    <col min="4" max="4" width="6.375" style="16" customWidth="1"/>
    <col min="5" max="5" width="9" style="14"/>
    <col min="6" max="6" width="5.25" style="14" bestFit="1" customWidth="1"/>
    <col min="7" max="7" width="9" style="14"/>
    <col min="8" max="8" width="9.875" style="9" bestFit="1" customWidth="1"/>
    <col min="9" max="9" width="11.25" style="45" bestFit="1" customWidth="1"/>
    <col min="10" max="11" width="9.875" style="9" bestFit="1" customWidth="1"/>
    <col min="12" max="12" width="7.625" style="14" customWidth="1"/>
    <col min="13" max="14" width="9" style="14"/>
    <col min="16" max="16" width="13.25" customWidth="1"/>
    <col min="17" max="17" width="14.875" customWidth="1"/>
  </cols>
  <sheetData>
    <row r="1" spans="1:17" ht="39" x14ac:dyDescent="0.3">
      <c r="A1" s="69" t="str">
        <f>setting!B1&amp;"년 "&amp;setting!D1&amp;"월 PROJECT-N 팀 출금명세서"</f>
        <v>2024년 1월 PROJECT-N 팀 출금명세서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t="b">
        <f ca="1">AND(O2:O7)</f>
        <v>1</v>
      </c>
      <c r="Q1" s="56" t="s">
        <v>75</v>
      </c>
    </row>
    <row r="2" spans="1:17" x14ac:dyDescent="0.3">
      <c r="A2" s="6"/>
      <c r="B2"/>
      <c r="C2"/>
      <c r="D2" s="7"/>
      <c r="E2"/>
      <c r="F2"/>
      <c r="G2" s="64" t="str">
        <f ca="1">IF(G3="","","차하위멤버의 오버라이드")</f>
        <v/>
      </c>
      <c r="H2" s="64"/>
      <c r="I2" s="64"/>
      <c r="L2" s="17" t="s">
        <v>60</v>
      </c>
      <c r="M2" s="73">
        <f>SUMIF(I:I,"출금완료",K:K)</f>
        <v>0</v>
      </c>
      <c r="N2" s="73"/>
      <c r="O2" t="b">
        <f ca="1">M2=Q2</f>
        <v>1</v>
      </c>
      <c r="P2" s="56" t="s">
        <v>74</v>
      </c>
      <c r="Q2" s="57">
        <f ca="1">SUMIFS(data_table[정산급여],data_table[출금상태],"출금완료",data_table[treecode],"*"&amp;B3&amp;"*")</f>
        <v>0</v>
      </c>
    </row>
    <row r="3" spans="1:17" x14ac:dyDescent="0.3">
      <c r="A3" s="12" t="s">
        <v>36</v>
      </c>
      <c r="B3" s="37" t="s">
        <v>68</v>
      </c>
      <c r="C3"/>
      <c r="D3" s="7"/>
      <c r="E3"/>
      <c r="F3"/>
      <c r="G3" t="str" cm="1">
        <f t="array" aca="1" ref="G3" ca="1">IFERROR(_xlfn.XLOOKUP(OFFSET(_xlfn.ANCHORARRAY(H3),0,0,,1),member_table[사원번호],member_table[성명]),"")</f>
        <v/>
      </c>
      <c r="H3" s="9" t="str" cm="1">
        <f t="array" ref="H3">IFERROR(_xlfn._xlws.FILTER(down_override_table[[#All],[FRID]:[down_override]],down_override_table[[#All],[FLID]]=B3),"")</f>
        <v/>
      </c>
      <c r="I3" s="32"/>
      <c r="L3" s="17" t="s">
        <v>59</v>
      </c>
      <c r="M3" s="73">
        <f>SUMIF(I:I,"출금완료",K:K)-SUMIFS(K:K,I:I,"출금완료",L:L,"INTERN")</f>
        <v>0</v>
      </c>
      <c r="N3" s="73"/>
      <c r="O3" t="b">
        <f ca="1">IF(P3="",M3=Q3,M3=P3)</f>
        <v>1</v>
      </c>
      <c r="P3" s="59" t="str" cm="1">
        <f t="array" ref="P3">TRANSPOSE(_xlfn.XLOOKUP(B3,override_table[FRID],override_table[[팀인정월급액]:[최종override]],""))</f>
        <v/>
      </c>
      <c r="Q3" s="57">
        <f ca="1">SUMIFS(data_table[정산급여],data_table[직책],"&lt;&gt;INTERN",data_table[출금상태],"출금완료",data_table[treecode],"*"&amp;B3&amp;"*")</f>
        <v>0</v>
      </c>
    </row>
    <row r="4" spans="1:17" x14ac:dyDescent="0.3">
      <c r="A4" s="12" t="s">
        <v>37</v>
      </c>
      <c r="B4" s="37" t="str">
        <f>_xlfn.XLOOKUP(B3,members!A:A,members!C:C)</f>
        <v>김명규</v>
      </c>
      <c r="C4"/>
      <c r="D4" s="7"/>
      <c r="E4"/>
      <c r="F4"/>
      <c r="G4"/>
      <c r="I4" s="32"/>
      <c r="L4" s="17" t="s">
        <v>57</v>
      </c>
      <c r="M4" s="73" cm="1">
        <f t="array" ref="M4">IFERROR(SUM(_xlfn._xlws.FILTER(H11:H10002,(YEAR(A11:A10002)=setting!B2)*(MONTH(A11:A10002)=setting!D2)*(G11:G10002="정기후원")*(L11:L10002&lt;&gt;"INTERN"))),0)</f>
        <v>0</v>
      </c>
      <c r="N4" s="73"/>
      <c r="O4" t="b">
        <f>IF(P4="",M4=Q4,M4=P4)</f>
        <v>1</v>
      </c>
      <c r="P4" s="59"/>
      <c r="Q4" s="58" cm="1">
        <f t="array" ref="Q4">IFERROR(
SUM(
    _xlfn._xlws.FILTER(data_table[등록약정액],
    (YEAR(data_table[일자])=IF(setting!D1=1,setting!B1-1,setting!B1))*(MONTH(data_table[일자])=IF(setting!D1=1,12,setting!D1-1))*(ISNUMBER(FIND(B3,data_table[treecode])))*(data_table[등록상태]="정기후원")*(data_table[직책]&lt;&gt;"INTERN"))),0)</f>
        <v>0</v>
      </c>
    </row>
    <row r="5" spans="1:17" x14ac:dyDescent="0.3">
      <c r="A5" s="12" t="s">
        <v>38</v>
      </c>
      <c r="B5" s="37" t="str">
        <f>_xlfn.XLOOKUP(B3,firstday_att[FRID],firstday_att[FRPosition])</f>
        <v>TL</v>
      </c>
      <c r="C5"/>
      <c r="D5" s="7"/>
      <c r="E5"/>
      <c r="F5"/>
      <c r="G5"/>
      <c r="I5" s="32"/>
      <c r="L5" s="17" t="s">
        <v>55</v>
      </c>
      <c r="M5" s="72">
        <f>IF(COUNTIF(override!A:A,B3)=0,0,IF(B5="TL",5%,IF(B5="STL",10%,IF(B5="SD",30%,IF(M4&gt;=8000000,25%,20%)))))</f>
        <v>0</v>
      </c>
      <c r="N5" s="72"/>
      <c r="O5" t="b">
        <f t="shared" ref="O5:O9" si="0">M5=P5</f>
        <v>1</v>
      </c>
      <c r="P5" s="60"/>
    </row>
    <row r="6" spans="1:17" x14ac:dyDescent="0.3">
      <c r="A6" s="12" t="s">
        <v>80</v>
      </c>
      <c r="B6" s="63" t="e">
        <f>_xlfn.XLOOKUP(B3,종합!A:A,종합!D:D)</f>
        <v>#N/A</v>
      </c>
      <c r="C6"/>
      <c r="D6" s="7"/>
      <c r="E6"/>
      <c r="F6"/>
      <c r="G6"/>
      <c r="I6" s="32"/>
      <c r="L6" s="17" t="s">
        <v>56</v>
      </c>
      <c r="M6" s="73">
        <f>M3*M5</f>
        <v>0</v>
      </c>
      <c r="N6" s="73"/>
      <c r="O6" t="b">
        <f t="shared" si="0"/>
        <v>1</v>
      </c>
      <c r="P6" s="59"/>
    </row>
    <row r="7" spans="1:17" x14ac:dyDescent="0.3">
      <c r="A7" s="6"/>
      <c r="B7"/>
      <c r="C7"/>
      <c r="D7" s="7"/>
      <c r="E7"/>
      <c r="F7"/>
      <c r="G7"/>
      <c r="I7" s="32"/>
      <c r="L7" s="17" t="s">
        <v>78</v>
      </c>
      <c r="M7" s="73">
        <f>M6-SUM(I3:I9)</f>
        <v>0</v>
      </c>
      <c r="N7" s="73"/>
      <c r="O7" t="b">
        <f t="shared" si="0"/>
        <v>1</v>
      </c>
      <c r="P7" s="59"/>
    </row>
    <row r="8" spans="1:17" x14ac:dyDescent="0.3">
      <c r="A8" s="6"/>
      <c r="B8"/>
      <c r="C8"/>
      <c r="D8" s="7"/>
      <c r="E8"/>
      <c r="F8"/>
      <c r="G8"/>
      <c r="H8"/>
      <c r="I8"/>
      <c r="L8" s="17" t="s">
        <v>79</v>
      </c>
      <c r="M8" s="72" t="e">
        <f>1-MAX(20-B6,0)/10</f>
        <v>#N/A</v>
      </c>
      <c r="N8" s="72"/>
      <c r="O8" t="e">
        <f t="shared" si="0"/>
        <v>#N/A</v>
      </c>
      <c r="P8" s="61"/>
    </row>
    <row r="9" spans="1:17" x14ac:dyDescent="0.3">
      <c r="A9" s="6"/>
      <c r="B9"/>
      <c r="C9"/>
      <c r="D9" s="7"/>
      <c r="E9"/>
      <c r="F9"/>
      <c r="G9"/>
      <c r="I9" s="32"/>
      <c r="L9" s="17" t="s">
        <v>58</v>
      </c>
      <c r="M9" s="73" t="e">
        <f>M7*M8</f>
        <v>#N/A</v>
      </c>
      <c r="N9" s="73"/>
      <c r="O9" t="e">
        <f t="shared" si="0"/>
        <v>#N/A</v>
      </c>
      <c r="P9" s="62"/>
    </row>
    <row r="10" spans="1:17" ht="17.25" thickBot="1" x14ac:dyDescent="0.35">
      <c r="A10" s="38" t="s">
        <v>0</v>
      </c>
      <c r="B10" s="39" t="s">
        <v>1</v>
      </c>
      <c r="C10" s="39" t="s">
        <v>13</v>
      </c>
      <c r="D10" s="40" t="s">
        <v>2</v>
      </c>
      <c r="E10" s="39" t="s">
        <v>3</v>
      </c>
      <c r="F10" s="39" t="s">
        <v>9</v>
      </c>
      <c r="G10" s="39" t="s">
        <v>4</v>
      </c>
      <c r="H10" s="41" t="s">
        <v>5</v>
      </c>
      <c r="I10" s="39" t="s">
        <v>8</v>
      </c>
      <c r="J10" s="41" t="s">
        <v>6</v>
      </c>
      <c r="K10" s="41" t="s">
        <v>7</v>
      </c>
      <c r="L10" s="39" t="s">
        <v>10</v>
      </c>
      <c r="M10" s="42" t="s">
        <v>11</v>
      </c>
      <c r="N10" s="42" t="s">
        <v>12</v>
      </c>
    </row>
    <row r="11" spans="1:17" ht="17.25" thickTop="1" x14ac:dyDescent="0.3">
      <c r="A11" s="15" t="e" cm="1" vm="1">
        <f t="array" ref="A11">_xlfn._xlws.SORT(_xlfn._xlws.FILTER(data!A:N,ISNUMBER(FIND(B3,data!O:O))),13)</f>
        <v>#VALUE!</v>
      </c>
    </row>
  </sheetData>
  <mergeCells count="10">
    <mergeCell ref="A1:N1"/>
    <mergeCell ref="M2:N2"/>
    <mergeCell ref="M3:N3"/>
    <mergeCell ref="M4:N4"/>
    <mergeCell ref="M5:N5"/>
    <mergeCell ref="M8:N8"/>
    <mergeCell ref="M9:N9"/>
    <mergeCell ref="M6:N6"/>
    <mergeCell ref="M7:N7"/>
    <mergeCell ref="G2:I2"/>
  </mergeCells>
  <phoneticPr fontId="1" type="noConversion"/>
  <conditionalFormatting sqref="G8:I8">
    <cfRule type="expression" dxfId="43" priority="15">
      <formula>G8&lt;&gt;""</formula>
    </cfRule>
  </conditionalFormatting>
  <conditionalFormatting sqref="G2:I2">
    <cfRule type="expression" dxfId="42" priority="14">
      <formula>G2&lt;&gt;""</formula>
    </cfRule>
  </conditionalFormatting>
  <conditionalFormatting sqref="A11:N2537">
    <cfRule type="expression" dxfId="41" priority="12">
      <formula>$M11&lt;&gt;$M12</formula>
    </cfRule>
    <cfRule type="expression" dxfId="40" priority="13">
      <formula>$A11&lt;&gt;$A12</formula>
    </cfRule>
  </conditionalFormatting>
  <conditionalFormatting sqref="A11:N2000">
    <cfRule type="expression" dxfId="39" priority="2">
      <formula>$I11="진행중"</formula>
    </cfRule>
    <cfRule type="expression" dxfId="38" priority="3">
      <formula>$I11="보류"</formula>
    </cfRule>
    <cfRule type="expression" dxfId="37" priority="4">
      <formula>$I11="금액미만"</formula>
    </cfRule>
    <cfRule type="expression" dxfId="36" priority="5">
      <formula>$I11="나이미만"</formula>
    </cfRule>
    <cfRule type="expression" dxfId="35" priority="6">
      <formula>$I11="정보오류"</formula>
    </cfRule>
    <cfRule type="expression" dxfId="34" priority="7">
      <formula>$I11="일시후원"</formula>
    </cfRule>
    <cfRule type="expression" dxfId="33" priority="8">
      <formula>$I11="기간한정"</formula>
    </cfRule>
    <cfRule type="expression" dxfId="32" priority="9">
      <formula>$I11="취소"</formula>
    </cfRule>
    <cfRule type="expression" dxfId="31" priority="1">
      <formula>$I11="중복후원"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3" fitToHeight="0" orientation="portrait" r:id="rId1"/>
  <headerFooter>
    <oddHeader>&amp;L&amp;G</oddHeader>
    <oddFooter>&amp;C&amp;P/&amp;N&amp;R&amp;G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952E2-7E38-48A4-8860-20C4BBB9E8DB}">
  <sheetPr codeName="Sheet10"/>
  <dimension ref="A1:K267"/>
  <sheetViews>
    <sheetView workbookViewId="0">
      <selection activeCell="F1" sqref="F1"/>
    </sheetView>
  </sheetViews>
  <sheetFormatPr defaultRowHeight="16.5" x14ac:dyDescent="0.3"/>
  <cols>
    <col min="4" max="4" width="6.75" style="46" customWidth="1"/>
    <col min="5" max="5" width="14.125" style="47" bestFit="1" customWidth="1"/>
    <col min="6" max="6" width="15.625" style="19" bestFit="1" customWidth="1"/>
    <col min="7" max="7" width="6.75" style="20" bestFit="1" customWidth="1"/>
    <col min="8" max="8" width="15.5" style="21" bestFit="1" customWidth="1"/>
    <col min="9" max="9" width="10.125" style="21" bestFit="1" customWidth="1"/>
    <col min="10" max="10" width="15.625" style="22" bestFit="1" customWidth="1"/>
    <col min="11" max="11" width="12.25" style="22" bestFit="1" customWidth="1"/>
  </cols>
  <sheetData>
    <row r="1" spans="1:11" x14ac:dyDescent="0.3">
      <c r="D1"/>
      <c r="E1" t="str">
        <f>""</f>
        <v/>
      </c>
      <c r="F1" s="31" t="e" vm="2">
        <f>SUM(F2:F10000)</f>
        <v>#VALUE!</v>
      </c>
      <c r="G1" t="e" vm="2">
        <f>F1=종합!O4</f>
        <v>#VALUE!</v>
      </c>
      <c r="H1"/>
      <c r="I1"/>
      <c r="J1" s="31" t="e" vm="2">
        <f>SUM(J2:J10000)</f>
        <v>#VALUE!</v>
      </c>
      <c r="K1" t="e" vm="2">
        <f>J1=종합!M4</f>
        <v>#VALUE!</v>
      </c>
    </row>
    <row r="2" spans="1:11" x14ac:dyDescent="0.3">
      <c r="A2" t="e" cm="1" vm="1">
        <f t="array" ref="A2">_xlfn._xlws.FILTER(종합!A5:B1000,종합!A5:A1000&lt;&gt;"")</f>
        <v>#VALUE!</v>
      </c>
      <c r="D2" s="46" t="e" cm="1" vm="2">
        <f t="array" ref="D2">_xlfn.XLOOKUP(_xlfn._xlws.FILTER(A2:A1000,A2:A1000&lt;&gt;""),members!A:A,members!D:D,"NoData")</f>
        <v>#VALUE!</v>
      </c>
      <c r="E2" s="47" t="e" cm="1" vm="2">
        <f t="array" ref="E2">_xlfn.XLOOKUP(_xlfn._xlws.FILTER(A2:A1000,A2:A1000&lt;&gt;""),members!A:A,members!F:F,"NoData")</f>
        <v>#VALUE!</v>
      </c>
      <c r="F2" s="19" t="e" vm="2">
        <f>IF(A2="","",J2-ROUNDDOWN(J2*3%,-1)-ROUNDDOWN(J2*0.3%,-1))</f>
        <v>#VALUE!</v>
      </c>
      <c r="G2" s="20" t="e" cm="1" vm="2">
        <f t="array" ref="G2">_xlfn.XLOOKUP(_xlfn._xlws.FILTER(A2:A1000,A2:A1000&lt;&gt;""),members!A:A,members!G:G,"NoData")</f>
        <v>#VALUE!</v>
      </c>
      <c r="H2" s="21" t="e" cm="1" vm="2">
        <f t="array" ref="H2">IF(_xlfn._xlws.FILTER(A2:A1000,A2:A1000&lt;&gt;"")="","","㈜프로젝트엔급여")</f>
        <v>#VALUE!</v>
      </c>
      <c r="I2" s="21" t="e" cm="1" vm="2">
        <f t="array" ref="I2">IF(_xlfn._xlws.FILTER(A2:A1000,A2:A1000&lt;&gt;"")="","","업무커미션")</f>
        <v>#VALUE!</v>
      </c>
      <c r="J2" s="22" t="e" cm="1" vm="2">
        <f t="array" ref="J2">_xlfn.XLOOKUP(_xlfn._xlws.FILTER(A2:A1000,A2:A1000&lt;&gt;""),종합!A:A,종합!M:M)</f>
        <v>#VALUE!</v>
      </c>
      <c r="K2" s="23" t="e" cm="1" vm="2">
        <f t="array" ref="K2">_xlfn.XLOOKUP(_xlfn._xlws.FILTER(A2:A1000,A2:A1000&lt;&gt;""),members!A:A,members!B:B,"NoData")</f>
        <v>#VALUE!</v>
      </c>
    </row>
    <row r="3" spans="1:11" x14ac:dyDescent="0.3">
      <c r="F3" s="19" t="str">
        <f t="shared" ref="F3:F66" si="0">IF(A3="","",J3-ROUNDDOWN(J3*3%,-1)-ROUNDDOWN(J3*0.3%,-1))</f>
        <v/>
      </c>
      <c r="K3" s="23"/>
    </row>
    <row r="4" spans="1:11" x14ac:dyDescent="0.3">
      <c r="F4" s="19" t="str">
        <f t="shared" si="0"/>
        <v/>
      </c>
      <c r="K4" s="23"/>
    </row>
    <row r="5" spans="1:11" x14ac:dyDescent="0.3">
      <c r="F5" s="19" t="str">
        <f t="shared" si="0"/>
        <v/>
      </c>
      <c r="K5" s="23"/>
    </row>
    <row r="6" spans="1:11" x14ac:dyDescent="0.3">
      <c r="F6" s="19" t="str">
        <f t="shared" si="0"/>
        <v/>
      </c>
      <c r="K6" s="23"/>
    </row>
    <row r="7" spans="1:11" x14ac:dyDescent="0.3">
      <c r="F7" s="19" t="str">
        <f t="shared" si="0"/>
        <v/>
      </c>
      <c r="K7" s="23"/>
    </row>
    <row r="8" spans="1:11" x14ac:dyDescent="0.3">
      <c r="F8" s="19" t="str">
        <f t="shared" si="0"/>
        <v/>
      </c>
      <c r="K8" s="23"/>
    </row>
    <row r="9" spans="1:11" x14ac:dyDescent="0.3">
      <c r="F9" s="19" t="str">
        <f t="shared" si="0"/>
        <v/>
      </c>
      <c r="K9" s="23"/>
    </row>
    <row r="10" spans="1:11" x14ac:dyDescent="0.3">
      <c r="F10" s="19" t="str">
        <f t="shared" si="0"/>
        <v/>
      </c>
      <c r="K10" s="23"/>
    </row>
    <row r="11" spans="1:11" x14ac:dyDescent="0.3">
      <c r="F11" s="19" t="str">
        <f t="shared" si="0"/>
        <v/>
      </c>
      <c r="K11" s="23"/>
    </row>
    <row r="12" spans="1:11" x14ac:dyDescent="0.3">
      <c r="F12" s="19" t="str">
        <f t="shared" si="0"/>
        <v/>
      </c>
      <c r="K12" s="23"/>
    </row>
    <row r="13" spans="1:11" x14ac:dyDescent="0.3">
      <c r="F13" s="19" t="str">
        <f t="shared" si="0"/>
        <v/>
      </c>
      <c r="K13" s="23"/>
    </row>
    <row r="14" spans="1:11" x14ac:dyDescent="0.3">
      <c r="F14" s="19" t="str">
        <f t="shared" si="0"/>
        <v/>
      </c>
      <c r="K14" s="23"/>
    </row>
    <row r="15" spans="1:11" x14ac:dyDescent="0.3">
      <c r="F15" s="19" t="str">
        <f t="shared" si="0"/>
        <v/>
      </c>
      <c r="K15" s="23"/>
    </row>
    <row r="16" spans="1:11" x14ac:dyDescent="0.3">
      <c r="F16" s="19" t="str">
        <f t="shared" si="0"/>
        <v/>
      </c>
      <c r="K16" s="23"/>
    </row>
    <row r="17" spans="6:11" x14ac:dyDescent="0.3">
      <c r="F17" s="19" t="str">
        <f t="shared" si="0"/>
        <v/>
      </c>
      <c r="K17" s="23"/>
    </row>
    <row r="18" spans="6:11" x14ac:dyDescent="0.3">
      <c r="F18" s="19" t="str">
        <f t="shared" si="0"/>
        <v/>
      </c>
      <c r="K18" s="23"/>
    </row>
    <row r="19" spans="6:11" x14ac:dyDescent="0.3">
      <c r="F19" s="19" t="str">
        <f t="shared" si="0"/>
        <v/>
      </c>
      <c r="K19" s="23"/>
    </row>
    <row r="20" spans="6:11" x14ac:dyDescent="0.3">
      <c r="F20" s="19" t="str">
        <f t="shared" si="0"/>
        <v/>
      </c>
      <c r="K20" s="23"/>
    </row>
    <row r="21" spans="6:11" x14ac:dyDescent="0.3">
      <c r="F21" s="19" t="str">
        <f t="shared" si="0"/>
        <v/>
      </c>
      <c r="K21" s="23"/>
    </row>
    <row r="22" spans="6:11" x14ac:dyDescent="0.3">
      <c r="F22" s="19" t="str">
        <f t="shared" si="0"/>
        <v/>
      </c>
      <c r="K22" s="23"/>
    </row>
    <row r="23" spans="6:11" x14ac:dyDescent="0.3">
      <c r="F23" s="19" t="str">
        <f t="shared" si="0"/>
        <v/>
      </c>
      <c r="K23" s="23"/>
    </row>
    <row r="24" spans="6:11" x14ac:dyDescent="0.3">
      <c r="F24" s="19" t="str">
        <f t="shared" si="0"/>
        <v/>
      </c>
      <c r="K24" s="23"/>
    </row>
    <row r="25" spans="6:11" x14ac:dyDescent="0.3">
      <c r="F25" s="19" t="str">
        <f t="shared" si="0"/>
        <v/>
      </c>
      <c r="K25" s="23"/>
    </row>
    <row r="26" spans="6:11" x14ac:dyDescent="0.3">
      <c r="F26" s="19" t="str">
        <f t="shared" si="0"/>
        <v/>
      </c>
      <c r="K26" s="23"/>
    </row>
    <row r="27" spans="6:11" x14ac:dyDescent="0.3">
      <c r="F27" s="19" t="str">
        <f t="shared" si="0"/>
        <v/>
      </c>
      <c r="K27" s="23"/>
    </row>
    <row r="28" spans="6:11" x14ac:dyDescent="0.3">
      <c r="F28" s="19" t="str">
        <f t="shared" si="0"/>
        <v/>
      </c>
      <c r="K28" s="23"/>
    </row>
    <row r="29" spans="6:11" x14ac:dyDescent="0.3">
      <c r="F29" s="19" t="str">
        <f t="shared" si="0"/>
        <v/>
      </c>
      <c r="K29" s="23"/>
    </row>
    <row r="30" spans="6:11" x14ac:dyDescent="0.3">
      <c r="F30" s="19" t="str">
        <f t="shared" si="0"/>
        <v/>
      </c>
      <c r="K30" s="23"/>
    </row>
    <row r="31" spans="6:11" x14ac:dyDescent="0.3">
      <c r="F31" s="19" t="str">
        <f t="shared" si="0"/>
        <v/>
      </c>
      <c r="K31" s="23"/>
    </row>
    <row r="32" spans="6:11" x14ac:dyDescent="0.3">
      <c r="F32" s="19" t="str">
        <f t="shared" si="0"/>
        <v/>
      </c>
      <c r="K32" s="23"/>
    </row>
    <row r="33" spans="6:11" x14ac:dyDescent="0.3">
      <c r="F33" s="19" t="str">
        <f t="shared" si="0"/>
        <v/>
      </c>
      <c r="K33" s="23"/>
    </row>
    <row r="34" spans="6:11" x14ac:dyDescent="0.3">
      <c r="F34" s="19" t="str">
        <f t="shared" si="0"/>
        <v/>
      </c>
      <c r="K34" s="23"/>
    </row>
    <row r="35" spans="6:11" x14ac:dyDescent="0.3">
      <c r="F35" s="19" t="str">
        <f t="shared" si="0"/>
        <v/>
      </c>
      <c r="K35" s="23"/>
    </row>
    <row r="36" spans="6:11" x14ac:dyDescent="0.3">
      <c r="F36" s="19" t="str">
        <f t="shared" si="0"/>
        <v/>
      </c>
      <c r="K36" s="23"/>
    </row>
    <row r="37" spans="6:11" x14ac:dyDescent="0.3">
      <c r="F37" s="19" t="str">
        <f t="shared" si="0"/>
        <v/>
      </c>
      <c r="K37" s="23"/>
    </row>
    <row r="38" spans="6:11" x14ac:dyDescent="0.3">
      <c r="F38" s="19" t="str">
        <f t="shared" si="0"/>
        <v/>
      </c>
      <c r="K38" s="23"/>
    </row>
    <row r="39" spans="6:11" x14ac:dyDescent="0.3">
      <c r="F39" s="19" t="str">
        <f t="shared" si="0"/>
        <v/>
      </c>
      <c r="K39" s="23"/>
    </row>
    <row r="40" spans="6:11" x14ac:dyDescent="0.3">
      <c r="F40" s="19" t="str">
        <f t="shared" si="0"/>
        <v/>
      </c>
      <c r="K40" s="23"/>
    </row>
    <row r="41" spans="6:11" x14ac:dyDescent="0.3">
      <c r="F41" s="19" t="str">
        <f t="shared" si="0"/>
        <v/>
      </c>
      <c r="K41" s="23"/>
    </row>
    <row r="42" spans="6:11" x14ac:dyDescent="0.3">
      <c r="F42" s="19" t="str">
        <f t="shared" si="0"/>
        <v/>
      </c>
      <c r="K42" s="23"/>
    </row>
    <row r="43" spans="6:11" x14ac:dyDescent="0.3">
      <c r="F43" s="19" t="str">
        <f t="shared" si="0"/>
        <v/>
      </c>
      <c r="K43" s="23"/>
    </row>
    <row r="44" spans="6:11" x14ac:dyDescent="0.3">
      <c r="F44" s="19" t="str">
        <f t="shared" si="0"/>
        <v/>
      </c>
      <c r="K44" s="23"/>
    </row>
    <row r="45" spans="6:11" x14ac:dyDescent="0.3">
      <c r="F45" s="19" t="str">
        <f t="shared" si="0"/>
        <v/>
      </c>
      <c r="K45" s="23"/>
    </row>
    <row r="46" spans="6:11" x14ac:dyDescent="0.3">
      <c r="F46" s="19" t="str">
        <f t="shared" si="0"/>
        <v/>
      </c>
      <c r="K46" s="23"/>
    </row>
    <row r="47" spans="6:11" x14ac:dyDescent="0.3">
      <c r="F47" s="19" t="str">
        <f t="shared" si="0"/>
        <v/>
      </c>
      <c r="K47" s="23"/>
    </row>
    <row r="48" spans="6:11" x14ac:dyDescent="0.3">
      <c r="F48" s="19" t="str">
        <f t="shared" si="0"/>
        <v/>
      </c>
      <c r="K48" s="23"/>
    </row>
    <row r="49" spans="6:11" x14ac:dyDescent="0.3">
      <c r="F49" s="19" t="str">
        <f t="shared" si="0"/>
        <v/>
      </c>
      <c r="K49" s="23"/>
    </row>
    <row r="50" spans="6:11" x14ac:dyDescent="0.3">
      <c r="F50" s="19" t="str">
        <f t="shared" si="0"/>
        <v/>
      </c>
      <c r="K50" s="23"/>
    </row>
    <row r="51" spans="6:11" x14ac:dyDescent="0.3">
      <c r="F51" s="19" t="str">
        <f t="shared" si="0"/>
        <v/>
      </c>
      <c r="K51" s="23"/>
    </row>
    <row r="52" spans="6:11" x14ac:dyDescent="0.3">
      <c r="F52" s="19" t="str">
        <f t="shared" si="0"/>
        <v/>
      </c>
      <c r="K52" s="23"/>
    </row>
    <row r="53" spans="6:11" x14ac:dyDescent="0.3">
      <c r="F53" s="19" t="str">
        <f t="shared" si="0"/>
        <v/>
      </c>
      <c r="K53" s="23"/>
    </row>
    <row r="54" spans="6:11" x14ac:dyDescent="0.3">
      <c r="F54" s="19" t="str">
        <f t="shared" si="0"/>
        <v/>
      </c>
      <c r="K54" s="23"/>
    </row>
    <row r="55" spans="6:11" x14ac:dyDescent="0.3">
      <c r="F55" s="19" t="str">
        <f t="shared" si="0"/>
        <v/>
      </c>
      <c r="K55" s="23"/>
    </row>
    <row r="56" spans="6:11" x14ac:dyDescent="0.3">
      <c r="F56" s="19" t="str">
        <f t="shared" si="0"/>
        <v/>
      </c>
      <c r="K56" s="23"/>
    </row>
    <row r="57" spans="6:11" x14ac:dyDescent="0.3">
      <c r="F57" s="19" t="str">
        <f t="shared" si="0"/>
        <v/>
      </c>
      <c r="K57" s="23"/>
    </row>
    <row r="58" spans="6:11" x14ac:dyDescent="0.3">
      <c r="F58" s="19" t="str">
        <f t="shared" si="0"/>
        <v/>
      </c>
      <c r="K58" s="23"/>
    </row>
    <row r="59" spans="6:11" x14ac:dyDescent="0.3">
      <c r="F59" s="19" t="str">
        <f t="shared" si="0"/>
        <v/>
      </c>
      <c r="K59" s="23"/>
    </row>
    <row r="60" spans="6:11" x14ac:dyDescent="0.3">
      <c r="F60" s="19" t="str">
        <f t="shared" si="0"/>
        <v/>
      </c>
      <c r="K60" s="23"/>
    </row>
    <row r="61" spans="6:11" x14ac:dyDescent="0.3">
      <c r="F61" s="19" t="str">
        <f t="shared" si="0"/>
        <v/>
      </c>
      <c r="K61" s="23"/>
    </row>
    <row r="62" spans="6:11" x14ac:dyDescent="0.3">
      <c r="F62" s="19" t="str">
        <f t="shared" si="0"/>
        <v/>
      </c>
      <c r="K62" s="23"/>
    </row>
    <row r="63" spans="6:11" x14ac:dyDescent="0.3">
      <c r="F63" s="19" t="str">
        <f t="shared" si="0"/>
        <v/>
      </c>
      <c r="K63" s="23"/>
    </row>
    <row r="64" spans="6:11" x14ac:dyDescent="0.3">
      <c r="F64" s="19" t="str">
        <f t="shared" si="0"/>
        <v/>
      </c>
      <c r="K64" s="23"/>
    </row>
    <row r="65" spans="6:11" x14ac:dyDescent="0.3">
      <c r="F65" s="19" t="str">
        <f t="shared" si="0"/>
        <v/>
      </c>
      <c r="K65" s="23"/>
    </row>
    <row r="66" spans="6:11" x14ac:dyDescent="0.3">
      <c r="F66" s="19" t="str">
        <f t="shared" si="0"/>
        <v/>
      </c>
      <c r="K66" s="23"/>
    </row>
    <row r="67" spans="6:11" x14ac:dyDescent="0.3">
      <c r="F67" s="19" t="str">
        <f t="shared" ref="F67:F130" si="1">IF(A67="","",J67-ROUNDDOWN(J67*3%,-1)-ROUNDDOWN(J67*0.3%,-1))</f>
        <v/>
      </c>
      <c r="K67" s="23"/>
    </row>
    <row r="68" spans="6:11" x14ac:dyDescent="0.3">
      <c r="F68" s="19" t="str">
        <f t="shared" si="1"/>
        <v/>
      </c>
      <c r="K68" s="23"/>
    </row>
    <row r="69" spans="6:11" x14ac:dyDescent="0.3">
      <c r="F69" s="19" t="str">
        <f t="shared" si="1"/>
        <v/>
      </c>
      <c r="K69" s="23"/>
    </row>
    <row r="70" spans="6:11" x14ac:dyDescent="0.3">
      <c r="F70" s="19" t="str">
        <f t="shared" si="1"/>
        <v/>
      </c>
      <c r="K70" s="23"/>
    </row>
    <row r="71" spans="6:11" x14ac:dyDescent="0.3">
      <c r="F71" s="19" t="str">
        <f t="shared" si="1"/>
        <v/>
      </c>
      <c r="K71" s="23"/>
    </row>
    <row r="72" spans="6:11" x14ac:dyDescent="0.3">
      <c r="F72" s="19" t="str">
        <f t="shared" si="1"/>
        <v/>
      </c>
      <c r="K72" s="23"/>
    </row>
    <row r="73" spans="6:11" x14ac:dyDescent="0.3">
      <c r="F73" s="19" t="str">
        <f t="shared" si="1"/>
        <v/>
      </c>
      <c r="K73" s="23"/>
    </row>
    <row r="74" spans="6:11" x14ac:dyDescent="0.3">
      <c r="F74" s="19" t="str">
        <f t="shared" si="1"/>
        <v/>
      </c>
      <c r="K74" s="23"/>
    </row>
    <row r="75" spans="6:11" x14ac:dyDescent="0.3">
      <c r="F75" s="19" t="str">
        <f t="shared" si="1"/>
        <v/>
      </c>
      <c r="K75" s="23"/>
    </row>
    <row r="76" spans="6:11" x14ac:dyDescent="0.3">
      <c r="F76" s="19" t="str">
        <f t="shared" si="1"/>
        <v/>
      </c>
      <c r="K76" s="23"/>
    </row>
    <row r="77" spans="6:11" x14ac:dyDescent="0.3">
      <c r="F77" s="19" t="str">
        <f t="shared" si="1"/>
        <v/>
      </c>
      <c r="K77" s="23"/>
    </row>
    <row r="78" spans="6:11" x14ac:dyDescent="0.3">
      <c r="F78" s="19" t="str">
        <f t="shared" si="1"/>
        <v/>
      </c>
      <c r="K78" s="23"/>
    </row>
    <row r="79" spans="6:11" x14ac:dyDescent="0.3">
      <c r="F79" s="19" t="str">
        <f t="shared" si="1"/>
        <v/>
      </c>
      <c r="K79" s="23"/>
    </row>
    <row r="80" spans="6:11" x14ac:dyDescent="0.3">
      <c r="F80" s="19" t="str">
        <f t="shared" si="1"/>
        <v/>
      </c>
      <c r="K80" s="23"/>
    </row>
    <row r="81" spans="6:11" x14ac:dyDescent="0.3">
      <c r="F81" s="19" t="str">
        <f t="shared" si="1"/>
        <v/>
      </c>
      <c r="K81" s="23"/>
    </row>
    <row r="82" spans="6:11" x14ac:dyDescent="0.3">
      <c r="F82" s="19" t="str">
        <f t="shared" si="1"/>
        <v/>
      </c>
      <c r="K82" s="23"/>
    </row>
    <row r="83" spans="6:11" x14ac:dyDescent="0.3">
      <c r="F83" s="19" t="str">
        <f t="shared" si="1"/>
        <v/>
      </c>
      <c r="K83" s="23"/>
    </row>
    <row r="84" spans="6:11" x14ac:dyDescent="0.3">
      <c r="F84" s="19" t="str">
        <f t="shared" si="1"/>
        <v/>
      </c>
      <c r="K84" s="23"/>
    </row>
    <row r="85" spans="6:11" x14ac:dyDescent="0.3">
      <c r="F85" s="19" t="str">
        <f t="shared" si="1"/>
        <v/>
      </c>
      <c r="K85" s="23"/>
    </row>
    <row r="86" spans="6:11" x14ac:dyDescent="0.3">
      <c r="F86" s="19" t="str">
        <f t="shared" si="1"/>
        <v/>
      </c>
      <c r="K86" s="23"/>
    </row>
    <row r="87" spans="6:11" x14ac:dyDescent="0.3">
      <c r="F87" s="19" t="str">
        <f t="shared" si="1"/>
        <v/>
      </c>
      <c r="K87" s="23"/>
    </row>
    <row r="88" spans="6:11" x14ac:dyDescent="0.3">
      <c r="F88" s="19" t="str">
        <f t="shared" si="1"/>
        <v/>
      </c>
      <c r="K88" s="23"/>
    </row>
    <row r="89" spans="6:11" x14ac:dyDescent="0.3">
      <c r="F89" s="19" t="str">
        <f t="shared" si="1"/>
        <v/>
      </c>
      <c r="K89" s="23"/>
    </row>
    <row r="90" spans="6:11" x14ac:dyDescent="0.3">
      <c r="F90" s="19" t="str">
        <f t="shared" si="1"/>
        <v/>
      </c>
      <c r="K90" s="23"/>
    </row>
    <row r="91" spans="6:11" x14ac:dyDescent="0.3">
      <c r="F91" s="19" t="str">
        <f t="shared" si="1"/>
        <v/>
      </c>
      <c r="K91" s="23"/>
    </row>
    <row r="92" spans="6:11" x14ac:dyDescent="0.3">
      <c r="F92" s="19" t="str">
        <f t="shared" si="1"/>
        <v/>
      </c>
      <c r="K92" s="23"/>
    </row>
    <row r="93" spans="6:11" x14ac:dyDescent="0.3">
      <c r="F93" s="19" t="str">
        <f t="shared" si="1"/>
        <v/>
      </c>
      <c r="K93" s="23"/>
    </row>
    <row r="94" spans="6:11" x14ac:dyDescent="0.3">
      <c r="F94" s="19" t="str">
        <f t="shared" si="1"/>
        <v/>
      </c>
      <c r="K94" s="23"/>
    </row>
    <row r="95" spans="6:11" x14ac:dyDescent="0.3">
      <c r="F95" s="19" t="str">
        <f t="shared" si="1"/>
        <v/>
      </c>
      <c r="K95" s="23"/>
    </row>
    <row r="96" spans="6:11" x14ac:dyDescent="0.3">
      <c r="F96" s="19" t="str">
        <f t="shared" si="1"/>
        <v/>
      </c>
      <c r="K96" s="23"/>
    </row>
    <row r="97" spans="6:11" x14ac:dyDescent="0.3">
      <c r="F97" s="19" t="str">
        <f t="shared" si="1"/>
        <v/>
      </c>
      <c r="K97" s="23"/>
    </row>
    <row r="98" spans="6:11" x14ac:dyDescent="0.3">
      <c r="F98" s="19" t="str">
        <f t="shared" si="1"/>
        <v/>
      </c>
      <c r="K98" s="23"/>
    </row>
    <row r="99" spans="6:11" x14ac:dyDescent="0.3">
      <c r="F99" s="19" t="str">
        <f t="shared" si="1"/>
        <v/>
      </c>
      <c r="K99" s="23"/>
    </row>
    <row r="100" spans="6:11" x14ac:dyDescent="0.3">
      <c r="F100" s="19" t="str">
        <f t="shared" si="1"/>
        <v/>
      </c>
      <c r="K100" s="23"/>
    </row>
    <row r="101" spans="6:11" x14ac:dyDescent="0.3">
      <c r="F101" s="19" t="str">
        <f t="shared" si="1"/>
        <v/>
      </c>
      <c r="K101" s="23"/>
    </row>
    <row r="102" spans="6:11" x14ac:dyDescent="0.3">
      <c r="F102" s="19" t="str">
        <f t="shared" si="1"/>
        <v/>
      </c>
      <c r="K102" s="23"/>
    </row>
    <row r="103" spans="6:11" x14ac:dyDescent="0.3">
      <c r="F103" s="19" t="str">
        <f t="shared" si="1"/>
        <v/>
      </c>
      <c r="K103" s="23"/>
    </row>
    <row r="104" spans="6:11" x14ac:dyDescent="0.3">
      <c r="F104" s="19" t="str">
        <f t="shared" si="1"/>
        <v/>
      </c>
      <c r="K104" s="23"/>
    </row>
    <row r="105" spans="6:11" x14ac:dyDescent="0.3">
      <c r="F105" s="19" t="str">
        <f t="shared" si="1"/>
        <v/>
      </c>
      <c r="K105" s="23"/>
    </row>
    <row r="106" spans="6:11" x14ac:dyDescent="0.3">
      <c r="F106" s="19" t="str">
        <f t="shared" si="1"/>
        <v/>
      </c>
      <c r="K106" s="23"/>
    </row>
    <row r="107" spans="6:11" x14ac:dyDescent="0.3">
      <c r="F107" s="19" t="str">
        <f t="shared" si="1"/>
        <v/>
      </c>
      <c r="K107" s="23"/>
    </row>
    <row r="108" spans="6:11" x14ac:dyDescent="0.3">
      <c r="F108" s="19" t="str">
        <f t="shared" si="1"/>
        <v/>
      </c>
      <c r="K108" s="23"/>
    </row>
    <row r="109" spans="6:11" x14ac:dyDescent="0.3">
      <c r="F109" s="19" t="str">
        <f t="shared" si="1"/>
        <v/>
      </c>
      <c r="K109" s="23"/>
    </row>
    <row r="110" spans="6:11" x14ac:dyDescent="0.3">
      <c r="F110" s="19" t="str">
        <f t="shared" si="1"/>
        <v/>
      </c>
      <c r="K110" s="23"/>
    </row>
    <row r="111" spans="6:11" x14ac:dyDescent="0.3">
      <c r="F111" s="19" t="str">
        <f t="shared" si="1"/>
        <v/>
      </c>
      <c r="K111" s="23"/>
    </row>
    <row r="112" spans="6:11" x14ac:dyDescent="0.3">
      <c r="F112" s="19" t="str">
        <f t="shared" si="1"/>
        <v/>
      </c>
      <c r="K112" s="23"/>
    </row>
    <row r="113" spans="6:11" x14ac:dyDescent="0.3">
      <c r="F113" s="19" t="str">
        <f t="shared" si="1"/>
        <v/>
      </c>
      <c r="K113" s="23"/>
    </row>
    <row r="114" spans="6:11" x14ac:dyDescent="0.3">
      <c r="F114" s="19" t="str">
        <f t="shared" si="1"/>
        <v/>
      </c>
      <c r="K114" s="23"/>
    </row>
    <row r="115" spans="6:11" x14ac:dyDescent="0.3">
      <c r="F115" s="19" t="str">
        <f t="shared" si="1"/>
        <v/>
      </c>
      <c r="K115" s="23"/>
    </row>
    <row r="116" spans="6:11" x14ac:dyDescent="0.3">
      <c r="F116" s="19" t="str">
        <f t="shared" si="1"/>
        <v/>
      </c>
      <c r="K116" s="23"/>
    </row>
    <row r="117" spans="6:11" x14ac:dyDescent="0.3">
      <c r="F117" s="19" t="str">
        <f t="shared" si="1"/>
        <v/>
      </c>
      <c r="K117" s="23"/>
    </row>
    <row r="118" spans="6:11" x14ac:dyDescent="0.3">
      <c r="F118" s="19" t="str">
        <f t="shared" si="1"/>
        <v/>
      </c>
      <c r="K118" s="23"/>
    </row>
    <row r="119" spans="6:11" x14ac:dyDescent="0.3">
      <c r="F119" s="19" t="str">
        <f t="shared" si="1"/>
        <v/>
      </c>
      <c r="K119" s="23"/>
    </row>
    <row r="120" spans="6:11" x14ac:dyDescent="0.3">
      <c r="F120" s="19" t="str">
        <f t="shared" si="1"/>
        <v/>
      </c>
      <c r="K120" s="23"/>
    </row>
    <row r="121" spans="6:11" x14ac:dyDescent="0.3">
      <c r="F121" s="19" t="str">
        <f t="shared" si="1"/>
        <v/>
      </c>
      <c r="K121" s="23"/>
    </row>
    <row r="122" spans="6:11" x14ac:dyDescent="0.3">
      <c r="F122" s="19" t="str">
        <f t="shared" si="1"/>
        <v/>
      </c>
      <c r="K122" s="23"/>
    </row>
    <row r="123" spans="6:11" x14ac:dyDescent="0.3">
      <c r="F123" s="19" t="str">
        <f t="shared" si="1"/>
        <v/>
      </c>
      <c r="K123" s="23"/>
    </row>
    <row r="124" spans="6:11" x14ac:dyDescent="0.3">
      <c r="F124" s="19" t="str">
        <f t="shared" si="1"/>
        <v/>
      </c>
      <c r="K124" s="23"/>
    </row>
    <row r="125" spans="6:11" x14ac:dyDescent="0.3">
      <c r="F125" s="19" t="str">
        <f t="shared" si="1"/>
        <v/>
      </c>
      <c r="K125" s="23"/>
    </row>
    <row r="126" spans="6:11" x14ac:dyDescent="0.3">
      <c r="F126" s="19" t="str">
        <f t="shared" si="1"/>
        <v/>
      </c>
      <c r="K126" s="23"/>
    </row>
    <row r="127" spans="6:11" x14ac:dyDescent="0.3">
      <c r="F127" s="19" t="str">
        <f t="shared" si="1"/>
        <v/>
      </c>
      <c r="K127" s="23"/>
    </row>
    <row r="128" spans="6:11" x14ac:dyDescent="0.3">
      <c r="F128" s="19" t="str">
        <f t="shared" si="1"/>
        <v/>
      </c>
      <c r="K128" s="23"/>
    </row>
    <row r="129" spans="6:11" x14ac:dyDescent="0.3">
      <c r="F129" s="19" t="str">
        <f t="shared" si="1"/>
        <v/>
      </c>
      <c r="K129" s="23"/>
    </row>
    <row r="130" spans="6:11" x14ac:dyDescent="0.3">
      <c r="F130" s="19" t="str">
        <f t="shared" si="1"/>
        <v/>
      </c>
      <c r="K130" s="23"/>
    </row>
    <row r="131" spans="6:11" x14ac:dyDescent="0.3">
      <c r="F131" s="19" t="str">
        <f t="shared" ref="F131:F194" si="2">IF(A131="","",J131-ROUNDDOWN(J131*3%,-1)-ROUNDDOWN(J131*0.3%,-1))</f>
        <v/>
      </c>
      <c r="K131" s="23"/>
    </row>
    <row r="132" spans="6:11" x14ac:dyDescent="0.3">
      <c r="F132" s="19" t="str">
        <f t="shared" si="2"/>
        <v/>
      </c>
      <c r="K132" s="23"/>
    </row>
    <row r="133" spans="6:11" x14ac:dyDescent="0.3">
      <c r="F133" s="19" t="str">
        <f t="shared" si="2"/>
        <v/>
      </c>
      <c r="K133" s="23"/>
    </row>
    <row r="134" spans="6:11" x14ac:dyDescent="0.3">
      <c r="F134" s="19" t="str">
        <f t="shared" si="2"/>
        <v/>
      </c>
      <c r="K134" s="23"/>
    </row>
    <row r="135" spans="6:11" x14ac:dyDescent="0.3">
      <c r="F135" s="19" t="str">
        <f t="shared" si="2"/>
        <v/>
      </c>
      <c r="K135" s="23"/>
    </row>
    <row r="136" spans="6:11" x14ac:dyDescent="0.3">
      <c r="F136" s="19" t="str">
        <f t="shared" si="2"/>
        <v/>
      </c>
      <c r="K136" s="23"/>
    </row>
    <row r="137" spans="6:11" x14ac:dyDescent="0.3">
      <c r="F137" s="19" t="str">
        <f t="shared" si="2"/>
        <v/>
      </c>
      <c r="K137" s="23"/>
    </row>
    <row r="138" spans="6:11" x14ac:dyDescent="0.3">
      <c r="F138" s="19" t="str">
        <f t="shared" si="2"/>
        <v/>
      </c>
      <c r="K138" s="23"/>
    </row>
    <row r="139" spans="6:11" x14ac:dyDescent="0.3">
      <c r="F139" s="19" t="str">
        <f t="shared" si="2"/>
        <v/>
      </c>
      <c r="K139" s="23"/>
    </row>
    <row r="140" spans="6:11" x14ac:dyDescent="0.3">
      <c r="F140" s="19" t="str">
        <f t="shared" si="2"/>
        <v/>
      </c>
      <c r="K140" s="23"/>
    </row>
    <row r="141" spans="6:11" x14ac:dyDescent="0.3">
      <c r="F141" s="19" t="str">
        <f t="shared" si="2"/>
        <v/>
      </c>
      <c r="K141" s="23"/>
    </row>
    <row r="142" spans="6:11" x14ac:dyDescent="0.3">
      <c r="F142" s="19" t="str">
        <f t="shared" si="2"/>
        <v/>
      </c>
      <c r="K142" s="23"/>
    </row>
    <row r="143" spans="6:11" x14ac:dyDescent="0.3">
      <c r="F143" s="19" t="str">
        <f t="shared" si="2"/>
        <v/>
      </c>
      <c r="K143" s="23"/>
    </row>
    <row r="144" spans="6:11" x14ac:dyDescent="0.3">
      <c r="F144" s="19" t="str">
        <f t="shared" si="2"/>
        <v/>
      </c>
      <c r="K144" s="23"/>
    </row>
    <row r="145" spans="6:11" x14ac:dyDescent="0.3">
      <c r="F145" s="19" t="str">
        <f t="shared" si="2"/>
        <v/>
      </c>
      <c r="K145" s="23"/>
    </row>
    <row r="146" spans="6:11" x14ac:dyDescent="0.3">
      <c r="F146" s="19" t="str">
        <f t="shared" si="2"/>
        <v/>
      </c>
      <c r="K146" s="23"/>
    </row>
    <row r="147" spans="6:11" x14ac:dyDescent="0.3">
      <c r="F147" s="19" t="str">
        <f t="shared" si="2"/>
        <v/>
      </c>
      <c r="K147" s="23"/>
    </row>
    <row r="148" spans="6:11" x14ac:dyDescent="0.3">
      <c r="F148" s="19" t="str">
        <f t="shared" si="2"/>
        <v/>
      </c>
      <c r="K148" s="23"/>
    </row>
    <row r="149" spans="6:11" x14ac:dyDescent="0.3">
      <c r="F149" s="19" t="str">
        <f t="shared" si="2"/>
        <v/>
      </c>
      <c r="K149" s="23"/>
    </row>
    <row r="150" spans="6:11" x14ac:dyDescent="0.3">
      <c r="F150" s="19" t="str">
        <f t="shared" si="2"/>
        <v/>
      </c>
      <c r="K150" s="23"/>
    </row>
    <row r="151" spans="6:11" x14ac:dyDescent="0.3">
      <c r="F151" s="19" t="str">
        <f t="shared" si="2"/>
        <v/>
      </c>
      <c r="K151" s="23"/>
    </row>
    <row r="152" spans="6:11" x14ac:dyDescent="0.3">
      <c r="F152" s="19" t="str">
        <f t="shared" si="2"/>
        <v/>
      </c>
      <c r="K152" s="23"/>
    </row>
    <row r="153" spans="6:11" x14ac:dyDescent="0.3">
      <c r="F153" s="19" t="str">
        <f t="shared" si="2"/>
        <v/>
      </c>
      <c r="K153" s="23"/>
    </row>
    <row r="154" spans="6:11" x14ac:dyDescent="0.3">
      <c r="F154" s="19" t="str">
        <f t="shared" si="2"/>
        <v/>
      </c>
      <c r="K154" s="23"/>
    </row>
    <row r="155" spans="6:11" x14ac:dyDescent="0.3">
      <c r="F155" s="19" t="str">
        <f t="shared" si="2"/>
        <v/>
      </c>
      <c r="K155" s="23"/>
    </row>
    <row r="156" spans="6:11" x14ac:dyDescent="0.3">
      <c r="F156" s="19" t="str">
        <f t="shared" si="2"/>
        <v/>
      </c>
      <c r="K156" s="23"/>
    </row>
    <row r="157" spans="6:11" x14ac:dyDescent="0.3">
      <c r="F157" s="19" t="str">
        <f t="shared" si="2"/>
        <v/>
      </c>
      <c r="K157" s="23"/>
    </row>
    <row r="158" spans="6:11" x14ac:dyDescent="0.3">
      <c r="F158" s="19" t="str">
        <f t="shared" si="2"/>
        <v/>
      </c>
      <c r="K158" s="23"/>
    </row>
    <row r="159" spans="6:11" x14ac:dyDescent="0.3">
      <c r="F159" s="19" t="str">
        <f t="shared" si="2"/>
        <v/>
      </c>
      <c r="K159" s="23"/>
    </row>
    <row r="160" spans="6:11" x14ac:dyDescent="0.3">
      <c r="F160" s="19" t="str">
        <f t="shared" si="2"/>
        <v/>
      </c>
      <c r="K160" s="23"/>
    </row>
    <row r="161" spans="6:11" x14ac:dyDescent="0.3">
      <c r="F161" s="19" t="str">
        <f t="shared" si="2"/>
        <v/>
      </c>
      <c r="K161" s="23"/>
    </row>
    <row r="162" spans="6:11" x14ac:dyDescent="0.3">
      <c r="F162" s="19" t="str">
        <f t="shared" si="2"/>
        <v/>
      </c>
      <c r="K162" s="23"/>
    </row>
    <row r="163" spans="6:11" x14ac:dyDescent="0.3">
      <c r="F163" s="19" t="str">
        <f t="shared" si="2"/>
        <v/>
      </c>
      <c r="K163" s="23"/>
    </row>
    <row r="164" spans="6:11" x14ac:dyDescent="0.3">
      <c r="F164" s="19" t="str">
        <f t="shared" si="2"/>
        <v/>
      </c>
      <c r="K164" s="23"/>
    </row>
    <row r="165" spans="6:11" x14ac:dyDescent="0.3">
      <c r="F165" s="19" t="str">
        <f t="shared" si="2"/>
        <v/>
      </c>
      <c r="K165" s="23"/>
    </row>
    <row r="166" spans="6:11" x14ac:dyDescent="0.3">
      <c r="F166" s="19" t="str">
        <f t="shared" si="2"/>
        <v/>
      </c>
      <c r="K166" s="23"/>
    </row>
    <row r="167" spans="6:11" x14ac:dyDescent="0.3">
      <c r="F167" s="19" t="str">
        <f t="shared" si="2"/>
        <v/>
      </c>
      <c r="K167" s="23"/>
    </row>
    <row r="168" spans="6:11" x14ac:dyDescent="0.3">
      <c r="F168" s="19" t="str">
        <f t="shared" si="2"/>
        <v/>
      </c>
      <c r="K168" s="23"/>
    </row>
    <row r="169" spans="6:11" x14ac:dyDescent="0.3">
      <c r="F169" s="19" t="str">
        <f t="shared" si="2"/>
        <v/>
      </c>
      <c r="K169" s="23"/>
    </row>
    <row r="170" spans="6:11" x14ac:dyDescent="0.3">
      <c r="F170" s="19" t="str">
        <f t="shared" si="2"/>
        <v/>
      </c>
      <c r="K170" s="23"/>
    </row>
    <row r="171" spans="6:11" x14ac:dyDescent="0.3">
      <c r="F171" s="19" t="str">
        <f t="shared" si="2"/>
        <v/>
      </c>
      <c r="K171" s="23"/>
    </row>
    <row r="172" spans="6:11" x14ac:dyDescent="0.3">
      <c r="F172" s="19" t="str">
        <f t="shared" si="2"/>
        <v/>
      </c>
      <c r="K172" s="23"/>
    </row>
    <row r="173" spans="6:11" x14ac:dyDescent="0.3">
      <c r="F173" s="19" t="str">
        <f t="shared" si="2"/>
        <v/>
      </c>
      <c r="K173" s="23"/>
    </row>
    <row r="174" spans="6:11" x14ac:dyDescent="0.3">
      <c r="F174" s="19" t="str">
        <f t="shared" si="2"/>
        <v/>
      </c>
      <c r="K174" s="23"/>
    </row>
    <row r="175" spans="6:11" x14ac:dyDescent="0.3">
      <c r="F175" s="19" t="str">
        <f t="shared" si="2"/>
        <v/>
      </c>
      <c r="K175" s="23"/>
    </row>
    <row r="176" spans="6:11" x14ac:dyDescent="0.3">
      <c r="F176" s="19" t="str">
        <f t="shared" si="2"/>
        <v/>
      </c>
      <c r="K176" s="23"/>
    </row>
    <row r="177" spans="6:11" x14ac:dyDescent="0.3">
      <c r="F177" s="19" t="str">
        <f t="shared" si="2"/>
        <v/>
      </c>
      <c r="K177" s="23"/>
    </row>
    <row r="178" spans="6:11" x14ac:dyDescent="0.3">
      <c r="F178" s="19" t="str">
        <f t="shared" si="2"/>
        <v/>
      </c>
      <c r="K178" s="23"/>
    </row>
    <row r="179" spans="6:11" x14ac:dyDescent="0.3">
      <c r="F179" s="19" t="str">
        <f t="shared" si="2"/>
        <v/>
      </c>
      <c r="K179" s="23"/>
    </row>
    <row r="180" spans="6:11" x14ac:dyDescent="0.3">
      <c r="F180" s="19" t="str">
        <f t="shared" si="2"/>
        <v/>
      </c>
      <c r="K180" s="23"/>
    </row>
    <row r="181" spans="6:11" x14ac:dyDescent="0.3">
      <c r="F181" s="19" t="str">
        <f t="shared" si="2"/>
        <v/>
      </c>
      <c r="K181" s="23"/>
    </row>
    <row r="182" spans="6:11" x14ac:dyDescent="0.3">
      <c r="F182" s="19" t="str">
        <f t="shared" si="2"/>
        <v/>
      </c>
      <c r="K182" s="23"/>
    </row>
    <row r="183" spans="6:11" x14ac:dyDescent="0.3">
      <c r="F183" s="19" t="str">
        <f t="shared" si="2"/>
        <v/>
      </c>
      <c r="K183" s="23"/>
    </row>
    <row r="184" spans="6:11" x14ac:dyDescent="0.3">
      <c r="F184" s="19" t="str">
        <f t="shared" si="2"/>
        <v/>
      </c>
      <c r="K184" s="23"/>
    </row>
    <row r="185" spans="6:11" x14ac:dyDescent="0.3">
      <c r="F185" s="19" t="str">
        <f t="shared" si="2"/>
        <v/>
      </c>
      <c r="K185" s="23"/>
    </row>
    <row r="186" spans="6:11" x14ac:dyDescent="0.3">
      <c r="F186" s="19" t="str">
        <f t="shared" si="2"/>
        <v/>
      </c>
      <c r="K186" s="23"/>
    </row>
    <row r="187" spans="6:11" x14ac:dyDescent="0.3">
      <c r="F187" s="19" t="str">
        <f t="shared" si="2"/>
        <v/>
      </c>
      <c r="K187" s="23"/>
    </row>
    <row r="188" spans="6:11" x14ac:dyDescent="0.3">
      <c r="F188" s="19" t="str">
        <f t="shared" si="2"/>
        <v/>
      </c>
      <c r="K188" s="23"/>
    </row>
    <row r="189" spans="6:11" x14ac:dyDescent="0.3">
      <c r="F189" s="19" t="str">
        <f t="shared" si="2"/>
        <v/>
      </c>
      <c r="K189" s="23"/>
    </row>
    <row r="190" spans="6:11" x14ac:dyDescent="0.3">
      <c r="F190" s="19" t="str">
        <f t="shared" si="2"/>
        <v/>
      </c>
      <c r="K190" s="23"/>
    </row>
    <row r="191" spans="6:11" x14ac:dyDescent="0.3">
      <c r="F191" s="19" t="str">
        <f t="shared" si="2"/>
        <v/>
      </c>
      <c r="K191" s="23"/>
    </row>
    <row r="192" spans="6:11" x14ac:dyDescent="0.3">
      <c r="F192" s="19" t="str">
        <f t="shared" si="2"/>
        <v/>
      </c>
      <c r="K192" s="23"/>
    </row>
    <row r="193" spans="6:11" x14ac:dyDescent="0.3">
      <c r="F193" s="19" t="str">
        <f t="shared" si="2"/>
        <v/>
      </c>
      <c r="K193" s="23"/>
    </row>
    <row r="194" spans="6:11" x14ac:dyDescent="0.3">
      <c r="F194" s="19" t="str">
        <f t="shared" si="2"/>
        <v/>
      </c>
      <c r="K194" s="23"/>
    </row>
    <row r="195" spans="6:11" x14ac:dyDescent="0.3">
      <c r="F195" s="19" t="str">
        <f t="shared" ref="F195:F258" si="3">IF(A195="","",J195-ROUNDDOWN(J195*3%,-1)-ROUNDDOWN(J195*0.3%,-1))</f>
        <v/>
      </c>
      <c r="K195" s="23"/>
    </row>
    <row r="196" spans="6:11" x14ac:dyDescent="0.3">
      <c r="F196" s="19" t="str">
        <f t="shared" si="3"/>
        <v/>
      </c>
      <c r="K196" s="23"/>
    </row>
    <row r="197" spans="6:11" x14ac:dyDescent="0.3">
      <c r="F197" s="19" t="str">
        <f t="shared" si="3"/>
        <v/>
      </c>
      <c r="K197" s="23"/>
    </row>
    <row r="198" spans="6:11" x14ac:dyDescent="0.3">
      <c r="F198" s="19" t="str">
        <f t="shared" si="3"/>
        <v/>
      </c>
      <c r="K198" s="23"/>
    </row>
    <row r="199" spans="6:11" x14ac:dyDescent="0.3">
      <c r="F199" s="19" t="str">
        <f t="shared" si="3"/>
        <v/>
      </c>
      <c r="K199" s="23"/>
    </row>
    <row r="200" spans="6:11" x14ac:dyDescent="0.3">
      <c r="F200" s="19" t="str">
        <f t="shared" si="3"/>
        <v/>
      </c>
      <c r="K200" s="23"/>
    </row>
    <row r="201" spans="6:11" x14ac:dyDescent="0.3">
      <c r="F201" s="19" t="str">
        <f t="shared" si="3"/>
        <v/>
      </c>
      <c r="K201" s="23"/>
    </row>
    <row r="202" spans="6:11" x14ac:dyDescent="0.3">
      <c r="F202" s="19" t="str">
        <f t="shared" si="3"/>
        <v/>
      </c>
      <c r="K202" s="23"/>
    </row>
    <row r="203" spans="6:11" x14ac:dyDescent="0.3">
      <c r="F203" s="19" t="str">
        <f t="shared" si="3"/>
        <v/>
      </c>
      <c r="K203" s="23"/>
    </row>
    <row r="204" spans="6:11" x14ac:dyDescent="0.3">
      <c r="F204" s="19" t="str">
        <f t="shared" si="3"/>
        <v/>
      </c>
      <c r="K204" s="23"/>
    </row>
    <row r="205" spans="6:11" x14ac:dyDescent="0.3">
      <c r="F205" s="19" t="str">
        <f t="shared" si="3"/>
        <v/>
      </c>
      <c r="K205" s="23"/>
    </row>
    <row r="206" spans="6:11" x14ac:dyDescent="0.3">
      <c r="F206" s="19" t="str">
        <f t="shared" si="3"/>
        <v/>
      </c>
      <c r="K206" s="23"/>
    </row>
    <row r="207" spans="6:11" x14ac:dyDescent="0.3">
      <c r="F207" s="19" t="str">
        <f t="shared" si="3"/>
        <v/>
      </c>
      <c r="K207" s="23"/>
    </row>
    <row r="208" spans="6:11" x14ac:dyDescent="0.3">
      <c r="F208" s="19" t="str">
        <f t="shared" si="3"/>
        <v/>
      </c>
      <c r="K208" s="23"/>
    </row>
    <row r="209" spans="6:11" x14ac:dyDescent="0.3">
      <c r="F209" s="19" t="str">
        <f t="shared" si="3"/>
        <v/>
      </c>
      <c r="K209" s="23"/>
    </row>
    <row r="210" spans="6:11" x14ac:dyDescent="0.3">
      <c r="F210" s="19" t="str">
        <f t="shared" si="3"/>
        <v/>
      </c>
      <c r="K210" s="23"/>
    </row>
    <row r="211" spans="6:11" x14ac:dyDescent="0.3">
      <c r="F211" s="19" t="str">
        <f t="shared" si="3"/>
        <v/>
      </c>
      <c r="K211" s="23"/>
    </row>
    <row r="212" spans="6:11" x14ac:dyDescent="0.3">
      <c r="F212" s="19" t="str">
        <f t="shared" si="3"/>
        <v/>
      </c>
      <c r="K212" s="23"/>
    </row>
    <row r="213" spans="6:11" x14ac:dyDescent="0.3">
      <c r="F213" s="19" t="str">
        <f t="shared" si="3"/>
        <v/>
      </c>
      <c r="K213" s="23"/>
    </row>
    <row r="214" spans="6:11" x14ac:dyDescent="0.3">
      <c r="F214" s="19" t="str">
        <f t="shared" si="3"/>
        <v/>
      </c>
      <c r="K214" s="23"/>
    </row>
    <row r="215" spans="6:11" x14ac:dyDescent="0.3">
      <c r="F215" s="19" t="str">
        <f t="shared" si="3"/>
        <v/>
      </c>
      <c r="K215" s="23"/>
    </row>
    <row r="216" spans="6:11" x14ac:dyDescent="0.3">
      <c r="F216" s="19" t="str">
        <f t="shared" si="3"/>
        <v/>
      </c>
      <c r="K216" s="23"/>
    </row>
    <row r="217" spans="6:11" x14ac:dyDescent="0.3">
      <c r="F217" s="19" t="str">
        <f t="shared" si="3"/>
        <v/>
      </c>
      <c r="K217" s="23"/>
    </row>
    <row r="218" spans="6:11" x14ac:dyDescent="0.3">
      <c r="F218" s="19" t="str">
        <f t="shared" si="3"/>
        <v/>
      </c>
      <c r="K218" s="23"/>
    </row>
    <row r="219" spans="6:11" x14ac:dyDescent="0.3">
      <c r="F219" s="19" t="str">
        <f t="shared" si="3"/>
        <v/>
      </c>
      <c r="K219" s="23"/>
    </row>
    <row r="220" spans="6:11" x14ac:dyDescent="0.3">
      <c r="F220" s="19" t="str">
        <f t="shared" si="3"/>
        <v/>
      </c>
      <c r="K220" s="23"/>
    </row>
    <row r="221" spans="6:11" x14ac:dyDescent="0.3">
      <c r="F221" s="19" t="str">
        <f t="shared" si="3"/>
        <v/>
      </c>
      <c r="K221" s="23"/>
    </row>
    <row r="222" spans="6:11" x14ac:dyDescent="0.3">
      <c r="F222" s="19" t="str">
        <f t="shared" si="3"/>
        <v/>
      </c>
      <c r="K222" s="23"/>
    </row>
    <row r="223" spans="6:11" x14ac:dyDescent="0.3">
      <c r="F223" s="19" t="str">
        <f t="shared" si="3"/>
        <v/>
      </c>
      <c r="K223" s="23"/>
    </row>
    <row r="224" spans="6:11" x14ac:dyDescent="0.3">
      <c r="F224" s="19" t="str">
        <f t="shared" si="3"/>
        <v/>
      </c>
      <c r="K224" s="23"/>
    </row>
    <row r="225" spans="6:11" x14ac:dyDescent="0.3">
      <c r="F225" s="19" t="str">
        <f t="shared" si="3"/>
        <v/>
      </c>
      <c r="K225" s="23"/>
    </row>
    <row r="226" spans="6:11" x14ac:dyDescent="0.3">
      <c r="F226" s="19" t="str">
        <f t="shared" si="3"/>
        <v/>
      </c>
      <c r="K226" s="23"/>
    </row>
    <row r="227" spans="6:11" x14ac:dyDescent="0.3">
      <c r="F227" s="19" t="str">
        <f t="shared" si="3"/>
        <v/>
      </c>
      <c r="K227" s="23"/>
    </row>
    <row r="228" spans="6:11" x14ac:dyDescent="0.3">
      <c r="F228" s="19" t="str">
        <f t="shared" si="3"/>
        <v/>
      </c>
      <c r="K228" s="23"/>
    </row>
    <row r="229" spans="6:11" x14ac:dyDescent="0.3">
      <c r="F229" s="19" t="str">
        <f t="shared" si="3"/>
        <v/>
      </c>
      <c r="K229" s="23"/>
    </row>
    <row r="230" spans="6:11" x14ac:dyDescent="0.3">
      <c r="F230" s="19" t="str">
        <f t="shared" si="3"/>
        <v/>
      </c>
      <c r="K230" s="23"/>
    </row>
    <row r="231" spans="6:11" x14ac:dyDescent="0.3">
      <c r="F231" s="19" t="str">
        <f t="shared" si="3"/>
        <v/>
      </c>
      <c r="K231" s="23"/>
    </row>
    <row r="232" spans="6:11" x14ac:dyDescent="0.3">
      <c r="F232" s="19" t="str">
        <f t="shared" si="3"/>
        <v/>
      </c>
      <c r="K232" s="23"/>
    </row>
    <row r="233" spans="6:11" x14ac:dyDescent="0.3">
      <c r="F233" s="19" t="str">
        <f t="shared" si="3"/>
        <v/>
      </c>
      <c r="K233" s="23"/>
    </row>
    <row r="234" spans="6:11" x14ac:dyDescent="0.3">
      <c r="F234" s="19" t="str">
        <f t="shared" si="3"/>
        <v/>
      </c>
      <c r="K234" s="23"/>
    </row>
    <row r="235" spans="6:11" x14ac:dyDescent="0.3">
      <c r="F235" s="19" t="str">
        <f t="shared" si="3"/>
        <v/>
      </c>
      <c r="K235" s="23"/>
    </row>
    <row r="236" spans="6:11" x14ac:dyDescent="0.3">
      <c r="F236" s="19" t="str">
        <f t="shared" si="3"/>
        <v/>
      </c>
      <c r="K236" s="23"/>
    </row>
    <row r="237" spans="6:11" x14ac:dyDescent="0.3">
      <c r="F237" s="19" t="str">
        <f t="shared" si="3"/>
        <v/>
      </c>
      <c r="K237" s="23"/>
    </row>
    <row r="238" spans="6:11" x14ac:dyDescent="0.3">
      <c r="F238" s="19" t="str">
        <f t="shared" si="3"/>
        <v/>
      </c>
      <c r="K238" s="23"/>
    </row>
    <row r="239" spans="6:11" x14ac:dyDescent="0.3">
      <c r="F239" s="19" t="str">
        <f t="shared" si="3"/>
        <v/>
      </c>
      <c r="K239" s="23"/>
    </row>
    <row r="240" spans="6:11" x14ac:dyDescent="0.3">
      <c r="F240" s="19" t="str">
        <f t="shared" si="3"/>
        <v/>
      </c>
      <c r="K240" s="23"/>
    </row>
    <row r="241" spans="6:11" x14ac:dyDescent="0.3">
      <c r="F241" s="19" t="str">
        <f t="shared" si="3"/>
        <v/>
      </c>
      <c r="K241" s="23"/>
    </row>
    <row r="242" spans="6:11" x14ac:dyDescent="0.3">
      <c r="F242" s="19" t="str">
        <f t="shared" si="3"/>
        <v/>
      </c>
      <c r="K242" s="23"/>
    </row>
    <row r="243" spans="6:11" x14ac:dyDescent="0.3">
      <c r="F243" s="19" t="str">
        <f t="shared" si="3"/>
        <v/>
      </c>
      <c r="K243" s="23"/>
    </row>
    <row r="244" spans="6:11" x14ac:dyDescent="0.3">
      <c r="F244" s="19" t="str">
        <f t="shared" si="3"/>
        <v/>
      </c>
      <c r="K244" s="23"/>
    </row>
    <row r="245" spans="6:11" x14ac:dyDescent="0.3">
      <c r="F245" s="19" t="str">
        <f t="shared" si="3"/>
        <v/>
      </c>
      <c r="K245" s="23"/>
    </row>
    <row r="246" spans="6:11" x14ac:dyDescent="0.3">
      <c r="F246" s="19" t="str">
        <f t="shared" si="3"/>
        <v/>
      </c>
      <c r="K246" s="23"/>
    </row>
    <row r="247" spans="6:11" x14ac:dyDescent="0.3">
      <c r="F247" s="19" t="str">
        <f t="shared" si="3"/>
        <v/>
      </c>
      <c r="K247" s="23"/>
    </row>
    <row r="248" spans="6:11" x14ac:dyDescent="0.3">
      <c r="F248" s="19" t="str">
        <f t="shared" si="3"/>
        <v/>
      </c>
      <c r="K248" s="23"/>
    </row>
    <row r="249" spans="6:11" x14ac:dyDescent="0.3">
      <c r="F249" s="19" t="str">
        <f t="shared" si="3"/>
        <v/>
      </c>
      <c r="K249" s="23"/>
    </row>
    <row r="250" spans="6:11" x14ac:dyDescent="0.3">
      <c r="F250" s="19" t="str">
        <f t="shared" si="3"/>
        <v/>
      </c>
      <c r="K250" s="23"/>
    </row>
    <row r="251" spans="6:11" x14ac:dyDescent="0.3">
      <c r="F251" s="19" t="str">
        <f t="shared" si="3"/>
        <v/>
      </c>
      <c r="K251" s="23"/>
    </row>
    <row r="252" spans="6:11" x14ac:dyDescent="0.3">
      <c r="F252" s="19" t="str">
        <f t="shared" si="3"/>
        <v/>
      </c>
      <c r="K252" s="23"/>
    </row>
    <row r="253" spans="6:11" x14ac:dyDescent="0.3">
      <c r="F253" s="19" t="str">
        <f t="shared" si="3"/>
        <v/>
      </c>
      <c r="K253" s="23"/>
    </row>
    <row r="254" spans="6:11" x14ac:dyDescent="0.3">
      <c r="F254" s="19" t="str">
        <f t="shared" si="3"/>
        <v/>
      </c>
      <c r="K254" s="23"/>
    </row>
    <row r="255" spans="6:11" x14ac:dyDescent="0.3">
      <c r="F255" s="19" t="str">
        <f t="shared" si="3"/>
        <v/>
      </c>
      <c r="K255" s="23"/>
    </row>
    <row r="256" spans="6:11" x14ac:dyDescent="0.3">
      <c r="F256" s="19" t="str">
        <f t="shared" si="3"/>
        <v/>
      </c>
      <c r="K256" s="23"/>
    </row>
    <row r="257" spans="6:11" x14ac:dyDescent="0.3">
      <c r="F257" s="19" t="str">
        <f t="shared" si="3"/>
        <v/>
      </c>
      <c r="K257" s="23"/>
    </row>
    <row r="258" spans="6:11" x14ac:dyDescent="0.3">
      <c r="F258" s="19" t="str">
        <f t="shared" si="3"/>
        <v/>
      </c>
      <c r="K258" s="23"/>
    </row>
    <row r="259" spans="6:11" x14ac:dyDescent="0.3">
      <c r="F259" s="19" t="str">
        <f t="shared" ref="F259:F267" si="4">IF(A259="","",J259-ROUNDDOWN(J259*3%,-1)-ROUNDDOWN(J259*0.3%,-1))</f>
        <v/>
      </c>
      <c r="K259" s="23"/>
    </row>
    <row r="260" spans="6:11" x14ac:dyDescent="0.3">
      <c r="F260" s="19" t="str">
        <f t="shared" si="4"/>
        <v/>
      </c>
      <c r="K260" s="23"/>
    </row>
    <row r="261" spans="6:11" x14ac:dyDescent="0.3">
      <c r="F261" s="19" t="str">
        <f t="shared" si="4"/>
        <v/>
      </c>
      <c r="K261" s="23"/>
    </row>
    <row r="262" spans="6:11" x14ac:dyDescent="0.3">
      <c r="F262" s="19" t="str">
        <f t="shared" si="4"/>
        <v/>
      </c>
      <c r="K262" s="23"/>
    </row>
    <row r="263" spans="6:11" x14ac:dyDescent="0.3">
      <c r="F263" s="19" t="str">
        <f t="shared" si="4"/>
        <v/>
      </c>
      <c r="K263" s="23"/>
    </row>
    <row r="264" spans="6:11" x14ac:dyDescent="0.3">
      <c r="F264" s="19" t="str">
        <f t="shared" si="4"/>
        <v/>
      </c>
      <c r="K264" s="23"/>
    </row>
    <row r="265" spans="6:11" x14ac:dyDescent="0.3">
      <c r="F265" s="19" t="str">
        <f t="shared" si="4"/>
        <v/>
      </c>
      <c r="K265" s="23"/>
    </row>
    <row r="266" spans="6:11" x14ac:dyDescent="0.3">
      <c r="F266" s="19" t="str">
        <f t="shared" si="4"/>
        <v/>
      </c>
      <c r="K266" s="23"/>
    </row>
    <row r="267" spans="6:11" x14ac:dyDescent="0.3">
      <c r="F267" s="19" t="str">
        <f t="shared" si="4"/>
        <v/>
      </c>
      <c r="K267" s="23"/>
    </row>
  </sheetData>
  <phoneticPr fontId="1" type="noConversion"/>
  <conditionalFormatting sqref="E1:E1048576">
    <cfRule type="cellIs" dxfId="30" priority="4" operator="equal">
      <formula>0</formula>
    </cfRule>
  </conditionalFormatting>
  <conditionalFormatting sqref="G1:G1048576">
    <cfRule type="cellIs" dxfId="29" priority="3" operator="equal">
      <formula>0</formula>
    </cfRule>
  </conditionalFormatting>
  <conditionalFormatting sqref="K1:K1048576">
    <cfRule type="cellIs" dxfId="28" priority="2" operator="equal">
      <formula>0</formula>
    </cfRule>
  </conditionalFormatting>
  <conditionalFormatting sqref="B2:B267">
    <cfRule type="expression" dxfId="27" priority="1">
      <formula>B2&lt;&gt;G2</formula>
    </cfRule>
  </conditionalFormatting>
  <pageMargins left="0.7" right="0.7" top="0.75" bottom="0.75" header="0.3" footer="0.3"/>
  <pageSetup paperSize="9" orientation="portrait" horizontalDpi="300" verticalDpi="300" r:id="rId1"/>
  <ignoredErrors>
    <ignoredError sqref="F1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0BA04-A013-473A-AF19-C345EFA7EF52}">
  <sheetPr codeName="Sheet11"/>
  <dimension ref="A1:D89"/>
  <sheetViews>
    <sheetView workbookViewId="0">
      <selection activeCell="D18" sqref="D18"/>
    </sheetView>
  </sheetViews>
  <sheetFormatPr defaultRowHeight="16.5" x14ac:dyDescent="0.3"/>
  <cols>
    <col min="3" max="3" width="27.25" bestFit="1" customWidth="1"/>
    <col min="4" max="4" width="50.125" customWidth="1"/>
    <col min="5" max="5" width="35.875" customWidth="1"/>
  </cols>
  <sheetData>
    <row r="1" spans="1:4" x14ac:dyDescent="0.3">
      <c r="A1" t="s">
        <v>11</v>
      </c>
      <c r="B1" t="s">
        <v>12</v>
      </c>
      <c r="C1" t="s">
        <v>45</v>
      </c>
      <c r="D1" t="s">
        <v>46</v>
      </c>
    </row>
    <row r="2" spans="1:4" x14ac:dyDescent="0.3">
      <c r="A2" t="e" cm="1" vm="1">
        <f t="array" ref="A2">_xlfn._xlws.FILTER(종합!A5:B1000,종합!A5:A1000&lt;&gt;"")</f>
        <v>#VALUE!</v>
      </c>
      <c r="C2" t="e" vm="2">
        <f>IF(A2="","",_xlfn.XLOOKUP(A2,members!A:A,members!H:H,"NoData"))</f>
        <v>#VALUE!</v>
      </c>
      <c r="D2" t="e" cm="1" vm="2">
        <f t="array" ref="D2">_xlfn._xlws.FILTER(A2:A1000,A2:A1000&lt;&gt;"")&amp;"_"&amp;_xlfn._xlws.FILTER(B2:B1000,A2:A1000&lt;&gt;"")&amp;"_"&amp;setting!B1&amp;"년_"&amp;setting!D1&amp;"월_PROJECT-N_급여명세.pdf"</f>
        <v>#VALUE!</v>
      </c>
    </row>
    <row r="3" spans="1:4" x14ac:dyDescent="0.3">
      <c r="C3" t="str">
        <f>IF(A3="","",_xlfn.XLOOKUP(A3,members!A:A,members!H:H,"NoData"))</f>
        <v/>
      </c>
    </row>
    <row r="4" spans="1:4" x14ac:dyDescent="0.3">
      <c r="C4" t="str">
        <f>IF(A4="","",_xlfn.XLOOKUP(A4,members!A:A,members!H:H,"NoData"))</f>
        <v/>
      </c>
    </row>
    <row r="5" spans="1:4" x14ac:dyDescent="0.3">
      <c r="C5" t="str">
        <f>IF(A5="","",_xlfn.XLOOKUP(A5,members!A:A,members!H:H,"NoData"))</f>
        <v/>
      </c>
    </row>
    <row r="6" spans="1:4" x14ac:dyDescent="0.3">
      <c r="C6" t="str">
        <f>IF(A6="","",_xlfn.XLOOKUP(A6,members!A:A,members!H:H,"NoData"))</f>
        <v/>
      </c>
    </row>
    <row r="7" spans="1:4" x14ac:dyDescent="0.3">
      <c r="C7" t="str">
        <f>IF(A7="","",_xlfn.XLOOKUP(A7,members!A:A,members!H:H,"NoData"))</f>
        <v/>
      </c>
    </row>
    <row r="8" spans="1:4" x14ac:dyDescent="0.3">
      <c r="C8" t="str">
        <f>IF(A8="","",_xlfn.XLOOKUP(A8,members!A:A,members!H:H,"NoData"))</f>
        <v/>
      </c>
    </row>
    <row r="9" spans="1:4" x14ac:dyDescent="0.3">
      <c r="C9" t="str">
        <f>IF(A9="","",_xlfn.XLOOKUP(A9,members!A:A,members!H:H,"NoData"))</f>
        <v/>
      </c>
    </row>
    <row r="10" spans="1:4" x14ac:dyDescent="0.3">
      <c r="C10" t="str">
        <f>IF(A10="","",_xlfn.XLOOKUP(A10,members!A:A,members!H:H,"NoData"))</f>
        <v/>
      </c>
    </row>
    <row r="11" spans="1:4" x14ac:dyDescent="0.3">
      <c r="C11" t="str">
        <f>IF(A11="","",_xlfn.XLOOKUP(A11,members!A:A,members!H:H,"NoData"))</f>
        <v/>
      </c>
    </row>
    <row r="12" spans="1:4" x14ac:dyDescent="0.3">
      <c r="C12" t="str">
        <f>IF(A12="","",_xlfn.XLOOKUP(A12,members!A:A,members!H:H,"NoData"))</f>
        <v/>
      </c>
    </row>
    <row r="13" spans="1:4" x14ac:dyDescent="0.3">
      <c r="C13" t="str">
        <f>IF(A13="","",_xlfn.XLOOKUP(A13,members!A:A,members!H:H,"NoData"))</f>
        <v/>
      </c>
    </row>
    <row r="14" spans="1:4" x14ac:dyDescent="0.3">
      <c r="C14" t="str">
        <f>IF(A14="","",_xlfn.XLOOKUP(A14,members!A:A,members!H:H,"NoData"))</f>
        <v/>
      </c>
    </row>
    <row r="15" spans="1:4" x14ac:dyDescent="0.3">
      <c r="C15" t="str">
        <f>IF(A15="","",_xlfn.XLOOKUP(A15,members!A:A,members!H:H,"NoData"))</f>
        <v/>
      </c>
    </row>
    <row r="16" spans="1:4" x14ac:dyDescent="0.3">
      <c r="C16" t="str">
        <f>IF(A16="","",_xlfn.XLOOKUP(A16,members!A:A,members!H:H,"NoData"))</f>
        <v/>
      </c>
    </row>
    <row r="17" spans="3:3" x14ac:dyDescent="0.3">
      <c r="C17" t="str">
        <f>IF(A17="","",_xlfn.XLOOKUP(A17,members!A:A,members!H:H,"NoData"))</f>
        <v/>
      </c>
    </row>
    <row r="18" spans="3:3" x14ac:dyDescent="0.3">
      <c r="C18" t="str">
        <f>IF(A18="","",_xlfn.XLOOKUP(A18,members!A:A,members!H:H,"NoData"))</f>
        <v/>
      </c>
    </row>
    <row r="19" spans="3:3" x14ac:dyDescent="0.3">
      <c r="C19" t="str">
        <f>IF(A19="","",_xlfn.XLOOKUP(A19,members!A:A,members!H:H,"NoData"))</f>
        <v/>
      </c>
    </row>
    <row r="20" spans="3:3" x14ac:dyDescent="0.3">
      <c r="C20" t="str">
        <f>IF(A20="","",_xlfn.XLOOKUP(A20,members!A:A,members!H:H,"NoData"))</f>
        <v/>
      </c>
    </row>
    <row r="21" spans="3:3" x14ac:dyDescent="0.3">
      <c r="C21" t="str">
        <f>IF(A21="","",_xlfn.XLOOKUP(A21,members!A:A,members!H:H,"NoData"))</f>
        <v/>
      </c>
    </row>
    <row r="22" spans="3:3" x14ac:dyDescent="0.3">
      <c r="C22" t="str">
        <f>IF(A22="","",_xlfn.XLOOKUP(A22,members!A:A,members!H:H,"NoData"))</f>
        <v/>
      </c>
    </row>
    <row r="23" spans="3:3" x14ac:dyDescent="0.3">
      <c r="C23" t="str">
        <f>IF(A23="","",_xlfn.XLOOKUP(A23,members!A:A,members!H:H,"NoData"))</f>
        <v/>
      </c>
    </row>
    <row r="24" spans="3:3" x14ac:dyDescent="0.3">
      <c r="C24" t="str">
        <f>IF(A24="","",_xlfn.XLOOKUP(A24,members!A:A,members!H:H,"NoData"))</f>
        <v/>
      </c>
    </row>
    <row r="25" spans="3:3" x14ac:dyDescent="0.3">
      <c r="C25" t="str">
        <f>IF(A25="","",_xlfn.XLOOKUP(A25,members!A:A,members!H:H,"NoData"))</f>
        <v/>
      </c>
    </row>
    <row r="26" spans="3:3" x14ac:dyDescent="0.3">
      <c r="C26" t="str">
        <f>IF(A26="","",_xlfn.XLOOKUP(A26,members!A:A,members!H:H,"NoData"))</f>
        <v/>
      </c>
    </row>
    <row r="27" spans="3:3" x14ac:dyDescent="0.3">
      <c r="C27" t="str">
        <f>IF(A27="","",_xlfn.XLOOKUP(A27,members!A:A,members!H:H,"NoData"))</f>
        <v/>
      </c>
    </row>
    <row r="28" spans="3:3" x14ac:dyDescent="0.3">
      <c r="C28" t="str">
        <f>IF(A28="","",_xlfn.XLOOKUP(A28,members!A:A,members!H:H,"NoData"))</f>
        <v/>
      </c>
    </row>
    <row r="29" spans="3:3" x14ac:dyDescent="0.3">
      <c r="C29" t="str">
        <f>IF(A29="","",_xlfn.XLOOKUP(A29,members!A:A,members!H:H,"NoData"))</f>
        <v/>
      </c>
    </row>
    <row r="30" spans="3:3" x14ac:dyDescent="0.3">
      <c r="C30" t="str">
        <f>IF(A30="","",_xlfn.XLOOKUP(A30,members!A:A,members!H:H,"NoData"))</f>
        <v/>
      </c>
    </row>
    <row r="31" spans="3:3" x14ac:dyDescent="0.3">
      <c r="C31" t="str">
        <f>IF(A31="","",_xlfn.XLOOKUP(A31,members!A:A,members!H:H,"NoData"))</f>
        <v/>
      </c>
    </row>
    <row r="32" spans="3:3" x14ac:dyDescent="0.3">
      <c r="C32" t="str">
        <f>IF(A32="","",_xlfn.XLOOKUP(A32,members!A:A,members!H:H,"NoData"))</f>
        <v/>
      </c>
    </row>
    <row r="33" spans="3:3" x14ac:dyDescent="0.3">
      <c r="C33" t="str">
        <f>IF(A33="","",_xlfn.XLOOKUP(A33,members!A:A,members!H:H,"NoData"))</f>
        <v/>
      </c>
    </row>
    <row r="34" spans="3:3" x14ac:dyDescent="0.3">
      <c r="C34" t="str">
        <f>IF(A34="","",_xlfn.XLOOKUP(A34,members!A:A,members!H:H,"NoData"))</f>
        <v/>
      </c>
    </row>
    <row r="35" spans="3:3" x14ac:dyDescent="0.3">
      <c r="C35" t="str">
        <f>IF(A35="","",_xlfn.XLOOKUP(A35,members!A:A,members!H:H,"NoData"))</f>
        <v/>
      </c>
    </row>
    <row r="36" spans="3:3" x14ac:dyDescent="0.3">
      <c r="C36" t="str">
        <f>IF(A36="","",_xlfn.XLOOKUP(A36,members!A:A,members!H:H,"NoData"))</f>
        <v/>
      </c>
    </row>
    <row r="37" spans="3:3" x14ac:dyDescent="0.3">
      <c r="C37" t="str">
        <f>IF(A37="","",_xlfn.XLOOKUP(A37,members!A:A,members!H:H,"NoData"))</f>
        <v/>
      </c>
    </row>
    <row r="38" spans="3:3" x14ac:dyDescent="0.3">
      <c r="C38" t="str">
        <f>IF(A38="","",_xlfn.XLOOKUP(A38,members!A:A,members!H:H,"NoData"))</f>
        <v/>
      </c>
    </row>
    <row r="39" spans="3:3" x14ac:dyDescent="0.3">
      <c r="C39" t="str">
        <f>IF(A39="","",_xlfn.XLOOKUP(A39,members!A:A,members!H:H,"NoData"))</f>
        <v/>
      </c>
    </row>
    <row r="40" spans="3:3" x14ac:dyDescent="0.3">
      <c r="C40" t="str">
        <f>IF(A40="","",_xlfn.XLOOKUP(A40,members!A:A,members!H:H,"NoData"))</f>
        <v/>
      </c>
    </row>
    <row r="41" spans="3:3" x14ac:dyDescent="0.3">
      <c r="C41" t="str">
        <f>IF(A41="","",_xlfn.XLOOKUP(A41,members!A:A,members!H:H,"NoData"))</f>
        <v/>
      </c>
    </row>
    <row r="42" spans="3:3" x14ac:dyDescent="0.3">
      <c r="C42" t="str">
        <f>IF(A42="","",_xlfn.XLOOKUP(A42,members!A:A,members!H:H,"NoData"))</f>
        <v/>
      </c>
    </row>
    <row r="43" spans="3:3" x14ac:dyDescent="0.3">
      <c r="C43" t="str">
        <f>IF(A43="","",_xlfn.XLOOKUP(A43,members!A:A,members!H:H,"NoData"))</f>
        <v/>
      </c>
    </row>
    <row r="44" spans="3:3" x14ac:dyDescent="0.3">
      <c r="C44" t="str">
        <f>IF(A44="","",_xlfn.XLOOKUP(A44,members!A:A,members!H:H,"NoData"))</f>
        <v/>
      </c>
    </row>
    <row r="45" spans="3:3" x14ac:dyDescent="0.3">
      <c r="C45" t="str">
        <f>IF(A45="","",_xlfn.XLOOKUP(A45,members!A:A,members!H:H,"NoData"))</f>
        <v/>
      </c>
    </row>
    <row r="46" spans="3:3" x14ac:dyDescent="0.3">
      <c r="C46" t="str">
        <f>IF(A46="","",_xlfn.XLOOKUP(A46,members!A:A,members!H:H,"NoData"))</f>
        <v/>
      </c>
    </row>
    <row r="47" spans="3:3" x14ac:dyDescent="0.3">
      <c r="C47" t="str">
        <f>IF(A47="","",_xlfn.XLOOKUP(A47,members!A:A,members!H:H,"NoData"))</f>
        <v/>
      </c>
    </row>
    <row r="48" spans="3:3" x14ac:dyDescent="0.3">
      <c r="C48" t="str">
        <f>IF(A48="","",_xlfn.XLOOKUP(A48,members!A:A,members!H:H,"NoData"))</f>
        <v/>
      </c>
    </row>
    <row r="49" spans="3:3" x14ac:dyDescent="0.3">
      <c r="C49" t="str">
        <f>IF(A49="","",_xlfn.XLOOKUP(A49,members!A:A,members!H:H,"NoData"))</f>
        <v/>
      </c>
    </row>
    <row r="50" spans="3:3" x14ac:dyDescent="0.3">
      <c r="C50" t="str">
        <f>IF(A50="","",_xlfn.XLOOKUP(A50,members!A:A,members!H:H,"NoData"))</f>
        <v/>
      </c>
    </row>
    <row r="51" spans="3:3" x14ac:dyDescent="0.3">
      <c r="C51" t="str">
        <f>IF(A51="","",_xlfn.XLOOKUP(A51,members!A:A,members!H:H,"NoData"))</f>
        <v/>
      </c>
    </row>
    <row r="52" spans="3:3" x14ac:dyDescent="0.3">
      <c r="C52" t="str">
        <f>IF(A52="","",_xlfn.XLOOKUP(A52,members!A:A,members!H:H,"NoData"))</f>
        <v/>
      </c>
    </row>
    <row r="53" spans="3:3" x14ac:dyDescent="0.3">
      <c r="C53" t="str">
        <f>IF(A53="","",_xlfn.XLOOKUP(A53,members!A:A,members!H:H,"NoData"))</f>
        <v/>
      </c>
    </row>
    <row r="54" spans="3:3" x14ac:dyDescent="0.3">
      <c r="C54" t="str">
        <f>IF(A54="","",_xlfn.XLOOKUP(A54,members!A:A,members!H:H,"NoData"))</f>
        <v/>
      </c>
    </row>
    <row r="55" spans="3:3" x14ac:dyDescent="0.3">
      <c r="C55" t="str">
        <f>IF(A55="","",_xlfn.XLOOKUP(A55,members!A:A,members!H:H,"NoData"))</f>
        <v/>
      </c>
    </row>
    <row r="56" spans="3:3" x14ac:dyDescent="0.3">
      <c r="C56" t="str">
        <f>IF(A56="","",_xlfn.XLOOKUP(A56,members!A:A,members!H:H,"NoData"))</f>
        <v/>
      </c>
    </row>
    <row r="57" spans="3:3" x14ac:dyDescent="0.3">
      <c r="C57" t="str">
        <f>IF(A57="","",_xlfn.XLOOKUP(A57,members!A:A,members!H:H,"NoData"))</f>
        <v/>
      </c>
    </row>
    <row r="58" spans="3:3" x14ac:dyDescent="0.3">
      <c r="C58" t="str">
        <f>IF(A58="","",_xlfn.XLOOKUP(A58,members!A:A,members!H:H,"NoData"))</f>
        <v/>
      </c>
    </row>
    <row r="59" spans="3:3" x14ac:dyDescent="0.3">
      <c r="C59" t="str">
        <f>IF(A59="","",_xlfn.XLOOKUP(A59,members!A:A,members!H:H,"NoData"))</f>
        <v/>
      </c>
    </row>
    <row r="60" spans="3:3" x14ac:dyDescent="0.3">
      <c r="C60" t="str">
        <f>IF(A60="","",_xlfn.XLOOKUP(A60,members!A:A,members!H:H,"NoData"))</f>
        <v/>
      </c>
    </row>
    <row r="61" spans="3:3" x14ac:dyDescent="0.3">
      <c r="C61" t="str">
        <f>IF(A61="","",_xlfn.XLOOKUP(A61,members!A:A,members!H:H,"NoData"))</f>
        <v/>
      </c>
    </row>
    <row r="62" spans="3:3" x14ac:dyDescent="0.3">
      <c r="C62" t="str">
        <f>IF(A62="","",_xlfn.XLOOKUP(A62,members!A:A,members!H:H,"NoData"))</f>
        <v/>
      </c>
    </row>
    <row r="63" spans="3:3" x14ac:dyDescent="0.3">
      <c r="C63" t="str">
        <f>IF(A63="","",_xlfn.XLOOKUP(A63,members!A:A,members!H:H,"NoData"))</f>
        <v/>
      </c>
    </row>
    <row r="64" spans="3:3" x14ac:dyDescent="0.3">
      <c r="C64" t="str">
        <f>IF(A64="","",_xlfn.XLOOKUP(A64,members!A:A,members!H:H,"NoData"))</f>
        <v/>
      </c>
    </row>
    <row r="65" spans="3:3" x14ac:dyDescent="0.3">
      <c r="C65" t="str">
        <f>IF(A65="","",_xlfn.XLOOKUP(A65,members!A:A,members!H:H,"NoData"))</f>
        <v/>
      </c>
    </row>
    <row r="66" spans="3:3" x14ac:dyDescent="0.3">
      <c r="C66" t="str">
        <f>IF(A66="","",_xlfn.XLOOKUP(A66,members!A:A,members!H:H,"NoData"))</f>
        <v/>
      </c>
    </row>
    <row r="67" spans="3:3" x14ac:dyDescent="0.3">
      <c r="C67" t="str">
        <f>IF(A67="","",_xlfn.XLOOKUP(A67,members!A:A,members!H:H,"NoData"))</f>
        <v/>
      </c>
    </row>
    <row r="68" spans="3:3" x14ac:dyDescent="0.3">
      <c r="C68" t="str">
        <f>IF(A68="","",_xlfn.XLOOKUP(A68,members!A:A,members!H:H,"NoData"))</f>
        <v/>
      </c>
    </row>
    <row r="69" spans="3:3" x14ac:dyDescent="0.3">
      <c r="C69" t="str">
        <f>IF(A69="","",_xlfn.XLOOKUP(A69,members!A:A,members!H:H,"NoData"))</f>
        <v/>
      </c>
    </row>
    <row r="70" spans="3:3" x14ac:dyDescent="0.3">
      <c r="C70" t="str">
        <f>IF(A70="","",_xlfn.XLOOKUP(A70,members!A:A,members!H:H,"NoData"))</f>
        <v/>
      </c>
    </row>
    <row r="71" spans="3:3" x14ac:dyDescent="0.3">
      <c r="C71" t="str">
        <f>IF(A71="","",_xlfn.XLOOKUP(A71,members!A:A,members!H:H,"NoData"))</f>
        <v/>
      </c>
    </row>
    <row r="72" spans="3:3" x14ac:dyDescent="0.3">
      <c r="C72" t="str">
        <f>IF(A72="","",_xlfn.XLOOKUP(A72,members!A:A,members!H:H,"NoData"))</f>
        <v/>
      </c>
    </row>
    <row r="73" spans="3:3" x14ac:dyDescent="0.3">
      <c r="C73" t="str">
        <f>IF(A73="","",_xlfn.XLOOKUP(A73,members!A:A,members!H:H,"NoData"))</f>
        <v/>
      </c>
    </row>
    <row r="74" spans="3:3" x14ac:dyDescent="0.3">
      <c r="C74" t="str">
        <f>IF(A74="","",_xlfn.XLOOKUP(A74,members!A:A,members!H:H,"NoData"))</f>
        <v/>
      </c>
    </row>
    <row r="75" spans="3:3" x14ac:dyDescent="0.3">
      <c r="C75" t="str">
        <f>IF(A75="","",_xlfn.XLOOKUP(A75,members!A:A,members!H:H,"NoData"))</f>
        <v/>
      </c>
    </row>
    <row r="76" spans="3:3" x14ac:dyDescent="0.3">
      <c r="C76" t="str">
        <f>IF(A76="","",_xlfn.XLOOKUP(A76,members!A:A,members!H:H,"NoData"))</f>
        <v/>
      </c>
    </row>
    <row r="77" spans="3:3" x14ac:dyDescent="0.3">
      <c r="C77" t="str">
        <f>IF(A77="","",_xlfn.XLOOKUP(A77,members!A:A,members!H:H,"NoData"))</f>
        <v/>
      </c>
    </row>
    <row r="78" spans="3:3" x14ac:dyDescent="0.3">
      <c r="C78" t="str">
        <f>IF(A78="","",_xlfn.XLOOKUP(A78,members!A:A,members!H:H,"NoData"))</f>
        <v/>
      </c>
    </row>
    <row r="79" spans="3:3" x14ac:dyDescent="0.3">
      <c r="C79" t="str">
        <f>IF(A79="","",_xlfn.XLOOKUP(A79,members!A:A,members!H:H,"NoData"))</f>
        <v/>
      </c>
    </row>
    <row r="80" spans="3:3" x14ac:dyDescent="0.3">
      <c r="C80" t="str">
        <f>IF(A80="","",_xlfn.XLOOKUP(A80,members!A:A,members!H:H,"NoData"))</f>
        <v/>
      </c>
    </row>
    <row r="81" spans="3:3" x14ac:dyDescent="0.3">
      <c r="C81" t="str">
        <f>IF(A81="","",_xlfn.XLOOKUP(A81,members!A:A,members!H:H,"NoData"))</f>
        <v/>
      </c>
    </row>
    <row r="82" spans="3:3" x14ac:dyDescent="0.3">
      <c r="C82" t="str">
        <f>IF(A82="","",_xlfn.XLOOKUP(A82,members!A:A,members!H:H,"NoData"))</f>
        <v/>
      </c>
    </row>
    <row r="83" spans="3:3" x14ac:dyDescent="0.3">
      <c r="C83" t="str">
        <f>IF(A83="","",_xlfn.XLOOKUP(A83,members!A:A,members!H:H,"NoData"))</f>
        <v/>
      </c>
    </row>
    <row r="84" spans="3:3" x14ac:dyDescent="0.3">
      <c r="C84" t="str">
        <f>IF(A84="","",_xlfn.XLOOKUP(A84,members!A:A,members!H:H,"NoData"))</f>
        <v/>
      </c>
    </row>
    <row r="85" spans="3:3" x14ac:dyDescent="0.3">
      <c r="C85" t="str">
        <f>IF(A85="","",_xlfn.XLOOKUP(A85,members!A:A,members!H:H,"NoData"))</f>
        <v/>
      </c>
    </row>
    <row r="86" spans="3:3" x14ac:dyDescent="0.3">
      <c r="C86" t="str">
        <f>IF(A86="","",_xlfn.XLOOKUP(A86,members!A:A,members!H:H,"NoData"))</f>
        <v/>
      </c>
    </row>
    <row r="87" spans="3:3" x14ac:dyDescent="0.3">
      <c r="C87" t="str">
        <f>IF(A87="","",_xlfn.XLOOKUP(A87,members!A:A,members!H:H,"NoData"))</f>
        <v/>
      </c>
    </row>
    <row r="88" spans="3:3" x14ac:dyDescent="0.3">
      <c r="C88" t="str">
        <f>IF(A88="","",_xlfn.XLOOKUP(A88,members!A:A,members!H:H,"NoData"))</f>
        <v/>
      </c>
    </row>
    <row r="89" spans="3:3" x14ac:dyDescent="0.3">
      <c r="C89" t="str">
        <f>IF(A89="","",_xlfn.XLOOKUP(A89,members!A:A,members!H:H,"NoData"))</f>
        <v/>
      </c>
    </row>
  </sheetData>
  <phoneticPr fontId="1" type="noConversion"/>
  <conditionalFormatting sqref="B2:C1048576">
    <cfRule type="cellIs" dxfId="26" priority="1" operator="equal">
      <formula>"NoData"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D39F-7D92-4C5D-AEB6-E4E4E85FE383}">
  <sheetPr codeName="Sheet2">
    <tabColor theme="4" tint="0.39997558519241921"/>
  </sheetPr>
  <dimension ref="A1:H953"/>
  <sheetViews>
    <sheetView workbookViewId="0">
      <selection activeCell="E2" sqref="E2"/>
    </sheetView>
  </sheetViews>
  <sheetFormatPr defaultRowHeight="16.5" x14ac:dyDescent="0.3"/>
  <cols>
    <col min="1" max="1" width="10.25" style="51" customWidth="1"/>
    <col min="2" max="2" width="14" style="51" customWidth="1"/>
    <col min="3" max="3" width="8.875" style="52" customWidth="1"/>
    <col min="4" max="4" width="18.75" style="53" customWidth="1"/>
    <col min="5" max="5" width="17.875" style="52" customWidth="1"/>
    <col min="6" max="6" width="24.25" style="53" customWidth="1"/>
    <col min="7" max="7" width="10.75" style="52" customWidth="1"/>
    <col min="8" max="8" width="35" style="51" customWidth="1"/>
  </cols>
  <sheetData>
    <row r="1" spans="1:8" x14ac:dyDescent="0.3">
      <c r="A1" s="49" t="s">
        <v>14</v>
      </c>
      <c r="B1" s="49" t="s">
        <v>15</v>
      </c>
      <c r="C1" s="49" t="s">
        <v>16</v>
      </c>
      <c r="D1" s="50" t="s">
        <v>17</v>
      </c>
      <c r="E1" s="49" t="s">
        <v>18</v>
      </c>
      <c r="F1" s="50" t="s">
        <v>19</v>
      </c>
      <c r="G1" s="49" t="s">
        <v>20</v>
      </c>
      <c r="H1" s="49" t="s">
        <v>21</v>
      </c>
    </row>
    <row r="2" spans="1:8" x14ac:dyDescent="0.3">
      <c r="A2" s="51" t="s">
        <v>163</v>
      </c>
      <c r="B2" s="51" t="s">
        <v>164</v>
      </c>
      <c r="C2" s="52" t="s">
        <v>165</v>
      </c>
      <c r="D2" s="53" t="s">
        <v>166</v>
      </c>
      <c r="E2" s="52" t="s">
        <v>167</v>
      </c>
      <c r="F2" s="53" t="s">
        <v>168</v>
      </c>
      <c r="G2" s="52" t="s">
        <v>165</v>
      </c>
      <c r="H2" s="51" t="s">
        <v>169</v>
      </c>
    </row>
    <row r="3" spans="1:8" x14ac:dyDescent="0.3">
      <c r="A3" s="51" t="s">
        <v>170</v>
      </c>
      <c r="B3" s="51" t="s">
        <v>171</v>
      </c>
      <c r="C3" s="52" t="s">
        <v>172</v>
      </c>
      <c r="D3" s="53" t="s">
        <v>166</v>
      </c>
      <c r="E3" s="52" t="s">
        <v>167</v>
      </c>
      <c r="F3" s="53" t="s">
        <v>173</v>
      </c>
      <c r="G3" s="52" t="s">
        <v>172</v>
      </c>
      <c r="H3" s="51" t="s">
        <v>174</v>
      </c>
    </row>
    <row r="4" spans="1:8" x14ac:dyDescent="0.3">
      <c r="A4" s="51" t="s">
        <v>175</v>
      </c>
      <c r="B4" s="51" t="s">
        <v>176</v>
      </c>
      <c r="C4" s="52" t="s">
        <v>177</v>
      </c>
      <c r="D4" s="53" t="s">
        <v>166</v>
      </c>
      <c r="E4" s="52" t="s">
        <v>167</v>
      </c>
      <c r="F4" s="53" t="s">
        <v>178</v>
      </c>
      <c r="G4" s="52" t="s">
        <v>177</v>
      </c>
      <c r="H4" s="51" t="s">
        <v>179</v>
      </c>
    </row>
    <row r="5" spans="1:8" x14ac:dyDescent="0.3">
      <c r="A5" s="51" t="s">
        <v>180</v>
      </c>
      <c r="B5" s="51" t="s">
        <v>181</v>
      </c>
      <c r="C5" s="52" t="s">
        <v>182</v>
      </c>
      <c r="D5" s="53" t="s">
        <v>166</v>
      </c>
      <c r="E5" s="52" t="s">
        <v>167</v>
      </c>
      <c r="F5" s="53" t="s">
        <v>183</v>
      </c>
      <c r="G5" s="52" t="s">
        <v>182</v>
      </c>
      <c r="H5" s="51" t="s">
        <v>184</v>
      </c>
    </row>
    <row r="6" spans="1:8" x14ac:dyDescent="0.3">
      <c r="A6" s="51" t="s">
        <v>185</v>
      </c>
      <c r="B6" s="51" t="s">
        <v>186</v>
      </c>
      <c r="C6" s="52" t="s">
        <v>187</v>
      </c>
      <c r="D6" s="53" t="s">
        <v>166</v>
      </c>
      <c r="E6" s="52" t="s">
        <v>167</v>
      </c>
      <c r="F6" s="53" t="s">
        <v>188</v>
      </c>
      <c r="G6" s="52" t="s">
        <v>187</v>
      </c>
      <c r="H6" s="51" t="s">
        <v>189</v>
      </c>
    </row>
    <row r="7" spans="1:8" x14ac:dyDescent="0.3">
      <c r="A7" s="51" t="s">
        <v>190</v>
      </c>
      <c r="B7" s="51" t="s">
        <v>191</v>
      </c>
      <c r="C7" s="52" t="s">
        <v>192</v>
      </c>
      <c r="D7" s="53" t="s">
        <v>166</v>
      </c>
      <c r="E7" s="52" t="s">
        <v>167</v>
      </c>
      <c r="F7" s="53" t="s">
        <v>193</v>
      </c>
      <c r="G7" s="52" t="s">
        <v>192</v>
      </c>
      <c r="H7" s="51" t="s">
        <v>194</v>
      </c>
    </row>
    <row r="8" spans="1:8" x14ac:dyDescent="0.3">
      <c r="A8" s="51" t="s">
        <v>195</v>
      </c>
      <c r="B8" s="51" t="s">
        <v>196</v>
      </c>
      <c r="C8" s="52" t="s">
        <v>197</v>
      </c>
      <c r="D8" s="53" t="s">
        <v>166</v>
      </c>
      <c r="E8" s="52" t="s">
        <v>167</v>
      </c>
      <c r="F8" s="53" t="s">
        <v>198</v>
      </c>
      <c r="G8" s="52" t="s">
        <v>197</v>
      </c>
      <c r="H8" s="51" t="s">
        <v>199</v>
      </c>
    </row>
    <row r="9" spans="1:8" x14ac:dyDescent="0.3">
      <c r="A9" s="51" t="s">
        <v>200</v>
      </c>
      <c r="B9" s="51" t="s">
        <v>201</v>
      </c>
      <c r="C9" s="52" t="s">
        <v>202</v>
      </c>
      <c r="D9" s="53" t="s">
        <v>166</v>
      </c>
      <c r="E9" s="52" t="s">
        <v>167</v>
      </c>
      <c r="F9" s="53" t="s">
        <v>203</v>
      </c>
      <c r="G9" s="52" t="s">
        <v>202</v>
      </c>
      <c r="H9" s="51" t="s">
        <v>204</v>
      </c>
    </row>
    <row r="10" spans="1:8" x14ac:dyDescent="0.3">
      <c r="A10" s="51" t="s">
        <v>205</v>
      </c>
      <c r="B10" s="51" t="s">
        <v>206</v>
      </c>
      <c r="C10" s="52" t="s">
        <v>207</v>
      </c>
      <c r="D10" s="53" t="s">
        <v>166</v>
      </c>
      <c r="E10" s="52" t="s">
        <v>167</v>
      </c>
      <c r="F10" s="53" t="s">
        <v>208</v>
      </c>
      <c r="G10" s="52" t="s">
        <v>207</v>
      </c>
      <c r="H10" s="51" t="s">
        <v>209</v>
      </c>
    </row>
    <row r="11" spans="1:8" x14ac:dyDescent="0.3">
      <c r="A11" s="51" t="s">
        <v>210</v>
      </c>
      <c r="B11" s="51" t="s">
        <v>211</v>
      </c>
      <c r="C11" s="52" t="s">
        <v>212</v>
      </c>
      <c r="D11" s="53" t="s">
        <v>213</v>
      </c>
      <c r="E11" s="52" t="s">
        <v>214</v>
      </c>
      <c r="F11" s="53" t="s">
        <v>215</v>
      </c>
      <c r="G11" s="52" t="s">
        <v>212</v>
      </c>
      <c r="H11" s="51" t="s">
        <v>216</v>
      </c>
    </row>
    <row r="12" spans="1:8" x14ac:dyDescent="0.3">
      <c r="A12" s="51" t="s">
        <v>217</v>
      </c>
      <c r="B12" s="51" t="s">
        <v>218</v>
      </c>
      <c r="C12" s="52" t="s">
        <v>219</v>
      </c>
      <c r="D12" s="53" t="s">
        <v>220</v>
      </c>
      <c r="E12" s="52" t="s">
        <v>221</v>
      </c>
      <c r="F12" s="53" t="s">
        <v>222</v>
      </c>
      <c r="G12" s="52" t="s">
        <v>219</v>
      </c>
      <c r="H12" s="51" t="s">
        <v>223</v>
      </c>
    </row>
    <row r="13" spans="1:8" x14ac:dyDescent="0.3">
      <c r="A13" s="51" t="s">
        <v>224</v>
      </c>
      <c r="B13" s="51" t="s">
        <v>225</v>
      </c>
      <c r="C13" s="52" t="s">
        <v>226</v>
      </c>
      <c r="D13" s="53" t="s">
        <v>166</v>
      </c>
      <c r="E13" s="52" t="s">
        <v>167</v>
      </c>
      <c r="F13" s="53" t="s">
        <v>227</v>
      </c>
      <c r="G13" s="52" t="s">
        <v>226</v>
      </c>
      <c r="H13" s="51" t="s">
        <v>228</v>
      </c>
    </row>
    <row r="14" spans="1:8" x14ac:dyDescent="0.3">
      <c r="A14" s="51" t="s">
        <v>229</v>
      </c>
      <c r="B14" s="51" t="s">
        <v>230</v>
      </c>
      <c r="C14" s="52" t="s">
        <v>231</v>
      </c>
      <c r="D14" s="53" t="s">
        <v>166</v>
      </c>
      <c r="E14" s="52" t="s">
        <v>167</v>
      </c>
      <c r="F14" s="53" t="s">
        <v>232</v>
      </c>
      <c r="G14" s="52" t="s">
        <v>231</v>
      </c>
      <c r="H14" s="51" t="s">
        <v>233</v>
      </c>
    </row>
    <row r="15" spans="1:8" x14ac:dyDescent="0.3">
      <c r="A15" s="51" t="s">
        <v>234</v>
      </c>
      <c r="B15" s="51" t="s">
        <v>235</v>
      </c>
      <c r="C15" s="52" t="s">
        <v>236</v>
      </c>
      <c r="D15" s="53" t="s">
        <v>166</v>
      </c>
      <c r="E15" s="52" t="s">
        <v>167</v>
      </c>
      <c r="F15" s="53" t="s">
        <v>237</v>
      </c>
      <c r="G15" s="52" t="s">
        <v>236</v>
      </c>
      <c r="H15" s="51" t="s">
        <v>238</v>
      </c>
    </row>
    <row r="16" spans="1:8" x14ac:dyDescent="0.3">
      <c r="A16" s="51" t="s">
        <v>239</v>
      </c>
      <c r="B16" s="51" t="s">
        <v>240</v>
      </c>
      <c r="C16" s="52" t="s">
        <v>241</v>
      </c>
      <c r="D16" s="53" t="s">
        <v>242</v>
      </c>
      <c r="E16" s="52" t="s">
        <v>243</v>
      </c>
      <c r="F16" s="53" t="s">
        <v>244</v>
      </c>
      <c r="G16" s="52" t="s">
        <v>241</v>
      </c>
      <c r="H16" s="51" t="s">
        <v>245</v>
      </c>
    </row>
    <row r="17" spans="1:8" x14ac:dyDescent="0.3">
      <c r="A17" s="51" t="s">
        <v>246</v>
      </c>
      <c r="B17" s="51" t="s">
        <v>247</v>
      </c>
      <c r="C17" s="52" t="s">
        <v>248</v>
      </c>
      <c r="D17" s="53" t="s">
        <v>242</v>
      </c>
      <c r="E17" s="52" t="s">
        <v>243</v>
      </c>
      <c r="F17" s="53" t="s">
        <v>249</v>
      </c>
      <c r="G17" s="52" t="s">
        <v>248</v>
      </c>
      <c r="H17" s="51" t="s">
        <v>250</v>
      </c>
    </row>
    <row r="18" spans="1:8" x14ac:dyDescent="0.3">
      <c r="A18" s="51" t="s">
        <v>251</v>
      </c>
      <c r="B18" s="51" t="s">
        <v>252</v>
      </c>
      <c r="C18" s="52" t="s">
        <v>253</v>
      </c>
      <c r="D18" s="53" t="s">
        <v>242</v>
      </c>
      <c r="E18" s="52" t="s">
        <v>243</v>
      </c>
      <c r="F18" s="53" t="s">
        <v>254</v>
      </c>
      <c r="G18" s="52" t="s">
        <v>253</v>
      </c>
      <c r="H18" s="51" t="s">
        <v>255</v>
      </c>
    </row>
    <row r="19" spans="1:8" x14ac:dyDescent="0.3">
      <c r="A19" s="51" t="s">
        <v>256</v>
      </c>
      <c r="B19" s="51" t="s">
        <v>257</v>
      </c>
      <c r="C19" s="52" t="s">
        <v>258</v>
      </c>
      <c r="D19" s="53" t="s">
        <v>166</v>
      </c>
      <c r="E19" s="52" t="s">
        <v>167</v>
      </c>
      <c r="F19" s="53" t="s">
        <v>259</v>
      </c>
      <c r="G19" s="52" t="s">
        <v>258</v>
      </c>
      <c r="H19" s="51" t="s">
        <v>260</v>
      </c>
    </row>
    <row r="20" spans="1:8" x14ac:dyDescent="0.3">
      <c r="A20" s="51" t="s">
        <v>261</v>
      </c>
      <c r="B20" s="51" t="s">
        <v>262</v>
      </c>
      <c r="C20" s="52" t="s">
        <v>263</v>
      </c>
      <c r="D20" s="53" t="s">
        <v>166</v>
      </c>
      <c r="E20" s="52" t="s">
        <v>167</v>
      </c>
      <c r="F20" s="53" t="s">
        <v>264</v>
      </c>
      <c r="G20" s="52" t="s">
        <v>263</v>
      </c>
      <c r="H20" s="51" t="s">
        <v>265</v>
      </c>
    </row>
    <row r="21" spans="1:8" x14ac:dyDescent="0.3">
      <c r="A21" s="51" t="s">
        <v>266</v>
      </c>
      <c r="B21" s="51" t="s">
        <v>267</v>
      </c>
      <c r="C21" s="52" t="s">
        <v>268</v>
      </c>
      <c r="D21" s="53" t="s">
        <v>166</v>
      </c>
      <c r="E21" s="52" t="s">
        <v>167</v>
      </c>
      <c r="F21" s="53" t="s">
        <v>269</v>
      </c>
      <c r="G21" s="52" t="s">
        <v>268</v>
      </c>
      <c r="H21" s="51" t="s">
        <v>270</v>
      </c>
    </row>
    <row r="22" spans="1:8" x14ac:dyDescent="0.3">
      <c r="A22" s="51" t="s">
        <v>271</v>
      </c>
      <c r="B22" s="51" t="s">
        <v>272</v>
      </c>
      <c r="C22" s="52" t="s">
        <v>273</v>
      </c>
      <c r="D22" s="53" t="s">
        <v>166</v>
      </c>
      <c r="E22" s="52" t="s">
        <v>167</v>
      </c>
      <c r="F22" s="53" t="s">
        <v>274</v>
      </c>
      <c r="G22" s="52" t="s">
        <v>273</v>
      </c>
      <c r="H22" s="51" t="s">
        <v>275</v>
      </c>
    </row>
    <row r="23" spans="1:8" x14ac:dyDescent="0.3">
      <c r="A23" s="51" t="s">
        <v>276</v>
      </c>
      <c r="B23" s="51" t="s">
        <v>277</v>
      </c>
      <c r="C23" s="52" t="s">
        <v>278</v>
      </c>
      <c r="D23" s="53" t="s">
        <v>166</v>
      </c>
      <c r="E23" s="52" t="s">
        <v>167</v>
      </c>
      <c r="F23" s="53" t="s">
        <v>279</v>
      </c>
      <c r="G23" s="52" t="s">
        <v>278</v>
      </c>
      <c r="H23" s="51" t="s">
        <v>280</v>
      </c>
    </row>
    <row r="24" spans="1:8" x14ac:dyDescent="0.3">
      <c r="A24" s="51" t="s">
        <v>281</v>
      </c>
      <c r="B24" s="51" t="s">
        <v>282</v>
      </c>
      <c r="C24" s="52" t="s">
        <v>283</v>
      </c>
      <c r="D24" s="53" t="s">
        <v>166</v>
      </c>
      <c r="E24" s="52" t="s">
        <v>167</v>
      </c>
      <c r="F24" s="53" t="s">
        <v>284</v>
      </c>
      <c r="G24" s="52" t="s">
        <v>283</v>
      </c>
      <c r="H24" s="51" t="s">
        <v>285</v>
      </c>
    </row>
    <row r="25" spans="1:8" x14ac:dyDescent="0.3">
      <c r="A25" s="51" t="s">
        <v>286</v>
      </c>
      <c r="B25" s="51" t="s">
        <v>287</v>
      </c>
      <c r="C25" s="52" t="s">
        <v>288</v>
      </c>
      <c r="D25" s="53" t="s">
        <v>166</v>
      </c>
      <c r="E25" s="52" t="s">
        <v>167</v>
      </c>
      <c r="F25" s="53" t="s">
        <v>289</v>
      </c>
      <c r="G25" s="52" t="s">
        <v>288</v>
      </c>
      <c r="H25" s="51" t="s">
        <v>290</v>
      </c>
    </row>
    <row r="26" spans="1:8" x14ac:dyDescent="0.3">
      <c r="A26" s="51" t="s">
        <v>291</v>
      </c>
      <c r="B26" s="51" t="s">
        <v>292</v>
      </c>
      <c r="C26" s="52" t="s">
        <v>293</v>
      </c>
      <c r="D26" s="53" t="s">
        <v>166</v>
      </c>
      <c r="E26" s="52" t="s">
        <v>167</v>
      </c>
      <c r="F26" s="53" t="s">
        <v>294</v>
      </c>
      <c r="G26" s="52" t="s">
        <v>293</v>
      </c>
      <c r="H26" s="51" t="s">
        <v>295</v>
      </c>
    </row>
    <row r="27" spans="1:8" x14ac:dyDescent="0.3">
      <c r="A27" s="51" t="s">
        <v>296</v>
      </c>
      <c r="B27" s="51" t="s">
        <v>297</v>
      </c>
      <c r="C27" s="52" t="s">
        <v>298</v>
      </c>
      <c r="D27" s="53" t="s">
        <v>166</v>
      </c>
      <c r="E27" s="52" t="s">
        <v>167</v>
      </c>
      <c r="F27" s="53" t="s">
        <v>299</v>
      </c>
      <c r="G27" s="52" t="s">
        <v>298</v>
      </c>
      <c r="H27" s="51" t="s">
        <v>300</v>
      </c>
    </row>
    <row r="28" spans="1:8" x14ac:dyDescent="0.3">
      <c r="A28" s="51" t="s">
        <v>301</v>
      </c>
      <c r="B28" s="51" t="s">
        <v>302</v>
      </c>
      <c r="C28" s="52" t="s">
        <v>303</v>
      </c>
      <c r="D28" s="53" t="s">
        <v>242</v>
      </c>
      <c r="E28" s="52" t="s">
        <v>243</v>
      </c>
      <c r="F28" s="53" t="s">
        <v>304</v>
      </c>
      <c r="G28" s="52" t="s">
        <v>303</v>
      </c>
      <c r="H28" s="51" t="s">
        <v>305</v>
      </c>
    </row>
    <row r="29" spans="1:8" x14ac:dyDescent="0.3">
      <c r="A29" s="51" t="s">
        <v>306</v>
      </c>
      <c r="B29" s="51" t="s">
        <v>307</v>
      </c>
      <c r="C29" s="52" t="s">
        <v>308</v>
      </c>
      <c r="D29" s="53" t="s">
        <v>309</v>
      </c>
      <c r="E29" s="52" t="s">
        <v>310</v>
      </c>
      <c r="F29" s="53" t="s">
        <v>311</v>
      </c>
      <c r="G29" s="52" t="s">
        <v>308</v>
      </c>
      <c r="H29" s="51" t="s">
        <v>312</v>
      </c>
    </row>
    <row r="30" spans="1:8" x14ac:dyDescent="0.3">
      <c r="A30" s="51" t="s">
        <v>313</v>
      </c>
      <c r="B30" s="51" t="s">
        <v>314</v>
      </c>
      <c r="C30" s="52" t="s">
        <v>315</v>
      </c>
      <c r="D30" s="53" t="s">
        <v>166</v>
      </c>
      <c r="E30" s="52" t="s">
        <v>167</v>
      </c>
      <c r="F30" s="53" t="s">
        <v>316</v>
      </c>
      <c r="G30" s="52" t="s">
        <v>315</v>
      </c>
      <c r="H30" s="51" t="s">
        <v>317</v>
      </c>
    </row>
    <row r="31" spans="1:8" x14ac:dyDescent="0.3">
      <c r="A31" s="51" t="s">
        <v>318</v>
      </c>
      <c r="B31" s="51" t="s">
        <v>319</v>
      </c>
      <c r="C31" s="52" t="s">
        <v>320</v>
      </c>
      <c r="D31" s="53" t="s">
        <v>321</v>
      </c>
      <c r="E31" s="52" t="s">
        <v>322</v>
      </c>
      <c r="F31" s="53" t="s">
        <v>323</v>
      </c>
      <c r="G31" s="52" t="s">
        <v>320</v>
      </c>
      <c r="H31" s="51" t="s">
        <v>324</v>
      </c>
    </row>
    <row r="32" spans="1:8" x14ac:dyDescent="0.3">
      <c r="A32" s="51" t="s">
        <v>325</v>
      </c>
      <c r="B32" s="51" t="s">
        <v>326</v>
      </c>
      <c r="C32" s="52" t="s">
        <v>327</v>
      </c>
      <c r="D32" s="53" t="s">
        <v>166</v>
      </c>
      <c r="E32" s="52" t="s">
        <v>167</v>
      </c>
      <c r="F32" s="53" t="s">
        <v>328</v>
      </c>
      <c r="G32" s="52" t="s">
        <v>327</v>
      </c>
      <c r="H32" s="51" t="s">
        <v>329</v>
      </c>
    </row>
    <row r="33" spans="1:8" x14ac:dyDescent="0.3">
      <c r="A33" s="51" t="s">
        <v>330</v>
      </c>
      <c r="B33" s="51" t="s">
        <v>331</v>
      </c>
      <c r="C33" s="52" t="s">
        <v>332</v>
      </c>
      <c r="D33" s="53" t="s">
        <v>166</v>
      </c>
      <c r="E33" s="52" t="s">
        <v>167</v>
      </c>
      <c r="F33" s="53" t="s">
        <v>333</v>
      </c>
      <c r="G33" s="52" t="s">
        <v>332</v>
      </c>
      <c r="H33" s="51" t="s">
        <v>334</v>
      </c>
    </row>
    <row r="34" spans="1:8" x14ac:dyDescent="0.3">
      <c r="A34" s="51" t="s">
        <v>335</v>
      </c>
      <c r="B34" s="51" t="s">
        <v>336</v>
      </c>
      <c r="C34" s="52" t="s">
        <v>337</v>
      </c>
      <c r="D34" s="53" t="s">
        <v>166</v>
      </c>
      <c r="E34" s="52" t="s">
        <v>167</v>
      </c>
      <c r="F34" s="53" t="s">
        <v>338</v>
      </c>
      <c r="G34" s="52" t="s">
        <v>337</v>
      </c>
      <c r="H34" s="51" t="s">
        <v>339</v>
      </c>
    </row>
    <row r="35" spans="1:8" x14ac:dyDescent="0.3">
      <c r="A35" s="51" t="s">
        <v>340</v>
      </c>
      <c r="B35" s="51" t="s">
        <v>341</v>
      </c>
      <c r="C35" s="52" t="s">
        <v>342</v>
      </c>
      <c r="D35" s="53" t="s">
        <v>166</v>
      </c>
      <c r="E35" s="52" t="s">
        <v>167</v>
      </c>
      <c r="F35" s="53" t="s">
        <v>343</v>
      </c>
      <c r="G35" s="52" t="s">
        <v>342</v>
      </c>
      <c r="H35" s="51" t="s">
        <v>344</v>
      </c>
    </row>
    <row r="36" spans="1:8" x14ac:dyDescent="0.3">
      <c r="A36" s="51" t="s">
        <v>345</v>
      </c>
      <c r="B36" s="51" t="s">
        <v>346</v>
      </c>
      <c r="C36" s="52" t="s">
        <v>347</v>
      </c>
      <c r="D36" s="53" t="s">
        <v>166</v>
      </c>
      <c r="E36" s="52" t="s">
        <v>167</v>
      </c>
      <c r="F36" s="53" t="s">
        <v>348</v>
      </c>
      <c r="G36" s="52" t="s">
        <v>347</v>
      </c>
      <c r="H36" s="51" t="s">
        <v>349</v>
      </c>
    </row>
    <row r="37" spans="1:8" x14ac:dyDescent="0.3">
      <c r="A37" s="51" t="s">
        <v>350</v>
      </c>
      <c r="B37" s="51" t="s">
        <v>351</v>
      </c>
      <c r="C37" s="52" t="s">
        <v>352</v>
      </c>
      <c r="D37" s="53" t="s">
        <v>166</v>
      </c>
      <c r="E37" s="52" t="s">
        <v>167</v>
      </c>
      <c r="F37" s="53" t="s">
        <v>353</v>
      </c>
      <c r="G37" s="52" t="s">
        <v>352</v>
      </c>
      <c r="H37" s="51" t="s">
        <v>354</v>
      </c>
    </row>
    <row r="38" spans="1:8" x14ac:dyDescent="0.3">
      <c r="A38" s="51" t="s">
        <v>355</v>
      </c>
      <c r="B38" s="51" t="s">
        <v>356</v>
      </c>
      <c r="C38" s="52" t="s">
        <v>357</v>
      </c>
      <c r="D38" s="53" t="s">
        <v>166</v>
      </c>
      <c r="E38" s="52" t="s">
        <v>167</v>
      </c>
      <c r="F38" s="53" t="s">
        <v>358</v>
      </c>
      <c r="G38" s="52" t="s">
        <v>357</v>
      </c>
      <c r="H38" s="51" t="s">
        <v>359</v>
      </c>
    </row>
    <row r="39" spans="1:8" x14ac:dyDescent="0.3">
      <c r="A39" s="51" t="s">
        <v>360</v>
      </c>
      <c r="B39" s="51" t="s">
        <v>361</v>
      </c>
      <c r="C39" s="52" t="s">
        <v>362</v>
      </c>
      <c r="D39" s="53" t="s">
        <v>166</v>
      </c>
      <c r="E39" s="52" t="s">
        <v>167</v>
      </c>
      <c r="F39" s="53" t="s">
        <v>363</v>
      </c>
      <c r="G39" s="52" t="s">
        <v>362</v>
      </c>
      <c r="H39" s="51" t="s">
        <v>364</v>
      </c>
    </row>
    <row r="40" spans="1:8" x14ac:dyDescent="0.3">
      <c r="A40" s="51" t="s">
        <v>365</v>
      </c>
      <c r="B40" s="51" t="s">
        <v>366</v>
      </c>
      <c r="C40" s="52" t="s">
        <v>367</v>
      </c>
      <c r="D40" s="53" t="s">
        <v>166</v>
      </c>
      <c r="E40" s="52" t="s">
        <v>167</v>
      </c>
      <c r="F40" s="53" t="s">
        <v>368</v>
      </c>
      <c r="G40" s="52" t="s">
        <v>367</v>
      </c>
      <c r="H40" s="51" t="s">
        <v>369</v>
      </c>
    </row>
    <row r="41" spans="1:8" x14ac:dyDescent="0.3">
      <c r="A41" s="51" t="s">
        <v>370</v>
      </c>
      <c r="B41" s="51" t="s">
        <v>371</v>
      </c>
      <c r="C41" s="52" t="s">
        <v>372</v>
      </c>
      <c r="D41" s="53" t="s">
        <v>242</v>
      </c>
      <c r="E41" s="52" t="s">
        <v>243</v>
      </c>
      <c r="F41" s="53" t="s">
        <v>373</v>
      </c>
      <c r="G41" s="52" t="s">
        <v>372</v>
      </c>
      <c r="H41" s="51" t="s">
        <v>374</v>
      </c>
    </row>
    <row r="42" spans="1:8" x14ac:dyDescent="0.3">
      <c r="A42" s="51" t="s">
        <v>375</v>
      </c>
      <c r="B42" s="51" t="s">
        <v>376</v>
      </c>
      <c r="C42" s="52" t="s">
        <v>377</v>
      </c>
      <c r="D42" s="53" t="s">
        <v>166</v>
      </c>
      <c r="E42" s="52" t="s">
        <v>167</v>
      </c>
      <c r="F42" s="53" t="s">
        <v>378</v>
      </c>
      <c r="G42" s="52" t="s">
        <v>377</v>
      </c>
      <c r="H42" s="51" t="s">
        <v>379</v>
      </c>
    </row>
    <row r="43" spans="1:8" x14ac:dyDescent="0.3">
      <c r="A43" s="51" t="s">
        <v>380</v>
      </c>
      <c r="B43" s="51" t="s">
        <v>381</v>
      </c>
      <c r="C43" s="52" t="s">
        <v>382</v>
      </c>
      <c r="D43" s="53" t="s">
        <v>166</v>
      </c>
      <c r="E43" s="52" t="s">
        <v>167</v>
      </c>
      <c r="F43" s="53" t="s">
        <v>383</v>
      </c>
      <c r="G43" s="52" t="s">
        <v>382</v>
      </c>
      <c r="H43" s="51" t="s">
        <v>384</v>
      </c>
    </row>
    <row r="44" spans="1:8" x14ac:dyDescent="0.3">
      <c r="A44" s="51" t="s">
        <v>385</v>
      </c>
      <c r="B44" s="51" t="s">
        <v>386</v>
      </c>
      <c r="C44" s="52" t="s">
        <v>387</v>
      </c>
      <c r="D44" s="53" t="s">
        <v>166</v>
      </c>
      <c r="E44" s="52" t="s">
        <v>167</v>
      </c>
      <c r="F44" s="53" t="s">
        <v>388</v>
      </c>
      <c r="G44" s="52" t="s">
        <v>387</v>
      </c>
      <c r="H44" s="51" t="s">
        <v>389</v>
      </c>
    </row>
    <row r="45" spans="1:8" x14ac:dyDescent="0.3">
      <c r="A45" s="51" t="s">
        <v>390</v>
      </c>
      <c r="B45" s="51" t="s">
        <v>391</v>
      </c>
      <c r="C45" s="52" t="s">
        <v>392</v>
      </c>
      <c r="D45" s="53" t="s">
        <v>166</v>
      </c>
      <c r="E45" s="52" t="s">
        <v>167</v>
      </c>
      <c r="F45" s="53" t="s">
        <v>393</v>
      </c>
      <c r="G45" s="52" t="s">
        <v>392</v>
      </c>
      <c r="H45" s="51" t="s">
        <v>394</v>
      </c>
    </row>
    <row r="46" spans="1:8" x14ac:dyDescent="0.3">
      <c r="A46" s="51" t="s">
        <v>395</v>
      </c>
      <c r="B46" s="51" t="s">
        <v>396</v>
      </c>
      <c r="C46" s="52" t="s">
        <v>397</v>
      </c>
      <c r="D46" s="53" t="s">
        <v>166</v>
      </c>
      <c r="E46" s="52" t="s">
        <v>167</v>
      </c>
      <c r="F46" s="53" t="s">
        <v>398</v>
      </c>
      <c r="G46" s="52" t="s">
        <v>397</v>
      </c>
      <c r="H46" s="51" t="s">
        <v>399</v>
      </c>
    </row>
    <row r="47" spans="1:8" x14ac:dyDescent="0.3">
      <c r="A47" s="51" t="s">
        <v>400</v>
      </c>
      <c r="B47" s="51" t="s">
        <v>401</v>
      </c>
      <c r="C47" s="52" t="s">
        <v>402</v>
      </c>
      <c r="D47" s="53" t="s">
        <v>166</v>
      </c>
      <c r="E47" s="52" t="s">
        <v>167</v>
      </c>
      <c r="F47" s="53" t="s">
        <v>403</v>
      </c>
      <c r="G47" s="52" t="s">
        <v>402</v>
      </c>
      <c r="H47" s="51" t="s">
        <v>404</v>
      </c>
    </row>
    <row r="48" spans="1:8" x14ac:dyDescent="0.3">
      <c r="A48" s="51" t="s">
        <v>405</v>
      </c>
      <c r="B48" s="51" t="s">
        <v>406</v>
      </c>
      <c r="C48" s="52" t="s">
        <v>407</v>
      </c>
      <c r="D48" s="53" t="s">
        <v>166</v>
      </c>
      <c r="E48" s="52" t="s">
        <v>167</v>
      </c>
      <c r="F48" s="53" t="s">
        <v>408</v>
      </c>
      <c r="G48" s="52" t="s">
        <v>407</v>
      </c>
      <c r="H48" s="51" t="s">
        <v>409</v>
      </c>
    </row>
    <row r="49" spans="1:8" x14ac:dyDescent="0.3">
      <c r="A49" s="51" t="s">
        <v>410</v>
      </c>
      <c r="B49" s="51" t="s">
        <v>411</v>
      </c>
      <c r="C49" s="52" t="s">
        <v>412</v>
      </c>
      <c r="D49" s="53" t="s">
        <v>166</v>
      </c>
      <c r="E49" s="52" t="s">
        <v>167</v>
      </c>
      <c r="F49" s="53" t="s">
        <v>413</v>
      </c>
      <c r="G49" s="52" t="s">
        <v>412</v>
      </c>
      <c r="H49" s="51" t="s">
        <v>414</v>
      </c>
    </row>
    <row r="50" spans="1:8" x14ac:dyDescent="0.3">
      <c r="A50" s="51" t="s">
        <v>415</v>
      </c>
      <c r="B50" s="51" t="s">
        <v>416</v>
      </c>
      <c r="C50" s="52" t="s">
        <v>417</v>
      </c>
      <c r="D50" s="53" t="s">
        <v>166</v>
      </c>
      <c r="E50" s="52" t="s">
        <v>167</v>
      </c>
      <c r="F50" s="53" t="s">
        <v>418</v>
      </c>
      <c r="G50" s="52" t="s">
        <v>417</v>
      </c>
      <c r="H50" s="51" t="s">
        <v>419</v>
      </c>
    </row>
    <row r="51" spans="1:8" x14ac:dyDescent="0.3">
      <c r="A51" s="51" t="s">
        <v>420</v>
      </c>
      <c r="B51" s="51" t="s">
        <v>421</v>
      </c>
      <c r="C51" s="52" t="s">
        <v>422</v>
      </c>
      <c r="D51" s="53" t="s">
        <v>213</v>
      </c>
      <c r="E51" s="52" t="s">
        <v>214</v>
      </c>
      <c r="F51" s="53" t="s">
        <v>423</v>
      </c>
      <c r="G51" s="52" t="s">
        <v>422</v>
      </c>
      <c r="H51" s="51" t="s">
        <v>424</v>
      </c>
    </row>
    <row r="52" spans="1:8" x14ac:dyDescent="0.3">
      <c r="A52" s="51" t="s">
        <v>425</v>
      </c>
      <c r="B52" s="51" t="s">
        <v>426</v>
      </c>
      <c r="C52" s="52" t="s">
        <v>427</v>
      </c>
      <c r="D52" s="53" t="s">
        <v>166</v>
      </c>
      <c r="E52" s="52" t="s">
        <v>167</v>
      </c>
      <c r="F52" s="53" t="s">
        <v>428</v>
      </c>
      <c r="G52" s="52" t="s">
        <v>427</v>
      </c>
      <c r="H52" s="51" t="s">
        <v>429</v>
      </c>
    </row>
    <row r="53" spans="1:8" x14ac:dyDescent="0.3">
      <c r="A53" s="51" t="s">
        <v>430</v>
      </c>
      <c r="B53" s="51" t="s">
        <v>431</v>
      </c>
      <c r="C53" s="52" t="s">
        <v>432</v>
      </c>
      <c r="D53" s="53" t="s">
        <v>166</v>
      </c>
      <c r="E53" s="52" t="s">
        <v>167</v>
      </c>
      <c r="F53" s="53" t="s">
        <v>433</v>
      </c>
      <c r="G53" s="52" t="s">
        <v>432</v>
      </c>
      <c r="H53" s="51" t="s">
        <v>434</v>
      </c>
    </row>
    <row r="54" spans="1:8" x14ac:dyDescent="0.3">
      <c r="A54" s="51" t="s">
        <v>435</v>
      </c>
      <c r="B54" s="51" t="s">
        <v>436</v>
      </c>
      <c r="C54" s="52" t="s">
        <v>437</v>
      </c>
      <c r="D54" s="53" t="s">
        <v>309</v>
      </c>
      <c r="E54" s="52" t="s">
        <v>310</v>
      </c>
      <c r="F54" s="53" t="s">
        <v>438</v>
      </c>
      <c r="G54" s="52" t="s">
        <v>437</v>
      </c>
      <c r="H54" s="51" t="s">
        <v>439</v>
      </c>
    </row>
    <row r="55" spans="1:8" x14ac:dyDescent="0.3">
      <c r="A55" s="51" t="s">
        <v>440</v>
      </c>
      <c r="B55" s="51" t="s">
        <v>441</v>
      </c>
      <c r="C55" s="52" t="s">
        <v>442</v>
      </c>
      <c r="D55" s="53" t="s">
        <v>166</v>
      </c>
      <c r="E55" s="52" t="s">
        <v>167</v>
      </c>
      <c r="F55" s="53" t="s">
        <v>443</v>
      </c>
      <c r="G55" s="52" t="s">
        <v>442</v>
      </c>
      <c r="H55" s="51" t="s">
        <v>444</v>
      </c>
    </row>
    <row r="56" spans="1:8" x14ac:dyDescent="0.3">
      <c r="A56" s="51" t="s">
        <v>445</v>
      </c>
      <c r="B56" s="51" t="s">
        <v>446</v>
      </c>
      <c r="C56" s="52" t="s">
        <v>447</v>
      </c>
      <c r="D56" s="53" t="s">
        <v>166</v>
      </c>
      <c r="E56" s="52" t="s">
        <v>167</v>
      </c>
      <c r="F56" s="53" t="s">
        <v>448</v>
      </c>
      <c r="G56" s="52" t="s">
        <v>447</v>
      </c>
      <c r="H56" s="51" t="s">
        <v>449</v>
      </c>
    </row>
    <row r="57" spans="1:8" x14ac:dyDescent="0.3">
      <c r="A57" s="51" t="s">
        <v>450</v>
      </c>
      <c r="B57" s="51" t="s">
        <v>451</v>
      </c>
      <c r="C57" s="52" t="s">
        <v>452</v>
      </c>
      <c r="D57" s="53" t="s">
        <v>166</v>
      </c>
      <c r="E57" s="52" t="s">
        <v>167</v>
      </c>
      <c r="F57" s="53" t="s">
        <v>453</v>
      </c>
      <c r="G57" s="52" t="s">
        <v>452</v>
      </c>
      <c r="H57" s="51" t="s">
        <v>454</v>
      </c>
    </row>
    <row r="58" spans="1:8" x14ac:dyDescent="0.3">
      <c r="A58" s="51" t="s">
        <v>455</v>
      </c>
      <c r="B58" s="51" t="s">
        <v>456</v>
      </c>
      <c r="C58" s="52" t="s">
        <v>457</v>
      </c>
      <c r="D58" s="53" t="s">
        <v>166</v>
      </c>
      <c r="E58" s="52" t="s">
        <v>167</v>
      </c>
      <c r="F58" s="53" t="s">
        <v>458</v>
      </c>
      <c r="G58" s="52" t="s">
        <v>457</v>
      </c>
      <c r="H58" s="51" t="s">
        <v>459</v>
      </c>
    </row>
    <row r="59" spans="1:8" x14ac:dyDescent="0.3">
      <c r="A59" s="51" t="s">
        <v>460</v>
      </c>
      <c r="B59" s="51" t="s">
        <v>461</v>
      </c>
      <c r="C59" s="52" t="s">
        <v>462</v>
      </c>
      <c r="D59" s="53" t="s">
        <v>166</v>
      </c>
      <c r="E59" s="52" t="s">
        <v>167</v>
      </c>
      <c r="F59" s="53" t="s">
        <v>463</v>
      </c>
      <c r="G59" s="52" t="s">
        <v>462</v>
      </c>
      <c r="H59" s="51" t="s">
        <v>464</v>
      </c>
    </row>
    <row r="60" spans="1:8" x14ac:dyDescent="0.3">
      <c r="A60" s="51" t="s">
        <v>465</v>
      </c>
      <c r="B60" s="51" t="s">
        <v>466</v>
      </c>
      <c r="C60" s="52" t="s">
        <v>467</v>
      </c>
      <c r="D60" s="53" t="s">
        <v>321</v>
      </c>
      <c r="E60" s="52" t="s">
        <v>322</v>
      </c>
      <c r="F60" s="53" t="s">
        <v>468</v>
      </c>
      <c r="G60" s="52" t="s">
        <v>467</v>
      </c>
      <c r="H60" s="51" t="s">
        <v>469</v>
      </c>
    </row>
    <row r="61" spans="1:8" x14ac:dyDescent="0.3">
      <c r="A61" s="51" t="s">
        <v>470</v>
      </c>
      <c r="B61" s="51" t="s">
        <v>471</v>
      </c>
      <c r="C61" s="52" t="s">
        <v>472</v>
      </c>
      <c r="D61" s="53" t="s">
        <v>166</v>
      </c>
      <c r="E61" s="52" t="s">
        <v>167</v>
      </c>
      <c r="F61" s="53" t="s">
        <v>473</v>
      </c>
      <c r="G61" s="52" t="s">
        <v>472</v>
      </c>
      <c r="H61" s="51" t="s">
        <v>474</v>
      </c>
    </row>
    <row r="62" spans="1:8" x14ac:dyDescent="0.3">
      <c r="A62" s="51" t="s">
        <v>475</v>
      </c>
      <c r="B62" s="51" t="s">
        <v>476</v>
      </c>
      <c r="C62" s="52" t="s">
        <v>477</v>
      </c>
      <c r="D62" s="53" t="s">
        <v>166</v>
      </c>
      <c r="E62" s="52" t="s">
        <v>167</v>
      </c>
      <c r="F62" s="53" t="s">
        <v>478</v>
      </c>
      <c r="G62" s="52" t="s">
        <v>477</v>
      </c>
      <c r="H62" s="51" t="s">
        <v>479</v>
      </c>
    </row>
    <row r="63" spans="1:8" x14ac:dyDescent="0.3">
      <c r="A63" s="51" t="s">
        <v>480</v>
      </c>
      <c r="B63" s="51" t="s">
        <v>481</v>
      </c>
      <c r="C63" s="52" t="s">
        <v>482</v>
      </c>
      <c r="D63" s="53" t="s">
        <v>166</v>
      </c>
      <c r="E63" s="52" t="s">
        <v>167</v>
      </c>
      <c r="F63" s="53" t="s">
        <v>483</v>
      </c>
      <c r="G63" s="52" t="s">
        <v>482</v>
      </c>
      <c r="H63" s="51" t="s">
        <v>484</v>
      </c>
    </row>
    <row r="64" spans="1:8" x14ac:dyDescent="0.3">
      <c r="A64" s="51" t="s">
        <v>485</v>
      </c>
      <c r="B64" s="51" t="s">
        <v>486</v>
      </c>
      <c r="C64" s="52" t="s">
        <v>487</v>
      </c>
      <c r="D64" s="53" t="s">
        <v>166</v>
      </c>
      <c r="E64" s="52" t="s">
        <v>167</v>
      </c>
      <c r="F64" s="53" t="s">
        <v>488</v>
      </c>
      <c r="G64" s="52" t="s">
        <v>487</v>
      </c>
      <c r="H64" s="51" t="s">
        <v>489</v>
      </c>
    </row>
    <row r="65" spans="1:8" x14ac:dyDescent="0.3">
      <c r="A65" s="51" t="s">
        <v>490</v>
      </c>
      <c r="B65" s="51" t="s">
        <v>491</v>
      </c>
      <c r="C65" s="52" t="s">
        <v>492</v>
      </c>
      <c r="D65" s="53" t="s">
        <v>166</v>
      </c>
      <c r="E65" s="52" t="s">
        <v>167</v>
      </c>
      <c r="F65" s="53" t="s">
        <v>493</v>
      </c>
      <c r="G65" s="52" t="s">
        <v>492</v>
      </c>
      <c r="H65" s="51" t="s">
        <v>494</v>
      </c>
    </row>
    <row r="66" spans="1:8" x14ac:dyDescent="0.3">
      <c r="A66" s="51" t="s">
        <v>495</v>
      </c>
      <c r="B66" s="51" t="s">
        <v>496</v>
      </c>
      <c r="C66" s="52" t="s">
        <v>497</v>
      </c>
      <c r="D66" s="53" t="s">
        <v>166</v>
      </c>
      <c r="E66" s="52" t="s">
        <v>167</v>
      </c>
      <c r="F66" s="53" t="s">
        <v>498</v>
      </c>
      <c r="G66" s="52" t="s">
        <v>497</v>
      </c>
      <c r="H66" s="51" t="s">
        <v>499</v>
      </c>
    </row>
    <row r="67" spans="1:8" x14ac:dyDescent="0.3">
      <c r="A67" s="51" t="s">
        <v>500</v>
      </c>
      <c r="B67" s="51" t="s">
        <v>501</v>
      </c>
      <c r="C67" s="52" t="s">
        <v>502</v>
      </c>
      <c r="D67" s="53" t="s">
        <v>242</v>
      </c>
      <c r="E67" s="52" t="s">
        <v>243</v>
      </c>
      <c r="F67" s="53" t="s">
        <v>503</v>
      </c>
      <c r="G67" s="52" t="s">
        <v>502</v>
      </c>
      <c r="H67" s="51" t="s">
        <v>504</v>
      </c>
    </row>
    <row r="68" spans="1:8" x14ac:dyDescent="0.3">
      <c r="A68" s="51" t="s">
        <v>505</v>
      </c>
      <c r="B68" s="51" t="s">
        <v>506</v>
      </c>
      <c r="C68" s="52" t="s">
        <v>507</v>
      </c>
      <c r="D68" s="53" t="s">
        <v>321</v>
      </c>
      <c r="E68" s="52" t="s">
        <v>322</v>
      </c>
      <c r="F68" s="53" t="s">
        <v>508</v>
      </c>
      <c r="G68" s="52" t="s">
        <v>507</v>
      </c>
      <c r="H68" s="51" t="s">
        <v>509</v>
      </c>
    </row>
    <row r="69" spans="1:8" x14ac:dyDescent="0.3">
      <c r="A69" s="51" t="s">
        <v>510</v>
      </c>
      <c r="B69" s="51" t="s">
        <v>511</v>
      </c>
      <c r="C69" s="52" t="s">
        <v>512</v>
      </c>
      <c r="D69" s="53" t="s">
        <v>242</v>
      </c>
      <c r="E69" s="52" t="s">
        <v>243</v>
      </c>
      <c r="F69" s="53" t="s">
        <v>513</v>
      </c>
      <c r="G69" s="52" t="s">
        <v>512</v>
      </c>
      <c r="H69" s="51" t="s">
        <v>514</v>
      </c>
    </row>
    <row r="70" spans="1:8" x14ac:dyDescent="0.3">
      <c r="A70" s="51" t="s">
        <v>515</v>
      </c>
      <c r="B70" s="51" t="s">
        <v>516</v>
      </c>
      <c r="C70" s="52" t="s">
        <v>517</v>
      </c>
      <c r="D70" s="53" t="s">
        <v>321</v>
      </c>
      <c r="E70" s="52" t="s">
        <v>322</v>
      </c>
      <c r="F70" s="53" t="s">
        <v>518</v>
      </c>
      <c r="G70" s="52" t="s">
        <v>517</v>
      </c>
      <c r="H70" s="51" t="s">
        <v>519</v>
      </c>
    </row>
    <row r="71" spans="1:8" x14ac:dyDescent="0.3">
      <c r="A71" s="51" t="s">
        <v>520</v>
      </c>
      <c r="B71" s="51" t="s">
        <v>521</v>
      </c>
      <c r="C71" s="52" t="s">
        <v>522</v>
      </c>
      <c r="D71" s="53" t="s">
        <v>523</v>
      </c>
      <c r="E71" s="52" t="s">
        <v>524</v>
      </c>
      <c r="F71" s="53" t="s">
        <v>525</v>
      </c>
      <c r="G71" s="52" t="s">
        <v>522</v>
      </c>
      <c r="H71" s="51" t="s">
        <v>526</v>
      </c>
    </row>
    <row r="72" spans="1:8" x14ac:dyDescent="0.3">
      <c r="A72" s="51" t="s">
        <v>527</v>
      </c>
      <c r="B72" s="51" t="s">
        <v>528</v>
      </c>
      <c r="C72" s="52" t="s">
        <v>529</v>
      </c>
      <c r="D72" s="53" t="s">
        <v>166</v>
      </c>
      <c r="E72" s="52" t="s">
        <v>167</v>
      </c>
      <c r="F72" s="53" t="s">
        <v>530</v>
      </c>
      <c r="G72" s="52" t="s">
        <v>529</v>
      </c>
      <c r="H72" s="51" t="s">
        <v>531</v>
      </c>
    </row>
    <row r="73" spans="1:8" x14ac:dyDescent="0.3">
      <c r="A73" s="51" t="s">
        <v>532</v>
      </c>
      <c r="B73" s="51" t="s">
        <v>533</v>
      </c>
      <c r="C73" s="52" t="s">
        <v>534</v>
      </c>
      <c r="D73" s="53" t="s">
        <v>321</v>
      </c>
      <c r="E73" s="52" t="s">
        <v>322</v>
      </c>
      <c r="F73" s="53" t="s">
        <v>535</v>
      </c>
      <c r="G73" s="52" t="s">
        <v>534</v>
      </c>
      <c r="H73" s="51" t="s">
        <v>536</v>
      </c>
    </row>
    <row r="74" spans="1:8" x14ac:dyDescent="0.3">
      <c r="A74" s="51" t="s">
        <v>537</v>
      </c>
      <c r="B74" s="51" t="s">
        <v>538</v>
      </c>
      <c r="C74" s="52" t="s">
        <v>539</v>
      </c>
      <c r="D74" s="53" t="s">
        <v>166</v>
      </c>
      <c r="E74" s="52" t="s">
        <v>167</v>
      </c>
      <c r="F74" s="53" t="s">
        <v>540</v>
      </c>
      <c r="G74" s="52" t="s">
        <v>539</v>
      </c>
      <c r="H74" s="51" t="s">
        <v>541</v>
      </c>
    </row>
    <row r="75" spans="1:8" x14ac:dyDescent="0.3">
      <c r="A75" s="51" t="s">
        <v>542</v>
      </c>
      <c r="B75" s="51" t="s">
        <v>543</v>
      </c>
      <c r="C75" s="52" t="s">
        <v>544</v>
      </c>
      <c r="D75" s="53" t="s">
        <v>166</v>
      </c>
      <c r="E75" s="52" t="s">
        <v>167</v>
      </c>
      <c r="F75" s="53" t="s">
        <v>545</v>
      </c>
      <c r="G75" s="52" t="s">
        <v>544</v>
      </c>
      <c r="H75" s="51" t="s">
        <v>546</v>
      </c>
    </row>
    <row r="76" spans="1:8" x14ac:dyDescent="0.3">
      <c r="A76" s="51" t="s">
        <v>547</v>
      </c>
      <c r="B76" s="51" t="s">
        <v>548</v>
      </c>
      <c r="C76" s="52" t="s">
        <v>549</v>
      </c>
      <c r="D76" s="53" t="s">
        <v>166</v>
      </c>
      <c r="E76" s="52" t="s">
        <v>167</v>
      </c>
      <c r="F76" s="53" t="s">
        <v>550</v>
      </c>
      <c r="G76" s="52" t="s">
        <v>549</v>
      </c>
      <c r="H76" s="51" t="s">
        <v>551</v>
      </c>
    </row>
    <row r="77" spans="1:8" x14ac:dyDescent="0.3">
      <c r="A77" s="51" t="s">
        <v>552</v>
      </c>
      <c r="B77" s="51" t="s">
        <v>553</v>
      </c>
      <c r="C77" s="52" t="s">
        <v>554</v>
      </c>
      <c r="D77" s="53" t="s">
        <v>166</v>
      </c>
      <c r="E77" s="52" t="s">
        <v>167</v>
      </c>
      <c r="F77" s="53" t="s">
        <v>555</v>
      </c>
      <c r="G77" s="52" t="s">
        <v>554</v>
      </c>
      <c r="H77" s="51" t="s">
        <v>556</v>
      </c>
    </row>
    <row r="78" spans="1:8" x14ac:dyDescent="0.3">
      <c r="A78" s="51" t="s">
        <v>557</v>
      </c>
      <c r="B78" s="51" t="s">
        <v>558</v>
      </c>
      <c r="C78" s="52" t="s">
        <v>559</v>
      </c>
      <c r="D78" s="53" t="s">
        <v>220</v>
      </c>
      <c r="E78" s="52" t="s">
        <v>221</v>
      </c>
      <c r="F78" s="53" t="s">
        <v>560</v>
      </c>
      <c r="G78" s="52" t="s">
        <v>559</v>
      </c>
      <c r="H78" s="51" t="s">
        <v>561</v>
      </c>
    </row>
    <row r="79" spans="1:8" x14ac:dyDescent="0.3">
      <c r="A79" s="51" t="s">
        <v>562</v>
      </c>
      <c r="B79" s="51" t="s">
        <v>563</v>
      </c>
      <c r="C79" s="52" t="s">
        <v>564</v>
      </c>
      <c r="D79" s="53" t="s">
        <v>166</v>
      </c>
      <c r="E79" s="52" t="s">
        <v>167</v>
      </c>
      <c r="F79" s="53" t="s">
        <v>565</v>
      </c>
      <c r="G79" s="52" t="s">
        <v>564</v>
      </c>
      <c r="H79" s="51" t="s">
        <v>566</v>
      </c>
    </row>
    <row r="80" spans="1:8" x14ac:dyDescent="0.3">
      <c r="A80" s="51" t="s">
        <v>567</v>
      </c>
      <c r="B80" s="51" t="s">
        <v>568</v>
      </c>
      <c r="C80" s="52" t="s">
        <v>569</v>
      </c>
      <c r="D80" s="53" t="s">
        <v>166</v>
      </c>
      <c r="E80" s="52" t="s">
        <v>167</v>
      </c>
      <c r="F80" s="53" t="s">
        <v>570</v>
      </c>
      <c r="G80" s="52" t="s">
        <v>569</v>
      </c>
      <c r="H80" s="51" t="s">
        <v>571</v>
      </c>
    </row>
    <row r="81" spans="1:8" x14ac:dyDescent="0.3">
      <c r="A81" s="51" t="s">
        <v>572</v>
      </c>
      <c r="B81" s="51" t="s">
        <v>573</v>
      </c>
      <c r="C81" s="52" t="s">
        <v>574</v>
      </c>
      <c r="D81" s="53" t="s">
        <v>166</v>
      </c>
      <c r="E81" s="52" t="s">
        <v>167</v>
      </c>
      <c r="F81" s="53" t="s">
        <v>575</v>
      </c>
      <c r="G81" s="52" t="s">
        <v>574</v>
      </c>
      <c r="H81" s="51" t="s">
        <v>576</v>
      </c>
    </row>
    <row r="82" spans="1:8" x14ac:dyDescent="0.3">
      <c r="A82" s="51" t="s">
        <v>577</v>
      </c>
      <c r="B82" s="51" t="s">
        <v>578</v>
      </c>
      <c r="C82" s="52" t="s">
        <v>579</v>
      </c>
      <c r="D82" s="53" t="s">
        <v>220</v>
      </c>
      <c r="E82" s="52" t="s">
        <v>221</v>
      </c>
      <c r="F82" s="53" t="s">
        <v>580</v>
      </c>
      <c r="G82" s="52" t="s">
        <v>579</v>
      </c>
      <c r="H82" s="51" t="s">
        <v>581</v>
      </c>
    </row>
    <row r="83" spans="1:8" x14ac:dyDescent="0.3">
      <c r="A83" s="51" t="s">
        <v>582</v>
      </c>
      <c r="B83" s="51" t="s">
        <v>583</v>
      </c>
      <c r="C83" s="52" t="s">
        <v>584</v>
      </c>
      <c r="D83" s="53" t="s">
        <v>166</v>
      </c>
      <c r="E83" s="52" t="s">
        <v>167</v>
      </c>
      <c r="F83" s="53" t="s">
        <v>585</v>
      </c>
      <c r="G83" s="52" t="s">
        <v>584</v>
      </c>
      <c r="H83" s="51" t="s">
        <v>586</v>
      </c>
    </row>
    <row r="84" spans="1:8" x14ac:dyDescent="0.3">
      <c r="A84" s="51" t="s">
        <v>587</v>
      </c>
      <c r="B84" s="51" t="s">
        <v>588</v>
      </c>
      <c r="C84" s="52" t="s">
        <v>589</v>
      </c>
      <c r="D84" s="53" t="s">
        <v>309</v>
      </c>
      <c r="E84" s="52" t="s">
        <v>310</v>
      </c>
      <c r="F84" s="53" t="s">
        <v>590</v>
      </c>
      <c r="G84" s="52" t="s">
        <v>589</v>
      </c>
      <c r="H84" s="51" t="s">
        <v>591</v>
      </c>
    </row>
    <row r="85" spans="1:8" x14ac:dyDescent="0.3">
      <c r="A85" s="51" t="s">
        <v>592</v>
      </c>
      <c r="B85" s="51" t="s">
        <v>593</v>
      </c>
      <c r="C85" s="52" t="s">
        <v>594</v>
      </c>
      <c r="D85" s="53" t="s">
        <v>166</v>
      </c>
      <c r="E85" s="52" t="s">
        <v>167</v>
      </c>
      <c r="F85" s="53" t="s">
        <v>595</v>
      </c>
      <c r="G85" s="52" t="s">
        <v>594</v>
      </c>
      <c r="H85" s="51" t="s">
        <v>596</v>
      </c>
    </row>
    <row r="86" spans="1:8" x14ac:dyDescent="0.3">
      <c r="A86" s="51" t="s">
        <v>597</v>
      </c>
      <c r="B86" s="51" t="s">
        <v>598</v>
      </c>
      <c r="C86" s="52" t="s">
        <v>599</v>
      </c>
      <c r="D86" s="53" t="s">
        <v>166</v>
      </c>
      <c r="E86" s="52" t="s">
        <v>167</v>
      </c>
      <c r="F86" s="53" t="s">
        <v>600</v>
      </c>
      <c r="G86" s="52" t="s">
        <v>599</v>
      </c>
      <c r="H86" s="51" t="s">
        <v>601</v>
      </c>
    </row>
    <row r="87" spans="1:8" x14ac:dyDescent="0.3">
      <c r="A87" s="51" t="s">
        <v>602</v>
      </c>
      <c r="B87" s="51" t="s">
        <v>603</v>
      </c>
      <c r="C87" s="52" t="s">
        <v>604</v>
      </c>
      <c r="D87" s="53" t="s">
        <v>242</v>
      </c>
      <c r="E87" s="52" t="s">
        <v>243</v>
      </c>
      <c r="F87" s="53" t="s">
        <v>605</v>
      </c>
      <c r="G87" s="52" t="s">
        <v>604</v>
      </c>
      <c r="H87" s="51" t="s">
        <v>606</v>
      </c>
    </row>
    <row r="88" spans="1:8" x14ac:dyDescent="0.3">
      <c r="A88" s="51" t="s">
        <v>607</v>
      </c>
      <c r="B88" s="51" t="s">
        <v>608</v>
      </c>
      <c r="C88" s="52" t="s">
        <v>609</v>
      </c>
      <c r="D88" s="53" t="s">
        <v>321</v>
      </c>
      <c r="E88" s="52" t="s">
        <v>322</v>
      </c>
      <c r="F88" s="53" t="s">
        <v>610</v>
      </c>
      <c r="G88" s="52" t="s">
        <v>609</v>
      </c>
      <c r="H88" s="51" t="s">
        <v>611</v>
      </c>
    </row>
    <row r="89" spans="1:8" x14ac:dyDescent="0.3">
      <c r="A89" s="51" t="s">
        <v>612</v>
      </c>
      <c r="B89" s="51" t="s">
        <v>613</v>
      </c>
      <c r="C89" s="52" t="s">
        <v>614</v>
      </c>
      <c r="D89" s="53" t="s">
        <v>213</v>
      </c>
      <c r="E89" s="52" t="s">
        <v>214</v>
      </c>
      <c r="F89" s="53" t="s">
        <v>615</v>
      </c>
      <c r="G89" s="52" t="s">
        <v>614</v>
      </c>
      <c r="H89" s="51" t="s">
        <v>616</v>
      </c>
    </row>
    <row r="90" spans="1:8" x14ac:dyDescent="0.3">
      <c r="A90" s="51" t="s">
        <v>617</v>
      </c>
      <c r="B90" s="51" t="s">
        <v>618</v>
      </c>
      <c r="C90" s="52" t="s">
        <v>619</v>
      </c>
      <c r="D90" s="53" t="s">
        <v>321</v>
      </c>
      <c r="E90" s="52" t="s">
        <v>322</v>
      </c>
      <c r="F90" s="53" t="s">
        <v>620</v>
      </c>
      <c r="G90" s="52" t="s">
        <v>619</v>
      </c>
      <c r="H90" s="51" t="s">
        <v>621</v>
      </c>
    </row>
    <row r="91" spans="1:8" x14ac:dyDescent="0.3">
      <c r="A91" s="51" t="s">
        <v>622</v>
      </c>
      <c r="B91" s="51" t="s">
        <v>623</v>
      </c>
      <c r="C91" s="52" t="s">
        <v>624</v>
      </c>
      <c r="D91" s="53" t="s">
        <v>166</v>
      </c>
      <c r="E91" s="52" t="s">
        <v>167</v>
      </c>
      <c r="F91" s="53" t="s">
        <v>625</v>
      </c>
      <c r="G91" s="52" t="s">
        <v>624</v>
      </c>
      <c r="H91" s="51" t="s">
        <v>626</v>
      </c>
    </row>
    <row r="92" spans="1:8" x14ac:dyDescent="0.3">
      <c r="A92" s="51" t="s">
        <v>627</v>
      </c>
      <c r="B92" s="51" t="s">
        <v>628</v>
      </c>
      <c r="C92" s="52" t="s">
        <v>629</v>
      </c>
      <c r="D92" s="53" t="s">
        <v>166</v>
      </c>
      <c r="E92" s="52" t="s">
        <v>167</v>
      </c>
      <c r="F92" s="53" t="s">
        <v>630</v>
      </c>
      <c r="G92" s="52" t="s">
        <v>629</v>
      </c>
      <c r="H92" s="51" t="s">
        <v>631</v>
      </c>
    </row>
    <row r="93" spans="1:8" x14ac:dyDescent="0.3">
      <c r="A93" s="51" t="s">
        <v>632</v>
      </c>
      <c r="B93" s="51" t="s">
        <v>633</v>
      </c>
      <c r="C93" s="52" t="s">
        <v>634</v>
      </c>
      <c r="D93" s="53" t="s">
        <v>220</v>
      </c>
      <c r="E93" s="52" t="s">
        <v>221</v>
      </c>
      <c r="F93" s="53" t="s">
        <v>635</v>
      </c>
      <c r="G93" s="52" t="s">
        <v>634</v>
      </c>
      <c r="H93" s="51" t="s">
        <v>636</v>
      </c>
    </row>
    <row r="94" spans="1:8" x14ac:dyDescent="0.3">
      <c r="A94" s="51" t="s">
        <v>637</v>
      </c>
      <c r="B94" s="51" t="s">
        <v>638</v>
      </c>
      <c r="C94" s="52" t="s">
        <v>639</v>
      </c>
      <c r="D94" s="53" t="s">
        <v>220</v>
      </c>
      <c r="E94" s="52" t="s">
        <v>221</v>
      </c>
      <c r="F94" s="53" t="s">
        <v>640</v>
      </c>
      <c r="G94" s="52" t="s">
        <v>639</v>
      </c>
      <c r="H94" s="51" t="s">
        <v>641</v>
      </c>
    </row>
    <row r="95" spans="1:8" x14ac:dyDescent="0.3">
      <c r="A95" s="51" t="s">
        <v>642</v>
      </c>
      <c r="B95" s="51" t="s">
        <v>643</v>
      </c>
      <c r="C95" s="52" t="s">
        <v>644</v>
      </c>
      <c r="D95" s="53" t="s">
        <v>242</v>
      </c>
      <c r="E95" s="52" t="s">
        <v>243</v>
      </c>
      <c r="F95" s="53" t="s">
        <v>645</v>
      </c>
      <c r="G95" s="52" t="s">
        <v>644</v>
      </c>
      <c r="H95" s="51" t="s">
        <v>646</v>
      </c>
    </row>
    <row r="96" spans="1:8" x14ac:dyDescent="0.3">
      <c r="A96" s="51" t="s">
        <v>647</v>
      </c>
      <c r="B96" s="51" t="s">
        <v>648</v>
      </c>
      <c r="C96" s="52" t="s">
        <v>649</v>
      </c>
      <c r="D96" s="53" t="s">
        <v>166</v>
      </c>
      <c r="E96" s="52" t="s">
        <v>167</v>
      </c>
      <c r="F96" s="53" t="s">
        <v>650</v>
      </c>
      <c r="G96" s="52" t="s">
        <v>649</v>
      </c>
      <c r="H96" s="51" t="s">
        <v>651</v>
      </c>
    </row>
    <row r="97" spans="1:8" x14ac:dyDescent="0.3">
      <c r="A97" s="51" t="s">
        <v>652</v>
      </c>
      <c r="B97" s="51" t="s">
        <v>653</v>
      </c>
      <c r="C97" s="52" t="s">
        <v>654</v>
      </c>
      <c r="D97" s="53" t="s">
        <v>166</v>
      </c>
      <c r="E97" s="52" t="s">
        <v>167</v>
      </c>
      <c r="F97" s="53" t="s">
        <v>655</v>
      </c>
      <c r="G97" s="52" t="s">
        <v>654</v>
      </c>
      <c r="H97" s="51" t="s">
        <v>656</v>
      </c>
    </row>
    <row r="98" spans="1:8" x14ac:dyDescent="0.3">
      <c r="A98" s="51" t="s">
        <v>657</v>
      </c>
      <c r="B98" s="51" t="s">
        <v>658</v>
      </c>
      <c r="C98" s="52" t="s">
        <v>659</v>
      </c>
      <c r="D98" s="53" t="s">
        <v>166</v>
      </c>
      <c r="E98" s="52" t="s">
        <v>167</v>
      </c>
      <c r="F98" s="53" t="s">
        <v>660</v>
      </c>
      <c r="G98" s="52" t="s">
        <v>659</v>
      </c>
      <c r="H98" s="51" t="s">
        <v>661</v>
      </c>
    </row>
    <row r="99" spans="1:8" x14ac:dyDescent="0.3">
      <c r="A99" s="51" t="s">
        <v>662</v>
      </c>
      <c r="B99" s="51" t="s">
        <v>663</v>
      </c>
      <c r="C99" s="52" t="s">
        <v>664</v>
      </c>
      <c r="D99" s="53" t="s">
        <v>166</v>
      </c>
      <c r="E99" s="52" t="s">
        <v>167</v>
      </c>
      <c r="F99" s="53" t="s">
        <v>665</v>
      </c>
      <c r="G99" s="52" t="s">
        <v>664</v>
      </c>
      <c r="H99" s="51" t="s">
        <v>666</v>
      </c>
    </row>
    <row r="100" spans="1:8" x14ac:dyDescent="0.3">
      <c r="A100" s="51" t="s">
        <v>667</v>
      </c>
      <c r="B100" s="51" t="s">
        <v>668</v>
      </c>
      <c r="C100" s="52" t="s">
        <v>669</v>
      </c>
      <c r="D100" s="53" t="s">
        <v>321</v>
      </c>
      <c r="E100" s="52" t="s">
        <v>322</v>
      </c>
      <c r="F100" s="53" t="s">
        <v>670</v>
      </c>
      <c r="G100" s="52" t="s">
        <v>669</v>
      </c>
      <c r="H100" s="51" t="s">
        <v>671</v>
      </c>
    </row>
    <row r="101" spans="1:8" x14ac:dyDescent="0.3">
      <c r="A101" s="51" t="s">
        <v>672</v>
      </c>
      <c r="B101" s="51" t="s">
        <v>673</v>
      </c>
      <c r="C101" s="52" t="s">
        <v>674</v>
      </c>
      <c r="D101" s="53" t="s">
        <v>213</v>
      </c>
      <c r="E101" s="52" t="s">
        <v>214</v>
      </c>
      <c r="F101" s="53" t="s">
        <v>675</v>
      </c>
      <c r="G101" s="52" t="s">
        <v>674</v>
      </c>
      <c r="H101" s="51" t="s">
        <v>676</v>
      </c>
    </row>
    <row r="102" spans="1:8" x14ac:dyDescent="0.3">
      <c r="A102" s="51" t="s">
        <v>677</v>
      </c>
      <c r="B102" s="51" t="s">
        <v>678</v>
      </c>
      <c r="C102" s="52" t="s">
        <v>679</v>
      </c>
      <c r="D102" s="53" t="s">
        <v>220</v>
      </c>
      <c r="E102" s="52" t="s">
        <v>221</v>
      </c>
      <c r="F102" s="53" t="s">
        <v>680</v>
      </c>
      <c r="G102" s="52" t="s">
        <v>679</v>
      </c>
      <c r="H102" s="51" t="s">
        <v>681</v>
      </c>
    </row>
    <row r="103" spans="1:8" x14ac:dyDescent="0.3">
      <c r="A103" s="51" t="s">
        <v>682</v>
      </c>
      <c r="B103" s="51" t="s">
        <v>683</v>
      </c>
      <c r="C103" s="52" t="s">
        <v>315</v>
      </c>
      <c r="D103" s="53" t="s">
        <v>321</v>
      </c>
      <c r="E103" s="52" t="s">
        <v>322</v>
      </c>
      <c r="F103" s="53" t="s">
        <v>684</v>
      </c>
      <c r="G103" s="52" t="s">
        <v>315</v>
      </c>
      <c r="H103" s="51" t="s">
        <v>685</v>
      </c>
    </row>
    <row r="104" spans="1:8" x14ac:dyDescent="0.3">
      <c r="A104" s="51" t="s">
        <v>686</v>
      </c>
      <c r="B104" s="51" t="s">
        <v>687</v>
      </c>
      <c r="C104" s="52" t="s">
        <v>688</v>
      </c>
      <c r="D104" s="53" t="s">
        <v>309</v>
      </c>
      <c r="E104" s="52" t="s">
        <v>310</v>
      </c>
      <c r="F104" s="53" t="s">
        <v>689</v>
      </c>
      <c r="G104" s="52" t="s">
        <v>688</v>
      </c>
      <c r="H104" s="51" t="s">
        <v>690</v>
      </c>
    </row>
    <row r="105" spans="1:8" x14ac:dyDescent="0.3">
      <c r="A105" s="51" t="s">
        <v>691</v>
      </c>
      <c r="B105" s="51" t="s">
        <v>692</v>
      </c>
      <c r="C105" s="52" t="s">
        <v>693</v>
      </c>
      <c r="D105" s="53" t="s">
        <v>166</v>
      </c>
      <c r="E105" s="52" t="s">
        <v>167</v>
      </c>
      <c r="F105" s="53" t="s">
        <v>694</v>
      </c>
      <c r="G105" s="52" t="s">
        <v>693</v>
      </c>
      <c r="H105" s="51" t="s">
        <v>695</v>
      </c>
    </row>
    <row r="106" spans="1:8" x14ac:dyDescent="0.3">
      <c r="A106" s="51" t="s">
        <v>696</v>
      </c>
      <c r="B106" s="51" t="s">
        <v>697</v>
      </c>
      <c r="C106" s="52" t="s">
        <v>698</v>
      </c>
      <c r="D106" s="53" t="s">
        <v>242</v>
      </c>
      <c r="E106" s="52" t="s">
        <v>243</v>
      </c>
      <c r="F106" s="53" t="s">
        <v>699</v>
      </c>
      <c r="G106" s="52" t="s">
        <v>698</v>
      </c>
      <c r="H106" s="51" t="s">
        <v>700</v>
      </c>
    </row>
    <row r="107" spans="1:8" x14ac:dyDescent="0.3">
      <c r="A107" s="51" t="s">
        <v>701</v>
      </c>
      <c r="B107" s="51" t="s">
        <v>702</v>
      </c>
      <c r="C107" s="52" t="s">
        <v>703</v>
      </c>
      <c r="D107" s="53" t="s">
        <v>523</v>
      </c>
      <c r="E107" s="52" t="s">
        <v>524</v>
      </c>
      <c r="F107" s="53" t="s">
        <v>704</v>
      </c>
      <c r="G107" s="52" t="s">
        <v>703</v>
      </c>
      <c r="H107" s="51" t="s">
        <v>705</v>
      </c>
    </row>
    <row r="108" spans="1:8" x14ac:dyDescent="0.3">
      <c r="A108" s="51" t="s">
        <v>706</v>
      </c>
      <c r="B108" s="51" t="s">
        <v>707</v>
      </c>
      <c r="C108" s="52" t="s">
        <v>708</v>
      </c>
      <c r="D108" s="53" t="s">
        <v>166</v>
      </c>
      <c r="E108" s="52" t="s">
        <v>167</v>
      </c>
      <c r="F108" s="53" t="s">
        <v>709</v>
      </c>
      <c r="G108" s="52" t="s">
        <v>708</v>
      </c>
      <c r="H108" s="51" t="s">
        <v>710</v>
      </c>
    </row>
    <row r="109" spans="1:8" x14ac:dyDescent="0.3">
      <c r="A109" s="51" t="s">
        <v>711</v>
      </c>
      <c r="B109" s="51" t="s">
        <v>712</v>
      </c>
      <c r="C109" s="52" t="s">
        <v>713</v>
      </c>
      <c r="D109" s="53" t="s">
        <v>166</v>
      </c>
      <c r="E109" s="52" t="s">
        <v>167</v>
      </c>
      <c r="F109" s="53" t="s">
        <v>714</v>
      </c>
      <c r="G109" s="52" t="s">
        <v>713</v>
      </c>
      <c r="H109" s="51" t="s">
        <v>715</v>
      </c>
    </row>
    <row r="110" spans="1:8" x14ac:dyDescent="0.3">
      <c r="A110" s="51" t="s">
        <v>716</v>
      </c>
      <c r="B110" s="51" t="s">
        <v>717</v>
      </c>
      <c r="C110" s="52" t="s">
        <v>718</v>
      </c>
      <c r="D110" s="53" t="s">
        <v>166</v>
      </c>
      <c r="E110" s="52" t="s">
        <v>167</v>
      </c>
      <c r="F110" s="53" t="s">
        <v>719</v>
      </c>
      <c r="G110" s="52" t="s">
        <v>718</v>
      </c>
      <c r="H110" s="51" t="s">
        <v>720</v>
      </c>
    </row>
    <row r="111" spans="1:8" x14ac:dyDescent="0.3">
      <c r="A111" s="51" t="s">
        <v>721</v>
      </c>
      <c r="B111" s="51" t="s">
        <v>722</v>
      </c>
      <c r="C111" s="52" t="s">
        <v>723</v>
      </c>
      <c r="D111" s="53" t="s">
        <v>166</v>
      </c>
      <c r="E111" s="52" t="s">
        <v>167</v>
      </c>
      <c r="F111" s="53" t="s">
        <v>724</v>
      </c>
      <c r="G111" s="52" t="s">
        <v>723</v>
      </c>
      <c r="H111" s="51" t="s">
        <v>725</v>
      </c>
    </row>
    <row r="112" spans="1:8" x14ac:dyDescent="0.3">
      <c r="A112" s="51" t="s">
        <v>726</v>
      </c>
      <c r="B112" s="51" t="s">
        <v>727</v>
      </c>
      <c r="C112" s="52" t="s">
        <v>728</v>
      </c>
      <c r="D112" s="53" t="s">
        <v>166</v>
      </c>
      <c r="E112" s="52" t="s">
        <v>167</v>
      </c>
      <c r="F112" s="53" t="s">
        <v>729</v>
      </c>
      <c r="G112" s="52" t="s">
        <v>728</v>
      </c>
      <c r="H112" s="51" t="s">
        <v>730</v>
      </c>
    </row>
    <row r="113" spans="1:8" x14ac:dyDescent="0.3">
      <c r="A113" s="51" t="s">
        <v>731</v>
      </c>
      <c r="B113" s="51" t="s">
        <v>732</v>
      </c>
      <c r="C113" s="52" t="s">
        <v>733</v>
      </c>
      <c r="D113" s="53" t="s">
        <v>166</v>
      </c>
      <c r="E113" s="52" t="s">
        <v>167</v>
      </c>
      <c r="F113" s="53" t="s">
        <v>734</v>
      </c>
      <c r="G113" s="52" t="s">
        <v>733</v>
      </c>
      <c r="H113" s="51" t="s">
        <v>735</v>
      </c>
    </row>
    <row r="114" spans="1:8" x14ac:dyDescent="0.3">
      <c r="A114" s="51" t="s">
        <v>736</v>
      </c>
      <c r="B114" s="51" t="s">
        <v>737</v>
      </c>
      <c r="C114" s="52" t="s">
        <v>738</v>
      </c>
      <c r="D114" s="53" t="s">
        <v>166</v>
      </c>
      <c r="E114" s="52" t="s">
        <v>167</v>
      </c>
      <c r="F114" s="53" t="s">
        <v>739</v>
      </c>
      <c r="G114" s="52" t="s">
        <v>738</v>
      </c>
      <c r="H114" s="51" t="s">
        <v>740</v>
      </c>
    </row>
    <row r="115" spans="1:8" x14ac:dyDescent="0.3">
      <c r="A115" s="51" t="s">
        <v>741</v>
      </c>
      <c r="B115" s="51" t="s">
        <v>742</v>
      </c>
      <c r="C115" s="52" t="s">
        <v>743</v>
      </c>
      <c r="D115" s="53" t="s">
        <v>166</v>
      </c>
      <c r="E115" s="52" t="s">
        <v>167</v>
      </c>
      <c r="F115" s="53" t="s">
        <v>744</v>
      </c>
      <c r="G115" s="52" t="s">
        <v>743</v>
      </c>
      <c r="H115" s="51" t="s">
        <v>745</v>
      </c>
    </row>
    <row r="116" spans="1:8" x14ac:dyDescent="0.3">
      <c r="A116" s="51" t="s">
        <v>746</v>
      </c>
      <c r="B116" s="51" t="s">
        <v>747</v>
      </c>
      <c r="C116" s="52" t="s">
        <v>748</v>
      </c>
      <c r="D116" s="53" t="s">
        <v>166</v>
      </c>
      <c r="E116" s="52" t="s">
        <v>167</v>
      </c>
      <c r="F116" s="53" t="s">
        <v>749</v>
      </c>
      <c r="G116" s="52" t="s">
        <v>748</v>
      </c>
      <c r="H116" s="51" t="s">
        <v>750</v>
      </c>
    </row>
    <row r="117" spans="1:8" x14ac:dyDescent="0.3">
      <c r="A117" s="51" t="s">
        <v>751</v>
      </c>
      <c r="B117" s="51" t="s">
        <v>752</v>
      </c>
      <c r="C117" s="52" t="s">
        <v>753</v>
      </c>
      <c r="D117" s="53" t="s">
        <v>166</v>
      </c>
      <c r="E117" s="52" t="s">
        <v>167</v>
      </c>
      <c r="F117" s="53" t="s">
        <v>754</v>
      </c>
      <c r="G117" s="52" t="s">
        <v>753</v>
      </c>
      <c r="H117" s="51" t="s">
        <v>755</v>
      </c>
    </row>
    <row r="118" spans="1:8" x14ac:dyDescent="0.3">
      <c r="A118" s="51" t="s">
        <v>756</v>
      </c>
      <c r="B118" s="51" t="s">
        <v>757</v>
      </c>
      <c r="C118" s="52" t="s">
        <v>758</v>
      </c>
      <c r="D118" s="53" t="s">
        <v>523</v>
      </c>
      <c r="E118" s="52" t="s">
        <v>524</v>
      </c>
      <c r="F118" s="53" t="s">
        <v>759</v>
      </c>
      <c r="G118" s="52" t="s">
        <v>758</v>
      </c>
      <c r="H118" s="51" t="s">
        <v>760</v>
      </c>
    </row>
    <row r="119" spans="1:8" x14ac:dyDescent="0.3">
      <c r="A119" s="51" t="s">
        <v>761</v>
      </c>
      <c r="B119" s="51" t="s">
        <v>762</v>
      </c>
      <c r="C119" s="52" t="s">
        <v>763</v>
      </c>
      <c r="D119" s="53" t="s">
        <v>242</v>
      </c>
      <c r="E119" s="52" t="s">
        <v>243</v>
      </c>
      <c r="F119" s="53" t="s">
        <v>764</v>
      </c>
      <c r="G119" s="52" t="s">
        <v>763</v>
      </c>
      <c r="H119" s="51" t="s">
        <v>765</v>
      </c>
    </row>
    <row r="120" spans="1:8" x14ac:dyDescent="0.3">
      <c r="A120" s="51" t="s">
        <v>766</v>
      </c>
      <c r="B120" s="51" t="s">
        <v>767</v>
      </c>
      <c r="C120" s="52" t="s">
        <v>768</v>
      </c>
      <c r="D120" s="53" t="s">
        <v>166</v>
      </c>
      <c r="E120" s="52" t="s">
        <v>167</v>
      </c>
      <c r="F120" s="53" t="s">
        <v>769</v>
      </c>
      <c r="G120" s="52" t="s">
        <v>768</v>
      </c>
      <c r="H120" s="51" t="s">
        <v>770</v>
      </c>
    </row>
    <row r="121" spans="1:8" x14ac:dyDescent="0.3">
      <c r="A121" s="51" t="s">
        <v>771</v>
      </c>
      <c r="B121" s="51" t="s">
        <v>772</v>
      </c>
      <c r="C121" s="52" t="s">
        <v>773</v>
      </c>
      <c r="D121" s="53" t="s">
        <v>523</v>
      </c>
      <c r="E121" s="52" t="s">
        <v>524</v>
      </c>
      <c r="F121" s="53" t="s">
        <v>774</v>
      </c>
      <c r="G121" s="52" t="s">
        <v>773</v>
      </c>
      <c r="H121" s="51" t="s">
        <v>775</v>
      </c>
    </row>
    <row r="122" spans="1:8" x14ac:dyDescent="0.3">
      <c r="A122" s="51" t="s">
        <v>776</v>
      </c>
      <c r="B122" s="51" t="s">
        <v>777</v>
      </c>
      <c r="C122" s="52" t="s">
        <v>778</v>
      </c>
      <c r="D122" s="53" t="s">
        <v>166</v>
      </c>
      <c r="E122" s="52" t="s">
        <v>167</v>
      </c>
      <c r="F122" s="53" t="s">
        <v>779</v>
      </c>
      <c r="G122" s="52" t="s">
        <v>778</v>
      </c>
      <c r="H122" s="51" t="s">
        <v>780</v>
      </c>
    </row>
    <row r="123" spans="1:8" x14ac:dyDescent="0.3">
      <c r="A123" s="51" t="s">
        <v>781</v>
      </c>
      <c r="B123" s="51" t="s">
        <v>782</v>
      </c>
      <c r="C123" s="52" t="s">
        <v>783</v>
      </c>
      <c r="D123" s="53" t="s">
        <v>220</v>
      </c>
      <c r="E123" s="52" t="s">
        <v>221</v>
      </c>
      <c r="F123" s="53" t="s">
        <v>784</v>
      </c>
      <c r="G123" s="52" t="s">
        <v>783</v>
      </c>
      <c r="H123" s="51" t="s">
        <v>785</v>
      </c>
    </row>
    <row r="124" spans="1:8" x14ac:dyDescent="0.3">
      <c r="A124" s="51" t="s">
        <v>786</v>
      </c>
      <c r="B124" s="51" t="s">
        <v>787</v>
      </c>
      <c r="C124" s="52" t="s">
        <v>788</v>
      </c>
      <c r="D124" s="53" t="s">
        <v>166</v>
      </c>
      <c r="E124" s="52" t="s">
        <v>167</v>
      </c>
      <c r="F124" s="53" t="s">
        <v>789</v>
      </c>
      <c r="G124" s="52" t="s">
        <v>788</v>
      </c>
      <c r="H124" s="51" t="s">
        <v>790</v>
      </c>
    </row>
    <row r="125" spans="1:8" x14ac:dyDescent="0.3">
      <c r="A125" s="51" t="s">
        <v>791</v>
      </c>
      <c r="B125" s="51" t="s">
        <v>792</v>
      </c>
      <c r="C125" s="52" t="s">
        <v>793</v>
      </c>
      <c r="D125" s="53" t="s">
        <v>523</v>
      </c>
      <c r="E125" s="52" t="s">
        <v>524</v>
      </c>
      <c r="F125" s="53" t="s">
        <v>794</v>
      </c>
      <c r="G125" s="52" t="s">
        <v>793</v>
      </c>
      <c r="H125" s="51" t="s">
        <v>795</v>
      </c>
    </row>
    <row r="126" spans="1:8" x14ac:dyDescent="0.3">
      <c r="A126" s="51" t="s">
        <v>796</v>
      </c>
      <c r="B126" s="51" t="s">
        <v>797</v>
      </c>
      <c r="C126" s="52" t="s">
        <v>798</v>
      </c>
      <c r="D126" s="53" t="s">
        <v>166</v>
      </c>
      <c r="E126" s="52" t="s">
        <v>167</v>
      </c>
      <c r="F126" s="53" t="s">
        <v>799</v>
      </c>
      <c r="G126" s="52" t="s">
        <v>798</v>
      </c>
      <c r="H126" s="51" t="s">
        <v>800</v>
      </c>
    </row>
    <row r="127" spans="1:8" x14ac:dyDescent="0.3">
      <c r="A127" s="51" t="s">
        <v>801</v>
      </c>
      <c r="B127" s="51" t="s">
        <v>802</v>
      </c>
      <c r="C127" s="52" t="s">
        <v>803</v>
      </c>
      <c r="D127" s="53" t="s">
        <v>166</v>
      </c>
      <c r="E127" s="52" t="s">
        <v>167</v>
      </c>
      <c r="F127" s="53" t="s">
        <v>804</v>
      </c>
      <c r="G127" s="52" t="s">
        <v>803</v>
      </c>
      <c r="H127" s="51" t="s">
        <v>805</v>
      </c>
    </row>
    <row r="128" spans="1:8" x14ac:dyDescent="0.3">
      <c r="A128" s="51" t="s">
        <v>806</v>
      </c>
      <c r="B128" s="51" t="s">
        <v>807</v>
      </c>
      <c r="C128" s="52" t="s">
        <v>808</v>
      </c>
      <c r="D128" s="53" t="s">
        <v>166</v>
      </c>
      <c r="E128" s="52" t="s">
        <v>167</v>
      </c>
      <c r="F128" s="53" t="s">
        <v>809</v>
      </c>
      <c r="G128" s="52" t="s">
        <v>808</v>
      </c>
      <c r="H128" s="51" t="s">
        <v>810</v>
      </c>
    </row>
    <row r="129" spans="1:8" x14ac:dyDescent="0.3">
      <c r="A129" s="51" t="s">
        <v>811</v>
      </c>
      <c r="B129" s="51" t="s">
        <v>812</v>
      </c>
      <c r="C129" s="52" t="s">
        <v>813</v>
      </c>
      <c r="D129" s="53" t="s">
        <v>166</v>
      </c>
      <c r="E129" s="52" t="s">
        <v>167</v>
      </c>
      <c r="F129" s="53" t="s">
        <v>814</v>
      </c>
      <c r="G129" s="52" t="s">
        <v>813</v>
      </c>
      <c r="H129" s="51" t="s">
        <v>815</v>
      </c>
    </row>
    <row r="130" spans="1:8" x14ac:dyDescent="0.3">
      <c r="A130" s="51" t="s">
        <v>816</v>
      </c>
      <c r="B130" s="51" t="s">
        <v>817</v>
      </c>
      <c r="C130" s="52" t="s">
        <v>818</v>
      </c>
      <c r="D130" s="53" t="s">
        <v>220</v>
      </c>
      <c r="E130" s="52" t="s">
        <v>221</v>
      </c>
      <c r="F130" s="53" t="s">
        <v>819</v>
      </c>
      <c r="G130" s="52" t="s">
        <v>818</v>
      </c>
      <c r="H130" s="51" t="s">
        <v>820</v>
      </c>
    </row>
    <row r="131" spans="1:8" x14ac:dyDescent="0.3">
      <c r="A131" s="51" t="s">
        <v>821</v>
      </c>
      <c r="B131" s="51" t="s">
        <v>822</v>
      </c>
      <c r="C131" s="52" t="s">
        <v>823</v>
      </c>
      <c r="D131" s="53" t="s">
        <v>309</v>
      </c>
      <c r="E131" s="52" t="s">
        <v>310</v>
      </c>
      <c r="F131" s="53" t="s">
        <v>824</v>
      </c>
      <c r="G131" s="52" t="s">
        <v>823</v>
      </c>
      <c r="H131" s="51" t="s">
        <v>825</v>
      </c>
    </row>
    <row r="132" spans="1:8" x14ac:dyDescent="0.3">
      <c r="A132" s="51" t="s">
        <v>826</v>
      </c>
      <c r="B132" s="51" t="s">
        <v>827</v>
      </c>
      <c r="C132" s="52" t="s">
        <v>828</v>
      </c>
      <c r="D132" s="53" t="s">
        <v>166</v>
      </c>
      <c r="E132" s="52" t="s">
        <v>167</v>
      </c>
      <c r="F132" s="53" t="s">
        <v>829</v>
      </c>
      <c r="G132" s="52" t="s">
        <v>828</v>
      </c>
      <c r="H132" s="51" t="s">
        <v>830</v>
      </c>
    </row>
    <row r="133" spans="1:8" x14ac:dyDescent="0.3">
      <c r="A133" s="51" t="s">
        <v>831</v>
      </c>
      <c r="B133" s="51" t="s">
        <v>832</v>
      </c>
      <c r="C133" s="52" t="s">
        <v>833</v>
      </c>
      <c r="D133" s="53" t="s">
        <v>166</v>
      </c>
      <c r="E133" s="52" t="s">
        <v>167</v>
      </c>
      <c r="F133" s="53" t="s">
        <v>834</v>
      </c>
      <c r="G133" s="52" t="s">
        <v>833</v>
      </c>
      <c r="H133" s="51" t="s">
        <v>835</v>
      </c>
    </row>
    <row r="134" spans="1:8" x14ac:dyDescent="0.3">
      <c r="A134" s="51" t="s">
        <v>836</v>
      </c>
      <c r="B134" s="51" t="s">
        <v>837</v>
      </c>
      <c r="C134" s="52" t="s">
        <v>838</v>
      </c>
      <c r="D134" s="53" t="s">
        <v>321</v>
      </c>
      <c r="E134" s="52" t="s">
        <v>322</v>
      </c>
      <c r="F134" s="53" t="s">
        <v>839</v>
      </c>
      <c r="G134" s="52" t="s">
        <v>838</v>
      </c>
      <c r="H134" s="51" t="s">
        <v>840</v>
      </c>
    </row>
    <row r="135" spans="1:8" x14ac:dyDescent="0.3">
      <c r="A135" s="51" t="s">
        <v>841</v>
      </c>
      <c r="B135" s="51" t="s">
        <v>842</v>
      </c>
      <c r="C135" s="52" t="s">
        <v>843</v>
      </c>
      <c r="D135" s="53" t="s">
        <v>166</v>
      </c>
      <c r="E135" s="52" t="s">
        <v>167</v>
      </c>
      <c r="F135" s="53" t="s">
        <v>844</v>
      </c>
      <c r="G135" s="52" t="s">
        <v>843</v>
      </c>
      <c r="H135" s="51" t="s">
        <v>845</v>
      </c>
    </row>
    <row r="136" spans="1:8" x14ac:dyDescent="0.3">
      <c r="A136" s="51" t="s">
        <v>846</v>
      </c>
      <c r="B136" s="51" t="s">
        <v>847</v>
      </c>
      <c r="C136" s="52" t="s">
        <v>848</v>
      </c>
      <c r="D136" s="53" t="s">
        <v>166</v>
      </c>
      <c r="E136" s="52" t="s">
        <v>167</v>
      </c>
      <c r="F136" s="53" t="s">
        <v>849</v>
      </c>
      <c r="G136" s="52" t="s">
        <v>848</v>
      </c>
      <c r="H136" s="51" t="s">
        <v>850</v>
      </c>
    </row>
    <row r="137" spans="1:8" x14ac:dyDescent="0.3">
      <c r="A137" s="51" t="s">
        <v>851</v>
      </c>
      <c r="B137" s="51" t="s">
        <v>852</v>
      </c>
      <c r="C137" s="52" t="s">
        <v>853</v>
      </c>
      <c r="D137" s="53" t="s">
        <v>166</v>
      </c>
      <c r="E137" s="52" t="s">
        <v>167</v>
      </c>
      <c r="F137" s="53" t="s">
        <v>854</v>
      </c>
      <c r="G137" s="52" t="s">
        <v>853</v>
      </c>
      <c r="H137" s="51" t="s">
        <v>855</v>
      </c>
    </row>
    <row r="138" spans="1:8" x14ac:dyDescent="0.3">
      <c r="A138" s="51" t="s">
        <v>856</v>
      </c>
      <c r="B138" s="51" t="s">
        <v>857</v>
      </c>
      <c r="C138" s="52" t="s">
        <v>858</v>
      </c>
      <c r="D138" s="53" t="s">
        <v>166</v>
      </c>
      <c r="E138" s="52" t="s">
        <v>167</v>
      </c>
      <c r="F138" s="53" t="s">
        <v>859</v>
      </c>
      <c r="G138" s="52" t="s">
        <v>860</v>
      </c>
      <c r="H138" s="51" t="s">
        <v>861</v>
      </c>
    </row>
    <row r="139" spans="1:8" x14ac:dyDescent="0.3">
      <c r="A139" s="51" t="s">
        <v>862</v>
      </c>
      <c r="B139" s="51" t="s">
        <v>863</v>
      </c>
      <c r="C139" s="52" t="s">
        <v>864</v>
      </c>
      <c r="D139" s="53" t="s">
        <v>166</v>
      </c>
      <c r="E139" s="52" t="s">
        <v>167</v>
      </c>
      <c r="F139" s="53" t="s">
        <v>865</v>
      </c>
      <c r="G139" s="52" t="s">
        <v>864</v>
      </c>
      <c r="H139" s="51" t="s">
        <v>866</v>
      </c>
    </row>
    <row r="140" spans="1:8" x14ac:dyDescent="0.3">
      <c r="A140" s="51" t="s">
        <v>867</v>
      </c>
      <c r="B140" s="51" t="s">
        <v>868</v>
      </c>
      <c r="C140" s="52" t="s">
        <v>207</v>
      </c>
      <c r="D140" s="53" t="s">
        <v>166</v>
      </c>
      <c r="E140" s="52" t="s">
        <v>167</v>
      </c>
      <c r="F140" s="53" t="s">
        <v>869</v>
      </c>
      <c r="G140" s="52" t="s">
        <v>207</v>
      </c>
      <c r="H140" s="51" t="s">
        <v>870</v>
      </c>
    </row>
    <row r="141" spans="1:8" x14ac:dyDescent="0.3">
      <c r="A141" s="51" t="s">
        <v>871</v>
      </c>
      <c r="B141" s="51" t="s">
        <v>872</v>
      </c>
      <c r="C141" s="52" t="s">
        <v>873</v>
      </c>
      <c r="D141" s="53" t="s">
        <v>242</v>
      </c>
      <c r="E141" s="52" t="s">
        <v>243</v>
      </c>
      <c r="F141" s="53" t="s">
        <v>874</v>
      </c>
      <c r="G141" s="52" t="s">
        <v>873</v>
      </c>
      <c r="H141" s="51" t="s">
        <v>875</v>
      </c>
    </row>
    <row r="142" spans="1:8" x14ac:dyDescent="0.3">
      <c r="A142" s="51" t="s">
        <v>876</v>
      </c>
      <c r="B142" s="51" t="s">
        <v>877</v>
      </c>
      <c r="C142" s="52" t="s">
        <v>878</v>
      </c>
      <c r="D142" s="53" t="s">
        <v>879</v>
      </c>
      <c r="E142" s="52" t="s">
        <v>880</v>
      </c>
      <c r="F142" s="53" t="s">
        <v>881</v>
      </c>
      <c r="G142" s="52" t="s">
        <v>878</v>
      </c>
      <c r="H142" s="51" t="s">
        <v>882</v>
      </c>
    </row>
    <row r="143" spans="1:8" x14ac:dyDescent="0.3">
      <c r="A143" s="51" t="s">
        <v>883</v>
      </c>
      <c r="B143" s="51" t="s">
        <v>884</v>
      </c>
      <c r="C143" s="52" t="s">
        <v>885</v>
      </c>
      <c r="D143" s="53" t="s">
        <v>166</v>
      </c>
      <c r="E143" s="52" t="s">
        <v>167</v>
      </c>
      <c r="F143" s="53" t="s">
        <v>886</v>
      </c>
      <c r="G143" s="52" t="s">
        <v>885</v>
      </c>
      <c r="H143" s="51" t="s">
        <v>887</v>
      </c>
    </row>
    <row r="144" spans="1:8" x14ac:dyDescent="0.3">
      <c r="A144" s="51" t="s">
        <v>888</v>
      </c>
      <c r="B144" s="51" t="s">
        <v>889</v>
      </c>
      <c r="C144" s="52" t="s">
        <v>890</v>
      </c>
      <c r="D144" s="53" t="s">
        <v>166</v>
      </c>
      <c r="E144" s="52" t="s">
        <v>167</v>
      </c>
      <c r="F144" s="53" t="s">
        <v>891</v>
      </c>
      <c r="G144" s="52" t="s">
        <v>890</v>
      </c>
      <c r="H144" s="51" t="s">
        <v>892</v>
      </c>
    </row>
    <row r="145" spans="1:8" x14ac:dyDescent="0.3">
      <c r="A145" s="51" t="s">
        <v>893</v>
      </c>
      <c r="B145" s="51" t="s">
        <v>894</v>
      </c>
      <c r="C145" s="52" t="s">
        <v>895</v>
      </c>
      <c r="D145" s="53" t="s">
        <v>879</v>
      </c>
      <c r="E145" s="52" t="s">
        <v>880</v>
      </c>
      <c r="F145" s="53" t="s">
        <v>896</v>
      </c>
      <c r="G145" s="52" t="s">
        <v>895</v>
      </c>
      <c r="H145" s="51" t="s">
        <v>861</v>
      </c>
    </row>
    <row r="146" spans="1:8" x14ac:dyDescent="0.3">
      <c r="A146" s="51" t="s">
        <v>897</v>
      </c>
      <c r="B146" s="51" t="s">
        <v>898</v>
      </c>
      <c r="C146" s="52" t="s">
        <v>899</v>
      </c>
      <c r="D146" s="53" t="s">
        <v>166</v>
      </c>
      <c r="E146" s="52" t="s">
        <v>167</v>
      </c>
      <c r="F146" s="53" t="s">
        <v>900</v>
      </c>
      <c r="G146" s="52" t="s">
        <v>899</v>
      </c>
      <c r="H146" s="51" t="s">
        <v>901</v>
      </c>
    </row>
    <row r="147" spans="1:8" x14ac:dyDescent="0.3">
      <c r="A147" s="51" t="s">
        <v>902</v>
      </c>
      <c r="B147" s="51" t="s">
        <v>903</v>
      </c>
      <c r="C147" s="52" t="s">
        <v>904</v>
      </c>
      <c r="D147" s="53" t="s">
        <v>166</v>
      </c>
      <c r="E147" s="52" t="s">
        <v>167</v>
      </c>
      <c r="F147" s="53" t="s">
        <v>905</v>
      </c>
      <c r="G147" s="52" t="s">
        <v>904</v>
      </c>
      <c r="H147" s="51" t="s">
        <v>906</v>
      </c>
    </row>
    <row r="148" spans="1:8" x14ac:dyDescent="0.3">
      <c r="A148" s="51" t="s">
        <v>907</v>
      </c>
      <c r="B148" s="51" t="s">
        <v>908</v>
      </c>
      <c r="C148" s="52" t="s">
        <v>909</v>
      </c>
      <c r="D148" s="53" t="s">
        <v>166</v>
      </c>
      <c r="E148" s="52" t="s">
        <v>167</v>
      </c>
      <c r="F148" s="53" t="s">
        <v>910</v>
      </c>
      <c r="G148" s="52" t="s">
        <v>909</v>
      </c>
      <c r="H148" s="51" t="s">
        <v>911</v>
      </c>
    </row>
    <row r="149" spans="1:8" x14ac:dyDescent="0.3">
      <c r="A149" s="51" t="s">
        <v>912</v>
      </c>
      <c r="B149" s="51" t="s">
        <v>913</v>
      </c>
      <c r="C149" s="52" t="s">
        <v>914</v>
      </c>
      <c r="D149" s="53" t="s">
        <v>166</v>
      </c>
      <c r="E149" s="52" t="s">
        <v>167</v>
      </c>
      <c r="F149" s="53" t="s">
        <v>915</v>
      </c>
      <c r="G149" s="52" t="s">
        <v>914</v>
      </c>
      <c r="H149" s="51" t="s">
        <v>916</v>
      </c>
    </row>
    <row r="150" spans="1:8" x14ac:dyDescent="0.3">
      <c r="A150" s="51" t="s">
        <v>917</v>
      </c>
      <c r="B150" s="51" t="s">
        <v>918</v>
      </c>
      <c r="C150" s="52" t="s">
        <v>919</v>
      </c>
      <c r="D150" s="53" t="s">
        <v>242</v>
      </c>
      <c r="E150" s="52" t="s">
        <v>243</v>
      </c>
      <c r="F150" s="53" t="s">
        <v>920</v>
      </c>
      <c r="G150" s="52" t="s">
        <v>919</v>
      </c>
      <c r="H150" s="51" t="s">
        <v>921</v>
      </c>
    </row>
    <row r="151" spans="1:8" x14ac:dyDescent="0.3">
      <c r="A151" s="51" t="s">
        <v>922</v>
      </c>
      <c r="B151" s="51" t="s">
        <v>923</v>
      </c>
      <c r="C151" s="52" t="s">
        <v>924</v>
      </c>
      <c r="D151" s="53" t="s">
        <v>166</v>
      </c>
      <c r="E151" s="52" t="s">
        <v>167</v>
      </c>
      <c r="F151" s="53" t="s">
        <v>925</v>
      </c>
      <c r="G151" s="52" t="s">
        <v>924</v>
      </c>
      <c r="H151" s="51" t="s">
        <v>926</v>
      </c>
    </row>
    <row r="152" spans="1:8" x14ac:dyDescent="0.3">
      <c r="A152" s="51" t="s">
        <v>927</v>
      </c>
      <c r="B152" s="51" t="s">
        <v>928</v>
      </c>
      <c r="C152" s="52" t="s">
        <v>929</v>
      </c>
      <c r="D152" s="53" t="s">
        <v>242</v>
      </c>
      <c r="E152" s="52" t="s">
        <v>243</v>
      </c>
      <c r="F152" s="53" t="s">
        <v>930</v>
      </c>
      <c r="G152" s="52" t="s">
        <v>929</v>
      </c>
      <c r="H152" s="51" t="s">
        <v>931</v>
      </c>
    </row>
    <row r="153" spans="1:8" x14ac:dyDescent="0.3">
      <c r="A153" s="51" t="s">
        <v>932</v>
      </c>
      <c r="B153" s="51" t="s">
        <v>933</v>
      </c>
      <c r="C153" s="52" t="s">
        <v>934</v>
      </c>
      <c r="D153" s="53" t="s">
        <v>935</v>
      </c>
      <c r="E153" s="52" t="s">
        <v>936</v>
      </c>
      <c r="F153" s="53" t="s">
        <v>937</v>
      </c>
      <c r="G153" s="52" t="s">
        <v>934</v>
      </c>
      <c r="H153" s="51" t="s">
        <v>938</v>
      </c>
    </row>
    <row r="154" spans="1:8" x14ac:dyDescent="0.3">
      <c r="A154" s="51" t="s">
        <v>939</v>
      </c>
      <c r="B154" s="51" t="s">
        <v>940</v>
      </c>
      <c r="C154" s="52" t="s">
        <v>941</v>
      </c>
      <c r="D154" s="53" t="s">
        <v>166</v>
      </c>
      <c r="E154" s="52" t="s">
        <v>167</v>
      </c>
      <c r="F154" s="53" t="s">
        <v>942</v>
      </c>
      <c r="G154" s="52" t="s">
        <v>941</v>
      </c>
      <c r="H154" s="51" t="s">
        <v>943</v>
      </c>
    </row>
    <row r="155" spans="1:8" x14ac:dyDescent="0.3">
      <c r="A155" s="51" t="s">
        <v>944</v>
      </c>
      <c r="B155" s="51" t="s">
        <v>945</v>
      </c>
      <c r="C155" s="52" t="s">
        <v>946</v>
      </c>
      <c r="D155" s="53" t="s">
        <v>166</v>
      </c>
      <c r="E155" s="52" t="s">
        <v>167</v>
      </c>
      <c r="F155" s="53" t="s">
        <v>947</v>
      </c>
      <c r="G155" s="52" t="s">
        <v>946</v>
      </c>
      <c r="H155" s="51" t="s">
        <v>948</v>
      </c>
    </row>
    <row r="156" spans="1:8" x14ac:dyDescent="0.3">
      <c r="A156" s="51" t="s">
        <v>949</v>
      </c>
      <c r="B156" s="51" t="s">
        <v>950</v>
      </c>
      <c r="C156" s="52" t="s">
        <v>951</v>
      </c>
      <c r="D156" s="53" t="s">
        <v>166</v>
      </c>
      <c r="E156" s="52" t="s">
        <v>167</v>
      </c>
      <c r="F156" s="53" t="s">
        <v>952</v>
      </c>
      <c r="G156" s="52" t="s">
        <v>951</v>
      </c>
      <c r="H156" s="51" t="s">
        <v>953</v>
      </c>
    </row>
    <row r="157" spans="1:8" x14ac:dyDescent="0.3">
      <c r="A157" s="51" t="s">
        <v>954</v>
      </c>
      <c r="B157" s="51" t="s">
        <v>955</v>
      </c>
      <c r="C157" s="52" t="s">
        <v>956</v>
      </c>
      <c r="D157" s="53" t="s">
        <v>957</v>
      </c>
      <c r="F157" s="53" t="s">
        <v>957</v>
      </c>
      <c r="H157" s="51" t="s">
        <v>958</v>
      </c>
    </row>
    <row r="158" spans="1:8" x14ac:dyDescent="0.3">
      <c r="A158" s="51" t="s">
        <v>959</v>
      </c>
      <c r="B158" s="51" t="s">
        <v>960</v>
      </c>
      <c r="C158" s="52" t="s">
        <v>961</v>
      </c>
      <c r="D158" s="53" t="s">
        <v>166</v>
      </c>
      <c r="E158" s="52" t="s">
        <v>167</v>
      </c>
      <c r="F158" s="53" t="s">
        <v>962</v>
      </c>
      <c r="G158" s="52" t="s">
        <v>961</v>
      </c>
      <c r="H158" s="51" t="s">
        <v>963</v>
      </c>
    </row>
    <row r="159" spans="1:8" x14ac:dyDescent="0.3">
      <c r="A159" s="51" t="s">
        <v>964</v>
      </c>
      <c r="B159" s="51" t="s">
        <v>965</v>
      </c>
      <c r="C159" s="52" t="s">
        <v>966</v>
      </c>
      <c r="D159" s="53" t="s">
        <v>166</v>
      </c>
      <c r="E159" s="52" t="s">
        <v>167</v>
      </c>
      <c r="F159" s="53" t="s">
        <v>967</v>
      </c>
      <c r="G159" s="52" t="s">
        <v>966</v>
      </c>
      <c r="H159" s="51" t="s">
        <v>968</v>
      </c>
    </row>
    <row r="160" spans="1:8" x14ac:dyDescent="0.3">
      <c r="A160" s="51" t="s">
        <v>969</v>
      </c>
      <c r="B160" s="51" t="s">
        <v>970</v>
      </c>
      <c r="C160" s="52" t="s">
        <v>971</v>
      </c>
      <c r="D160" s="53" t="s">
        <v>166</v>
      </c>
      <c r="E160" s="52" t="s">
        <v>167</v>
      </c>
      <c r="F160" s="53" t="s">
        <v>972</v>
      </c>
      <c r="G160" s="52" t="s">
        <v>971</v>
      </c>
      <c r="H160" s="51" t="s">
        <v>973</v>
      </c>
    </row>
    <row r="161" spans="1:8" x14ac:dyDescent="0.3">
      <c r="A161" s="51" t="s">
        <v>974</v>
      </c>
      <c r="B161" s="51" t="s">
        <v>975</v>
      </c>
      <c r="C161" s="52" t="s">
        <v>976</v>
      </c>
      <c r="D161" s="53" t="s">
        <v>166</v>
      </c>
      <c r="E161" s="52" t="s">
        <v>167</v>
      </c>
      <c r="F161" s="53" t="s">
        <v>977</v>
      </c>
      <c r="G161" s="52" t="s">
        <v>976</v>
      </c>
      <c r="H161" s="51" t="s">
        <v>978</v>
      </c>
    </row>
    <row r="162" spans="1:8" x14ac:dyDescent="0.3">
      <c r="A162" s="51" t="s">
        <v>979</v>
      </c>
      <c r="B162" s="51" t="s">
        <v>980</v>
      </c>
      <c r="C162" s="52" t="s">
        <v>981</v>
      </c>
      <c r="D162" s="53" t="s">
        <v>166</v>
      </c>
      <c r="E162" s="52" t="s">
        <v>167</v>
      </c>
      <c r="F162" s="53" t="s">
        <v>982</v>
      </c>
      <c r="G162" s="52" t="s">
        <v>981</v>
      </c>
      <c r="H162" s="51" t="s">
        <v>983</v>
      </c>
    </row>
    <row r="163" spans="1:8" x14ac:dyDescent="0.3">
      <c r="A163" s="51" t="s">
        <v>984</v>
      </c>
      <c r="B163" s="51" t="s">
        <v>985</v>
      </c>
      <c r="C163" s="52" t="s">
        <v>986</v>
      </c>
      <c r="D163" s="53" t="s">
        <v>166</v>
      </c>
      <c r="E163" s="52" t="s">
        <v>167</v>
      </c>
      <c r="F163" s="53" t="s">
        <v>987</v>
      </c>
      <c r="G163" s="52" t="s">
        <v>986</v>
      </c>
      <c r="H163" s="51" t="s">
        <v>988</v>
      </c>
    </row>
    <row r="164" spans="1:8" x14ac:dyDescent="0.3">
      <c r="A164" s="51" t="s">
        <v>989</v>
      </c>
      <c r="B164" s="51" t="s">
        <v>990</v>
      </c>
      <c r="C164" s="52" t="s">
        <v>991</v>
      </c>
      <c r="D164" s="53" t="s">
        <v>935</v>
      </c>
      <c r="E164" s="52" t="s">
        <v>936</v>
      </c>
      <c r="F164" s="53" t="s">
        <v>992</v>
      </c>
      <c r="G164" s="52" t="s">
        <v>991</v>
      </c>
      <c r="H164" s="51" t="s">
        <v>993</v>
      </c>
    </row>
    <row r="165" spans="1:8" x14ac:dyDescent="0.3">
      <c r="A165" s="51" t="s">
        <v>994</v>
      </c>
      <c r="B165" s="51" t="s">
        <v>995</v>
      </c>
      <c r="C165" s="52" t="s">
        <v>996</v>
      </c>
      <c r="D165" s="53" t="s">
        <v>166</v>
      </c>
      <c r="E165" s="52" t="s">
        <v>167</v>
      </c>
      <c r="F165" s="53" t="s">
        <v>997</v>
      </c>
      <c r="G165" s="52" t="s">
        <v>996</v>
      </c>
      <c r="H165" s="51" t="s">
        <v>998</v>
      </c>
    </row>
    <row r="166" spans="1:8" x14ac:dyDescent="0.3">
      <c r="A166" s="51" t="s">
        <v>999</v>
      </c>
      <c r="B166" s="51" t="s">
        <v>1000</v>
      </c>
      <c r="C166" s="52" t="s">
        <v>1001</v>
      </c>
      <c r="D166" s="53" t="s">
        <v>166</v>
      </c>
      <c r="E166" s="52" t="s">
        <v>167</v>
      </c>
      <c r="F166" s="53" t="s">
        <v>1002</v>
      </c>
      <c r="G166" s="52" t="s">
        <v>1001</v>
      </c>
      <c r="H166" s="51" t="s">
        <v>1003</v>
      </c>
    </row>
    <row r="167" spans="1:8" x14ac:dyDescent="0.3">
      <c r="A167" s="51" t="s">
        <v>1004</v>
      </c>
      <c r="B167" s="51" t="s">
        <v>1005</v>
      </c>
      <c r="C167" s="52" t="s">
        <v>1006</v>
      </c>
      <c r="D167" s="53" t="s">
        <v>166</v>
      </c>
      <c r="E167" s="52" t="s">
        <v>167</v>
      </c>
      <c r="F167" s="53" t="s">
        <v>1007</v>
      </c>
      <c r="G167" s="52" t="s">
        <v>1006</v>
      </c>
      <c r="H167" s="51" t="s">
        <v>1008</v>
      </c>
    </row>
    <row r="168" spans="1:8" x14ac:dyDescent="0.3">
      <c r="A168" s="51" t="s">
        <v>1009</v>
      </c>
      <c r="B168" s="51" t="s">
        <v>1010</v>
      </c>
      <c r="C168" s="52" t="s">
        <v>1011</v>
      </c>
      <c r="D168" s="53" t="s">
        <v>166</v>
      </c>
      <c r="E168" s="52" t="s">
        <v>167</v>
      </c>
      <c r="F168" s="53" t="s">
        <v>1012</v>
      </c>
      <c r="G168" s="52" t="s">
        <v>1011</v>
      </c>
      <c r="H168" s="51" t="s">
        <v>1013</v>
      </c>
    </row>
    <row r="169" spans="1:8" x14ac:dyDescent="0.3">
      <c r="A169" s="51" t="s">
        <v>1014</v>
      </c>
      <c r="B169" s="51" t="s">
        <v>1015</v>
      </c>
      <c r="C169" s="52" t="s">
        <v>1016</v>
      </c>
      <c r="D169" s="53" t="s">
        <v>166</v>
      </c>
      <c r="E169" s="52" t="s">
        <v>167</v>
      </c>
      <c r="F169" s="53" t="s">
        <v>1017</v>
      </c>
      <c r="G169" s="52" t="s">
        <v>860</v>
      </c>
      <c r="H169" s="51" t="s">
        <v>1018</v>
      </c>
    </row>
    <row r="170" spans="1:8" x14ac:dyDescent="0.3">
      <c r="A170" s="51" t="s">
        <v>1019</v>
      </c>
      <c r="B170" s="51" t="s">
        <v>1020</v>
      </c>
      <c r="C170" s="52" t="s">
        <v>1021</v>
      </c>
      <c r="D170" s="53" t="s">
        <v>166</v>
      </c>
      <c r="E170" s="52" t="s">
        <v>167</v>
      </c>
      <c r="F170" s="53" t="s">
        <v>1022</v>
      </c>
      <c r="G170" s="52" t="s">
        <v>1021</v>
      </c>
      <c r="H170" s="51" t="s">
        <v>1023</v>
      </c>
    </row>
    <row r="171" spans="1:8" x14ac:dyDescent="0.3">
      <c r="A171" s="51" t="s">
        <v>1024</v>
      </c>
      <c r="B171" s="51" t="s">
        <v>1025</v>
      </c>
      <c r="C171" s="52" t="s">
        <v>1026</v>
      </c>
      <c r="D171" s="53" t="s">
        <v>166</v>
      </c>
      <c r="E171" s="52" t="s">
        <v>167</v>
      </c>
      <c r="F171" s="53" t="s">
        <v>1027</v>
      </c>
      <c r="G171" s="52" t="s">
        <v>1026</v>
      </c>
      <c r="H171" s="51" t="s">
        <v>1028</v>
      </c>
    </row>
    <row r="172" spans="1:8" x14ac:dyDescent="0.3">
      <c r="A172" s="51" t="s">
        <v>1029</v>
      </c>
      <c r="B172" s="51" t="s">
        <v>1030</v>
      </c>
      <c r="C172" s="52" t="s">
        <v>1031</v>
      </c>
      <c r="D172" s="53" t="s">
        <v>957</v>
      </c>
      <c r="F172" s="53" t="s">
        <v>957</v>
      </c>
      <c r="H172" s="51" t="s">
        <v>1032</v>
      </c>
    </row>
    <row r="173" spans="1:8" x14ac:dyDescent="0.3">
      <c r="A173" s="51" t="s">
        <v>1033</v>
      </c>
      <c r="B173" s="51" t="s">
        <v>1034</v>
      </c>
      <c r="C173" s="52" t="s">
        <v>1035</v>
      </c>
      <c r="D173" s="53" t="s">
        <v>957</v>
      </c>
      <c r="F173" s="53" t="s">
        <v>957</v>
      </c>
      <c r="H173" s="51" t="s">
        <v>1036</v>
      </c>
    </row>
    <row r="174" spans="1:8" x14ac:dyDescent="0.3">
      <c r="A174" s="51" t="s">
        <v>1037</v>
      </c>
      <c r="B174" s="51" t="s">
        <v>1038</v>
      </c>
      <c r="C174" s="52" t="s">
        <v>1039</v>
      </c>
      <c r="D174" s="53" t="s">
        <v>166</v>
      </c>
      <c r="E174" s="52" t="s">
        <v>167</v>
      </c>
      <c r="F174" s="53" t="s">
        <v>1040</v>
      </c>
      <c r="G174" s="52" t="s">
        <v>1039</v>
      </c>
      <c r="H174" s="51" t="s">
        <v>1041</v>
      </c>
    </row>
    <row r="175" spans="1:8" x14ac:dyDescent="0.3">
      <c r="A175" s="51" t="s">
        <v>1042</v>
      </c>
      <c r="B175" s="51" t="s">
        <v>1043</v>
      </c>
      <c r="C175" s="52" t="s">
        <v>1044</v>
      </c>
      <c r="D175" s="53" t="s">
        <v>166</v>
      </c>
      <c r="E175" s="52" t="s">
        <v>167</v>
      </c>
      <c r="F175" s="53" t="s">
        <v>1045</v>
      </c>
      <c r="G175" s="52" t="s">
        <v>1044</v>
      </c>
      <c r="H175" s="51" t="s">
        <v>1046</v>
      </c>
    </row>
    <row r="176" spans="1:8" x14ac:dyDescent="0.3">
      <c r="A176" s="51" t="s">
        <v>1047</v>
      </c>
      <c r="B176" s="51" t="s">
        <v>1048</v>
      </c>
      <c r="C176" s="52" t="s">
        <v>1049</v>
      </c>
      <c r="D176" s="53" t="s">
        <v>166</v>
      </c>
      <c r="E176" s="52" t="s">
        <v>167</v>
      </c>
      <c r="F176" s="53" t="s">
        <v>1050</v>
      </c>
      <c r="G176" s="52" t="s">
        <v>1049</v>
      </c>
      <c r="H176" s="51" t="s">
        <v>1051</v>
      </c>
    </row>
    <row r="177" spans="1:8" x14ac:dyDescent="0.3">
      <c r="A177" s="51" t="s">
        <v>1052</v>
      </c>
      <c r="B177" s="51" t="s">
        <v>1053</v>
      </c>
      <c r="C177" s="52" t="s">
        <v>1054</v>
      </c>
      <c r="D177" s="53" t="s">
        <v>242</v>
      </c>
      <c r="E177" s="52" t="s">
        <v>243</v>
      </c>
      <c r="F177" s="53" t="s">
        <v>1055</v>
      </c>
      <c r="G177" s="52" t="s">
        <v>1054</v>
      </c>
      <c r="H177" s="51" t="s">
        <v>1056</v>
      </c>
    </row>
    <row r="178" spans="1:8" x14ac:dyDescent="0.3">
      <c r="A178" s="51" t="s">
        <v>1057</v>
      </c>
      <c r="B178" s="51" t="s">
        <v>1058</v>
      </c>
      <c r="C178" s="52" t="s">
        <v>1059</v>
      </c>
      <c r="D178" s="53" t="s">
        <v>166</v>
      </c>
      <c r="E178" s="52" t="s">
        <v>167</v>
      </c>
      <c r="F178" s="53" t="s">
        <v>1060</v>
      </c>
      <c r="G178" s="52" t="s">
        <v>1059</v>
      </c>
      <c r="H178" s="51" t="s">
        <v>1061</v>
      </c>
    </row>
    <row r="179" spans="1:8" x14ac:dyDescent="0.3">
      <c r="A179" s="51" t="s">
        <v>1062</v>
      </c>
      <c r="B179" s="51" t="s">
        <v>1063</v>
      </c>
      <c r="C179" s="52" t="s">
        <v>1064</v>
      </c>
      <c r="D179" s="53" t="s">
        <v>220</v>
      </c>
      <c r="E179" s="52" t="s">
        <v>221</v>
      </c>
      <c r="F179" s="53" t="s">
        <v>1065</v>
      </c>
      <c r="G179" s="52" t="s">
        <v>1064</v>
      </c>
      <c r="H179" s="51" t="s">
        <v>1066</v>
      </c>
    </row>
    <row r="180" spans="1:8" x14ac:dyDescent="0.3">
      <c r="A180" s="51" t="s">
        <v>1067</v>
      </c>
      <c r="B180" s="51" t="s">
        <v>1068</v>
      </c>
      <c r="C180" s="52" t="s">
        <v>1069</v>
      </c>
      <c r="D180" s="53" t="s">
        <v>166</v>
      </c>
      <c r="E180" s="52" t="s">
        <v>167</v>
      </c>
      <c r="F180" s="53" t="s">
        <v>1070</v>
      </c>
      <c r="G180" s="52" t="s">
        <v>1069</v>
      </c>
      <c r="H180" s="51" t="s">
        <v>1071</v>
      </c>
    </row>
    <row r="181" spans="1:8" x14ac:dyDescent="0.3">
      <c r="A181" s="51" t="s">
        <v>1072</v>
      </c>
      <c r="B181" s="51" t="s">
        <v>1073</v>
      </c>
      <c r="C181" s="52" t="s">
        <v>1074</v>
      </c>
      <c r="D181" s="53" t="s">
        <v>166</v>
      </c>
      <c r="E181" s="52" t="s">
        <v>167</v>
      </c>
      <c r="F181" s="53" t="s">
        <v>1075</v>
      </c>
      <c r="G181" s="52" t="s">
        <v>1074</v>
      </c>
      <c r="H181" s="51" t="s">
        <v>1076</v>
      </c>
    </row>
    <row r="182" spans="1:8" x14ac:dyDescent="0.3">
      <c r="A182" s="51" t="s">
        <v>1077</v>
      </c>
      <c r="B182" s="51" t="s">
        <v>1078</v>
      </c>
      <c r="C182" s="52" t="s">
        <v>1079</v>
      </c>
      <c r="D182" s="53" t="s">
        <v>166</v>
      </c>
      <c r="E182" s="52" t="s">
        <v>167</v>
      </c>
      <c r="F182" s="53" t="s">
        <v>1080</v>
      </c>
      <c r="G182" s="52" t="s">
        <v>1079</v>
      </c>
      <c r="H182" s="51" t="s">
        <v>1081</v>
      </c>
    </row>
    <row r="183" spans="1:8" x14ac:dyDescent="0.3">
      <c r="A183" s="51" t="s">
        <v>86</v>
      </c>
      <c r="B183" s="51" t="s">
        <v>1082</v>
      </c>
      <c r="C183" s="52" t="s">
        <v>87</v>
      </c>
      <c r="D183" s="53" t="s">
        <v>1083</v>
      </c>
      <c r="E183" s="52" t="s">
        <v>1084</v>
      </c>
      <c r="F183" s="53" t="s">
        <v>1085</v>
      </c>
      <c r="G183" s="52" t="s">
        <v>87</v>
      </c>
      <c r="H183" s="51" t="s">
        <v>1086</v>
      </c>
    </row>
    <row r="184" spans="1:8" x14ac:dyDescent="0.3">
      <c r="A184" s="51" t="s">
        <v>1087</v>
      </c>
      <c r="B184" s="51" t="s">
        <v>1088</v>
      </c>
      <c r="C184" s="52" t="s">
        <v>1089</v>
      </c>
      <c r="D184" s="53" t="s">
        <v>166</v>
      </c>
      <c r="E184" s="52" t="s">
        <v>167</v>
      </c>
      <c r="F184" s="53" t="s">
        <v>1090</v>
      </c>
      <c r="G184" s="52" t="s">
        <v>1089</v>
      </c>
      <c r="H184" s="51" t="s">
        <v>1091</v>
      </c>
    </row>
    <row r="185" spans="1:8" x14ac:dyDescent="0.3">
      <c r="A185" s="51" t="s">
        <v>1092</v>
      </c>
      <c r="B185" s="51" t="s">
        <v>1093</v>
      </c>
      <c r="C185" s="52" t="s">
        <v>1094</v>
      </c>
      <c r="D185" s="53" t="s">
        <v>242</v>
      </c>
      <c r="E185" s="52" t="s">
        <v>243</v>
      </c>
      <c r="F185" s="53" t="s">
        <v>1095</v>
      </c>
      <c r="G185" s="52" t="s">
        <v>1094</v>
      </c>
      <c r="H185" s="51" t="s">
        <v>1096</v>
      </c>
    </row>
    <row r="186" spans="1:8" x14ac:dyDescent="0.3">
      <c r="A186" s="51" t="s">
        <v>1097</v>
      </c>
      <c r="B186" s="51" t="s">
        <v>1098</v>
      </c>
      <c r="C186" s="52" t="s">
        <v>1099</v>
      </c>
      <c r="D186" s="53" t="s">
        <v>166</v>
      </c>
      <c r="E186" s="52" t="s">
        <v>167</v>
      </c>
      <c r="F186" s="53" t="s">
        <v>1100</v>
      </c>
      <c r="G186" s="52" t="s">
        <v>1099</v>
      </c>
      <c r="H186" s="51" t="s">
        <v>1101</v>
      </c>
    </row>
    <row r="187" spans="1:8" x14ac:dyDescent="0.3">
      <c r="A187" s="51" t="s">
        <v>1102</v>
      </c>
      <c r="B187" s="51" t="s">
        <v>1103</v>
      </c>
      <c r="C187" s="52" t="s">
        <v>1104</v>
      </c>
      <c r="D187" s="53" t="s">
        <v>321</v>
      </c>
      <c r="E187" s="52" t="s">
        <v>322</v>
      </c>
      <c r="F187" s="53" t="s">
        <v>1105</v>
      </c>
      <c r="G187" s="52" t="s">
        <v>1104</v>
      </c>
      <c r="H187" s="51" t="s">
        <v>1106</v>
      </c>
    </row>
    <row r="188" spans="1:8" x14ac:dyDescent="0.3">
      <c r="A188" s="51" t="s">
        <v>1107</v>
      </c>
      <c r="B188" s="51" t="s">
        <v>1108</v>
      </c>
      <c r="C188" s="52" t="s">
        <v>1109</v>
      </c>
      <c r="D188" s="53" t="s">
        <v>166</v>
      </c>
      <c r="E188" s="52" t="s">
        <v>167</v>
      </c>
      <c r="F188" s="53" t="s">
        <v>1110</v>
      </c>
      <c r="G188" s="52" t="s">
        <v>1109</v>
      </c>
      <c r="H188" s="51" t="s">
        <v>1111</v>
      </c>
    </row>
    <row r="189" spans="1:8" x14ac:dyDescent="0.3">
      <c r="A189" s="51" t="s">
        <v>1112</v>
      </c>
      <c r="B189" s="51" t="s">
        <v>1113</v>
      </c>
      <c r="C189" s="52" t="s">
        <v>1114</v>
      </c>
      <c r="D189" s="53" t="s">
        <v>166</v>
      </c>
      <c r="E189" s="52" t="s">
        <v>167</v>
      </c>
      <c r="F189" s="53" t="s">
        <v>1115</v>
      </c>
      <c r="G189" s="52" t="s">
        <v>1114</v>
      </c>
      <c r="H189" s="51" t="s">
        <v>1116</v>
      </c>
    </row>
    <row r="190" spans="1:8" x14ac:dyDescent="0.3">
      <c r="A190" s="51" t="s">
        <v>1117</v>
      </c>
      <c r="B190" s="51" t="s">
        <v>1118</v>
      </c>
      <c r="C190" s="52" t="s">
        <v>1119</v>
      </c>
      <c r="D190" s="53" t="s">
        <v>166</v>
      </c>
      <c r="E190" s="52" t="s">
        <v>167</v>
      </c>
      <c r="F190" s="53" t="s">
        <v>1120</v>
      </c>
      <c r="G190" s="52" t="s">
        <v>1119</v>
      </c>
      <c r="H190" s="51" t="s">
        <v>1121</v>
      </c>
    </row>
    <row r="191" spans="1:8" x14ac:dyDescent="0.3">
      <c r="A191" s="51" t="s">
        <v>1122</v>
      </c>
      <c r="B191" s="51" t="s">
        <v>1123</v>
      </c>
      <c r="C191" s="52" t="s">
        <v>1124</v>
      </c>
      <c r="D191" s="53" t="s">
        <v>935</v>
      </c>
      <c r="E191" s="52" t="s">
        <v>936</v>
      </c>
      <c r="F191" s="53" t="s">
        <v>1125</v>
      </c>
      <c r="G191" s="52" t="s">
        <v>1124</v>
      </c>
      <c r="H191" s="51" t="s">
        <v>1126</v>
      </c>
    </row>
    <row r="192" spans="1:8" x14ac:dyDescent="0.3">
      <c r="A192" s="51" t="s">
        <v>1127</v>
      </c>
      <c r="B192" s="51" t="s">
        <v>1128</v>
      </c>
      <c r="C192" s="52" t="s">
        <v>1129</v>
      </c>
      <c r="D192" s="53" t="s">
        <v>166</v>
      </c>
      <c r="E192" s="52" t="s">
        <v>167</v>
      </c>
      <c r="F192" s="53" t="s">
        <v>1130</v>
      </c>
      <c r="G192" s="52" t="s">
        <v>1129</v>
      </c>
      <c r="H192" s="51" t="s">
        <v>1131</v>
      </c>
    </row>
    <row r="193" spans="1:8" x14ac:dyDescent="0.3">
      <c r="A193" s="51" t="s">
        <v>90</v>
      </c>
      <c r="B193" s="51" t="s">
        <v>1132</v>
      </c>
      <c r="C193" s="52" t="s">
        <v>91</v>
      </c>
      <c r="D193" s="53" t="s">
        <v>242</v>
      </c>
      <c r="E193" s="52" t="s">
        <v>243</v>
      </c>
      <c r="F193" s="53" t="s">
        <v>1133</v>
      </c>
      <c r="G193" s="52" t="s">
        <v>91</v>
      </c>
      <c r="H193" s="51" t="s">
        <v>1134</v>
      </c>
    </row>
    <row r="194" spans="1:8" x14ac:dyDescent="0.3">
      <c r="A194" s="51" t="s">
        <v>93</v>
      </c>
      <c r="B194" s="51" t="s">
        <v>1135</v>
      </c>
      <c r="C194" s="52" t="s">
        <v>94</v>
      </c>
      <c r="D194" s="53" t="s">
        <v>166</v>
      </c>
      <c r="E194" s="52" t="s">
        <v>167</v>
      </c>
      <c r="F194" s="53" t="s">
        <v>1136</v>
      </c>
      <c r="G194" s="52" t="s">
        <v>94</v>
      </c>
      <c r="H194" s="51" t="s">
        <v>1137</v>
      </c>
    </row>
    <row r="195" spans="1:8" x14ac:dyDescent="0.3">
      <c r="A195" s="51" t="s">
        <v>95</v>
      </c>
      <c r="B195" s="51" t="s">
        <v>1138</v>
      </c>
      <c r="C195" s="52" t="s">
        <v>96</v>
      </c>
      <c r="D195" s="53" t="s">
        <v>321</v>
      </c>
      <c r="E195" s="52" t="s">
        <v>322</v>
      </c>
      <c r="F195" s="53" t="s">
        <v>1139</v>
      </c>
      <c r="G195" s="52" t="s">
        <v>96</v>
      </c>
      <c r="H195" s="51" t="s">
        <v>1140</v>
      </c>
    </row>
    <row r="196" spans="1:8" x14ac:dyDescent="0.3">
      <c r="A196" s="51" t="s">
        <v>98</v>
      </c>
      <c r="B196" s="51" t="s">
        <v>1141</v>
      </c>
      <c r="C196" s="52" t="s">
        <v>99</v>
      </c>
      <c r="D196" s="53" t="s">
        <v>321</v>
      </c>
      <c r="E196" s="52" t="s">
        <v>322</v>
      </c>
      <c r="F196" s="53" t="s">
        <v>1142</v>
      </c>
      <c r="G196" s="52" t="s">
        <v>99</v>
      </c>
      <c r="H196" s="51" t="s">
        <v>1143</v>
      </c>
    </row>
    <row r="197" spans="1:8" x14ac:dyDescent="0.3">
      <c r="A197" s="51" t="s">
        <v>1144</v>
      </c>
      <c r="B197" s="51" t="s">
        <v>1145</v>
      </c>
      <c r="C197" s="52" t="s">
        <v>1146</v>
      </c>
      <c r="D197" s="53" t="s">
        <v>166</v>
      </c>
      <c r="E197" s="52" t="s">
        <v>167</v>
      </c>
      <c r="F197" s="53" t="s">
        <v>1147</v>
      </c>
      <c r="G197" s="52" t="s">
        <v>1146</v>
      </c>
      <c r="H197" s="51" t="s">
        <v>1148</v>
      </c>
    </row>
    <row r="198" spans="1:8" x14ac:dyDescent="0.3">
      <c r="A198" s="51" t="s">
        <v>1149</v>
      </c>
      <c r="B198" s="51" t="s">
        <v>1150</v>
      </c>
      <c r="C198" s="52" t="s">
        <v>1151</v>
      </c>
      <c r="D198" s="53" t="s">
        <v>166</v>
      </c>
      <c r="E198" s="52" t="s">
        <v>167</v>
      </c>
      <c r="F198" s="53" t="s">
        <v>1152</v>
      </c>
      <c r="G198" s="52" t="s">
        <v>1151</v>
      </c>
      <c r="H198" s="51" t="s">
        <v>1153</v>
      </c>
    </row>
    <row r="199" spans="1:8" x14ac:dyDescent="0.3">
      <c r="A199" s="51" t="s">
        <v>1154</v>
      </c>
      <c r="B199" s="51" t="s">
        <v>1155</v>
      </c>
      <c r="C199" s="52" t="s">
        <v>1156</v>
      </c>
      <c r="D199" s="53" t="s">
        <v>166</v>
      </c>
      <c r="E199" s="52" t="s">
        <v>167</v>
      </c>
      <c r="F199" s="53" t="s">
        <v>1157</v>
      </c>
      <c r="G199" s="52" t="s">
        <v>1156</v>
      </c>
      <c r="H199" s="51" t="s">
        <v>1158</v>
      </c>
    </row>
    <row r="200" spans="1:8" x14ac:dyDescent="0.3">
      <c r="A200" s="51" t="s">
        <v>1159</v>
      </c>
      <c r="B200" s="51" t="s">
        <v>1160</v>
      </c>
      <c r="C200" s="52" t="s">
        <v>462</v>
      </c>
      <c r="D200" s="53" t="s">
        <v>166</v>
      </c>
      <c r="E200" s="52" t="s">
        <v>167</v>
      </c>
      <c r="F200" s="53" t="s">
        <v>1161</v>
      </c>
      <c r="G200" s="52" t="s">
        <v>462</v>
      </c>
      <c r="H200" s="51" t="s">
        <v>1162</v>
      </c>
    </row>
    <row r="201" spans="1:8" x14ac:dyDescent="0.3">
      <c r="A201" s="51" t="s">
        <v>1163</v>
      </c>
      <c r="B201" s="51" t="s">
        <v>1164</v>
      </c>
      <c r="C201" s="52" t="s">
        <v>1165</v>
      </c>
      <c r="D201" s="53" t="s">
        <v>321</v>
      </c>
      <c r="E201" s="52" t="s">
        <v>322</v>
      </c>
      <c r="F201" s="53" t="s">
        <v>1166</v>
      </c>
      <c r="G201" s="52" t="s">
        <v>1165</v>
      </c>
      <c r="H201" s="51" t="s">
        <v>1167</v>
      </c>
    </row>
    <row r="202" spans="1:8" x14ac:dyDescent="0.3">
      <c r="A202" s="51" t="s">
        <v>1168</v>
      </c>
      <c r="B202" s="51" t="s">
        <v>1169</v>
      </c>
      <c r="C202" s="52" t="s">
        <v>1170</v>
      </c>
      <c r="D202" s="53" t="s">
        <v>321</v>
      </c>
      <c r="E202" s="52" t="s">
        <v>322</v>
      </c>
      <c r="F202" s="53" t="s">
        <v>1171</v>
      </c>
      <c r="G202" s="52" t="s">
        <v>1170</v>
      </c>
      <c r="H202" s="51" t="s">
        <v>1172</v>
      </c>
    </row>
    <row r="203" spans="1:8" x14ac:dyDescent="0.3">
      <c r="A203" s="51" t="s">
        <v>1173</v>
      </c>
      <c r="B203" s="51" t="s">
        <v>1174</v>
      </c>
      <c r="C203" s="52" t="s">
        <v>1175</v>
      </c>
      <c r="D203" s="53" t="s">
        <v>166</v>
      </c>
      <c r="E203" s="52" t="s">
        <v>167</v>
      </c>
      <c r="F203" s="53" t="s">
        <v>1176</v>
      </c>
      <c r="G203" s="52" t="s">
        <v>1175</v>
      </c>
      <c r="H203" s="51" t="s">
        <v>1177</v>
      </c>
    </row>
    <row r="204" spans="1:8" x14ac:dyDescent="0.3">
      <c r="A204" s="51" t="s">
        <v>1178</v>
      </c>
      <c r="B204" s="51" t="s">
        <v>1179</v>
      </c>
      <c r="C204" s="52" t="s">
        <v>1180</v>
      </c>
      <c r="D204" s="53" t="s">
        <v>166</v>
      </c>
      <c r="E204" s="52" t="s">
        <v>167</v>
      </c>
      <c r="F204" s="53" t="s">
        <v>1181</v>
      </c>
      <c r="G204" s="52" t="s">
        <v>1180</v>
      </c>
      <c r="H204" s="51" t="s">
        <v>1182</v>
      </c>
    </row>
    <row r="205" spans="1:8" x14ac:dyDescent="0.3">
      <c r="A205" s="51" t="s">
        <v>1183</v>
      </c>
      <c r="B205" s="51" t="s">
        <v>1184</v>
      </c>
      <c r="C205" s="52" t="s">
        <v>1185</v>
      </c>
      <c r="D205" s="53" t="s">
        <v>166</v>
      </c>
      <c r="E205" s="52" t="s">
        <v>167</v>
      </c>
      <c r="F205" s="53" t="s">
        <v>1186</v>
      </c>
      <c r="G205" s="52" t="s">
        <v>1185</v>
      </c>
      <c r="H205" s="51" t="s">
        <v>1187</v>
      </c>
    </row>
    <row r="206" spans="1:8" x14ac:dyDescent="0.3">
      <c r="A206" s="51" t="s">
        <v>1188</v>
      </c>
      <c r="B206" s="51" t="s">
        <v>1189</v>
      </c>
      <c r="C206" s="52" t="s">
        <v>1190</v>
      </c>
      <c r="D206" s="53" t="s">
        <v>879</v>
      </c>
      <c r="E206" s="52" t="s">
        <v>880</v>
      </c>
      <c r="F206" s="53" t="s">
        <v>1191</v>
      </c>
      <c r="G206" s="52" t="s">
        <v>1190</v>
      </c>
      <c r="H206" s="51" t="s">
        <v>1192</v>
      </c>
    </row>
    <row r="207" spans="1:8" x14ac:dyDescent="0.3">
      <c r="A207" s="51" t="s">
        <v>1193</v>
      </c>
      <c r="B207" s="51" t="s">
        <v>1194</v>
      </c>
      <c r="C207" s="52" t="s">
        <v>1195</v>
      </c>
      <c r="D207" s="53" t="s">
        <v>321</v>
      </c>
      <c r="E207" s="52" t="s">
        <v>322</v>
      </c>
      <c r="F207" s="53" t="s">
        <v>1196</v>
      </c>
      <c r="G207" s="52" t="s">
        <v>1195</v>
      </c>
      <c r="H207" s="51" t="s">
        <v>1197</v>
      </c>
    </row>
    <row r="208" spans="1:8" x14ac:dyDescent="0.3">
      <c r="A208" s="51" t="s">
        <v>1198</v>
      </c>
      <c r="B208" s="51" t="s">
        <v>1199</v>
      </c>
      <c r="C208" s="52" t="s">
        <v>1200</v>
      </c>
      <c r="D208" s="53" t="s">
        <v>523</v>
      </c>
      <c r="E208" s="52" t="s">
        <v>524</v>
      </c>
      <c r="F208" s="53" t="s">
        <v>1201</v>
      </c>
      <c r="G208" s="52" t="s">
        <v>1200</v>
      </c>
      <c r="H208" s="51" t="s">
        <v>1202</v>
      </c>
    </row>
    <row r="209" spans="1:8" x14ac:dyDescent="0.3">
      <c r="A209" s="51" t="s">
        <v>1203</v>
      </c>
      <c r="B209" s="51" t="s">
        <v>1204</v>
      </c>
      <c r="C209" s="52" t="s">
        <v>1205</v>
      </c>
      <c r="D209" s="53" t="s">
        <v>321</v>
      </c>
      <c r="E209" s="52" t="s">
        <v>322</v>
      </c>
      <c r="F209" s="53" t="s">
        <v>1206</v>
      </c>
      <c r="G209" s="52" t="s">
        <v>1205</v>
      </c>
      <c r="H209" s="51" t="s">
        <v>1207</v>
      </c>
    </row>
    <row r="210" spans="1:8" x14ac:dyDescent="0.3">
      <c r="A210" s="51" t="s">
        <v>100</v>
      </c>
      <c r="B210" s="51" t="s">
        <v>1208</v>
      </c>
      <c r="C210" s="52" t="s">
        <v>101</v>
      </c>
      <c r="D210" s="53" t="s">
        <v>523</v>
      </c>
      <c r="E210" s="52" t="s">
        <v>524</v>
      </c>
      <c r="F210" s="53" t="s">
        <v>1209</v>
      </c>
      <c r="G210" s="52" t="s">
        <v>101</v>
      </c>
      <c r="H210" s="51" t="s">
        <v>1210</v>
      </c>
    </row>
    <row r="211" spans="1:8" x14ac:dyDescent="0.3">
      <c r="A211" s="51" t="s">
        <v>1211</v>
      </c>
      <c r="B211" s="51" t="s">
        <v>1212</v>
      </c>
      <c r="C211" s="52" t="s">
        <v>1213</v>
      </c>
      <c r="D211" s="53" t="s">
        <v>242</v>
      </c>
      <c r="E211" s="52" t="s">
        <v>243</v>
      </c>
      <c r="F211" s="53" t="s">
        <v>1214</v>
      </c>
      <c r="G211" s="52" t="s">
        <v>1213</v>
      </c>
      <c r="H211" s="51" t="s">
        <v>1215</v>
      </c>
    </row>
    <row r="212" spans="1:8" x14ac:dyDescent="0.3">
      <c r="A212" s="51" t="s">
        <v>156</v>
      </c>
      <c r="B212" s="51" t="s">
        <v>1216</v>
      </c>
      <c r="C212" s="52" t="s">
        <v>157</v>
      </c>
      <c r="D212" s="53" t="s">
        <v>166</v>
      </c>
      <c r="E212" s="52" t="s">
        <v>167</v>
      </c>
      <c r="F212" s="53" t="s">
        <v>1217</v>
      </c>
      <c r="G212" s="52" t="s">
        <v>157</v>
      </c>
      <c r="H212" s="51" t="s">
        <v>1218</v>
      </c>
    </row>
    <row r="213" spans="1:8" x14ac:dyDescent="0.3">
      <c r="A213" s="51" t="s">
        <v>103</v>
      </c>
      <c r="B213" s="51" t="s">
        <v>1219</v>
      </c>
      <c r="C213" s="52" t="s">
        <v>104</v>
      </c>
      <c r="D213" s="53" t="s">
        <v>166</v>
      </c>
      <c r="E213" s="52" t="s">
        <v>167</v>
      </c>
      <c r="F213" s="53" t="s">
        <v>1220</v>
      </c>
      <c r="G213" s="52" t="s">
        <v>104</v>
      </c>
      <c r="H213" s="51" t="s">
        <v>1221</v>
      </c>
    </row>
    <row r="214" spans="1:8" x14ac:dyDescent="0.3">
      <c r="A214" s="51" t="s">
        <v>1222</v>
      </c>
      <c r="B214" s="51" t="s">
        <v>1223</v>
      </c>
      <c r="C214" s="52" t="s">
        <v>1224</v>
      </c>
      <c r="D214" s="53" t="s">
        <v>523</v>
      </c>
      <c r="E214" s="52" t="s">
        <v>524</v>
      </c>
      <c r="F214" s="53" t="s">
        <v>1225</v>
      </c>
      <c r="G214" s="52" t="s">
        <v>1224</v>
      </c>
      <c r="H214" s="51" t="s">
        <v>1226</v>
      </c>
    </row>
    <row r="215" spans="1:8" x14ac:dyDescent="0.3">
      <c r="A215" s="51" t="s">
        <v>1227</v>
      </c>
      <c r="B215" s="51" t="s">
        <v>1228</v>
      </c>
      <c r="C215" s="52" t="s">
        <v>1229</v>
      </c>
      <c r="D215" s="53" t="s">
        <v>166</v>
      </c>
      <c r="E215" s="52" t="s">
        <v>167</v>
      </c>
      <c r="F215" s="53" t="s">
        <v>1230</v>
      </c>
      <c r="G215" s="52" t="s">
        <v>1229</v>
      </c>
      <c r="H215" s="51" t="s">
        <v>1231</v>
      </c>
    </row>
    <row r="216" spans="1:8" x14ac:dyDescent="0.3">
      <c r="A216" s="51" t="s">
        <v>1232</v>
      </c>
      <c r="B216" s="51" t="s">
        <v>1233</v>
      </c>
      <c r="C216" s="52" t="s">
        <v>1234</v>
      </c>
      <c r="D216" s="53" t="s">
        <v>166</v>
      </c>
      <c r="E216" s="52" t="s">
        <v>167</v>
      </c>
      <c r="F216" s="53" t="s">
        <v>1235</v>
      </c>
      <c r="G216" s="52" t="s">
        <v>1234</v>
      </c>
      <c r="H216" s="51" t="s">
        <v>1236</v>
      </c>
    </row>
    <row r="217" spans="1:8" x14ac:dyDescent="0.3">
      <c r="A217" s="51" t="s">
        <v>1237</v>
      </c>
      <c r="B217" s="51" t="s">
        <v>1238</v>
      </c>
      <c r="C217" s="52" t="s">
        <v>1239</v>
      </c>
      <c r="D217" s="53" t="s">
        <v>166</v>
      </c>
      <c r="E217" s="52" t="s">
        <v>167</v>
      </c>
      <c r="F217" s="53" t="s">
        <v>1240</v>
      </c>
      <c r="G217" s="52" t="s">
        <v>1239</v>
      </c>
      <c r="H217" s="51" t="s">
        <v>1241</v>
      </c>
    </row>
    <row r="218" spans="1:8" x14ac:dyDescent="0.3">
      <c r="A218" s="51" t="s">
        <v>1242</v>
      </c>
      <c r="B218" s="51" t="s">
        <v>1243</v>
      </c>
      <c r="C218" s="52" t="s">
        <v>1244</v>
      </c>
      <c r="D218" s="53" t="s">
        <v>166</v>
      </c>
      <c r="E218" s="52" t="s">
        <v>167</v>
      </c>
      <c r="F218" s="53" t="s">
        <v>1245</v>
      </c>
      <c r="G218" s="52" t="s">
        <v>1244</v>
      </c>
      <c r="H218" s="51" t="s">
        <v>1246</v>
      </c>
    </row>
    <row r="219" spans="1:8" x14ac:dyDescent="0.3">
      <c r="A219" s="51" t="s">
        <v>1247</v>
      </c>
      <c r="B219" s="51" t="s">
        <v>1248</v>
      </c>
      <c r="C219" s="52" t="s">
        <v>1249</v>
      </c>
      <c r="D219" s="53" t="s">
        <v>166</v>
      </c>
      <c r="E219" s="52" t="s">
        <v>167</v>
      </c>
      <c r="F219" s="53" t="s">
        <v>1250</v>
      </c>
      <c r="G219" s="52" t="s">
        <v>1249</v>
      </c>
      <c r="H219" s="51" t="s">
        <v>1251</v>
      </c>
    </row>
    <row r="220" spans="1:8" x14ac:dyDescent="0.3">
      <c r="A220" s="51" t="s">
        <v>1252</v>
      </c>
      <c r="B220" s="51" t="s">
        <v>1253</v>
      </c>
      <c r="C220" s="52" t="s">
        <v>1254</v>
      </c>
      <c r="D220" s="53" t="s">
        <v>166</v>
      </c>
      <c r="E220" s="52" t="s">
        <v>167</v>
      </c>
      <c r="F220" s="53" t="s">
        <v>1255</v>
      </c>
      <c r="G220" s="52" t="s">
        <v>1254</v>
      </c>
      <c r="H220" s="51" t="s">
        <v>1256</v>
      </c>
    </row>
    <row r="221" spans="1:8" x14ac:dyDescent="0.3">
      <c r="A221" s="51" t="s">
        <v>1257</v>
      </c>
      <c r="B221" s="51" t="s">
        <v>1258</v>
      </c>
      <c r="C221" s="52" t="s">
        <v>1259</v>
      </c>
      <c r="D221" s="53" t="s">
        <v>166</v>
      </c>
      <c r="E221" s="52" t="s">
        <v>167</v>
      </c>
      <c r="F221" s="53" t="s">
        <v>1260</v>
      </c>
      <c r="G221" s="52" t="s">
        <v>1259</v>
      </c>
      <c r="H221" s="51" t="s">
        <v>1261</v>
      </c>
    </row>
    <row r="222" spans="1:8" x14ac:dyDescent="0.3">
      <c r="A222" s="51" t="s">
        <v>1262</v>
      </c>
      <c r="B222" s="51" t="s">
        <v>1263</v>
      </c>
      <c r="C222" s="52" t="s">
        <v>1264</v>
      </c>
      <c r="D222" s="53" t="s">
        <v>166</v>
      </c>
      <c r="E222" s="52" t="s">
        <v>167</v>
      </c>
      <c r="F222" s="53" t="s">
        <v>1265</v>
      </c>
      <c r="G222" s="52" t="s">
        <v>1264</v>
      </c>
      <c r="H222" s="51" t="s">
        <v>1266</v>
      </c>
    </row>
    <row r="223" spans="1:8" x14ac:dyDescent="0.3">
      <c r="A223" s="51" t="s">
        <v>1267</v>
      </c>
      <c r="B223" s="51" t="s">
        <v>1268</v>
      </c>
      <c r="C223" s="52" t="s">
        <v>1269</v>
      </c>
      <c r="D223" s="53" t="s">
        <v>166</v>
      </c>
      <c r="E223" s="52" t="s">
        <v>167</v>
      </c>
      <c r="F223" s="53" t="s">
        <v>1270</v>
      </c>
      <c r="G223" s="52" t="s">
        <v>1269</v>
      </c>
      <c r="H223" s="51" t="s">
        <v>1271</v>
      </c>
    </row>
    <row r="224" spans="1:8" x14ac:dyDescent="0.3">
      <c r="A224" s="51" t="s">
        <v>1272</v>
      </c>
      <c r="B224" s="51" t="s">
        <v>1273</v>
      </c>
      <c r="C224" s="52" t="s">
        <v>1274</v>
      </c>
      <c r="D224" s="53" t="s">
        <v>166</v>
      </c>
      <c r="E224" s="52" t="s">
        <v>167</v>
      </c>
      <c r="F224" s="53" t="s">
        <v>1275</v>
      </c>
      <c r="G224" s="52" t="s">
        <v>1274</v>
      </c>
      <c r="H224" s="51" t="s">
        <v>1276</v>
      </c>
    </row>
    <row r="225" spans="1:8" x14ac:dyDescent="0.3">
      <c r="A225" s="51" t="s">
        <v>1277</v>
      </c>
      <c r="B225" s="51" t="s">
        <v>1278</v>
      </c>
      <c r="C225" s="52" t="s">
        <v>1279</v>
      </c>
      <c r="D225" s="53" t="s">
        <v>166</v>
      </c>
      <c r="E225" s="52" t="s">
        <v>167</v>
      </c>
      <c r="F225" s="53" t="s">
        <v>1280</v>
      </c>
      <c r="G225" s="52" t="s">
        <v>1279</v>
      </c>
      <c r="H225" s="51" t="s">
        <v>1281</v>
      </c>
    </row>
    <row r="226" spans="1:8" x14ac:dyDescent="0.3">
      <c r="A226" s="51" t="s">
        <v>1282</v>
      </c>
      <c r="B226" s="51" t="s">
        <v>1283</v>
      </c>
      <c r="C226" s="52" t="s">
        <v>1284</v>
      </c>
      <c r="D226" s="53" t="s">
        <v>166</v>
      </c>
      <c r="E226" s="52" t="s">
        <v>167</v>
      </c>
      <c r="F226" s="53" t="s">
        <v>1285</v>
      </c>
      <c r="G226" s="52" t="s">
        <v>1284</v>
      </c>
      <c r="H226" s="51" t="s">
        <v>1286</v>
      </c>
    </row>
    <row r="227" spans="1:8" x14ac:dyDescent="0.3">
      <c r="A227" s="51" t="s">
        <v>1287</v>
      </c>
      <c r="B227" s="51" t="s">
        <v>1288</v>
      </c>
      <c r="C227" s="52" t="s">
        <v>1289</v>
      </c>
      <c r="D227" s="53" t="s">
        <v>166</v>
      </c>
      <c r="E227" s="52" t="s">
        <v>167</v>
      </c>
      <c r="F227" s="53" t="s">
        <v>1290</v>
      </c>
      <c r="G227" s="52" t="s">
        <v>1289</v>
      </c>
      <c r="H227" s="51" t="s">
        <v>1291</v>
      </c>
    </row>
    <row r="228" spans="1:8" x14ac:dyDescent="0.3">
      <c r="A228" s="51" t="s">
        <v>1292</v>
      </c>
      <c r="B228" s="51" t="s">
        <v>1293</v>
      </c>
      <c r="C228" s="52" t="s">
        <v>1294</v>
      </c>
      <c r="D228" s="53" t="s">
        <v>166</v>
      </c>
      <c r="E228" s="52" t="s">
        <v>167</v>
      </c>
      <c r="F228" s="53" t="s">
        <v>1295</v>
      </c>
      <c r="G228" s="52" t="s">
        <v>1294</v>
      </c>
      <c r="H228" s="51" t="s">
        <v>1296</v>
      </c>
    </row>
    <row r="229" spans="1:8" x14ac:dyDescent="0.3">
      <c r="A229" s="51" t="s">
        <v>1297</v>
      </c>
      <c r="B229" s="51" t="s">
        <v>1298</v>
      </c>
      <c r="C229" s="52" t="s">
        <v>1299</v>
      </c>
      <c r="D229" s="53" t="s">
        <v>166</v>
      </c>
      <c r="E229" s="52" t="s">
        <v>167</v>
      </c>
      <c r="F229" s="53" t="s">
        <v>1300</v>
      </c>
      <c r="G229" s="52" t="s">
        <v>1299</v>
      </c>
      <c r="H229" s="51" t="s">
        <v>1301</v>
      </c>
    </row>
    <row r="230" spans="1:8" x14ac:dyDescent="0.3">
      <c r="A230" s="51" t="s">
        <v>1302</v>
      </c>
      <c r="B230" s="51" t="s">
        <v>1303</v>
      </c>
      <c r="C230" s="52" t="s">
        <v>1304</v>
      </c>
      <c r="D230" s="53" t="s">
        <v>166</v>
      </c>
      <c r="E230" s="52" t="s">
        <v>167</v>
      </c>
      <c r="F230" s="53" t="s">
        <v>1305</v>
      </c>
      <c r="G230" s="52" t="s">
        <v>1304</v>
      </c>
      <c r="H230" s="51" t="s">
        <v>1306</v>
      </c>
    </row>
    <row r="231" spans="1:8" x14ac:dyDescent="0.3">
      <c r="A231" s="51" t="s">
        <v>1307</v>
      </c>
      <c r="B231" s="51" t="s">
        <v>1308</v>
      </c>
      <c r="C231" s="52" t="s">
        <v>1309</v>
      </c>
      <c r="D231" s="53" t="s">
        <v>166</v>
      </c>
      <c r="E231" s="52" t="s">
        <v>167</v>
      </c>
      <c r="F231" s="53" t="s">
        <v>1310</v>
      </c>
      <c r="G231" s="52" t="s">
        <v>1309</v>
      </c>
      <c r="H231" s="51" t="s">
        <v>1311</v>
      </c>
    </row>
    <row r="232" spans="1:8" x14ac:dyDescent="0.3">
      <c r="A232" s="51" t="s">
        <v>1312</v>
      </c>
      <c r="B232" s="51" t="s">
        <v>1313</v>
      </c>
      <c r="C232" s="52" t="s">
        <v>1314</v>
      </c>
      <c r="D232" s="53" t="s">
        <v>213</v>
      </c>
      <c r="E232" s="52" t="s">
        <v>214</v>
      </c>
      <c r="F232" s="53" t="s">
        <v>1315</v>
      </c>
      <c r="G232" s="52" t="s">
        <v>1314</v>
      </c>
      <c r="H232" s="51" t="s">
        <v>1316</v>
      </c>
    </row>
    <row r="233" spans="1:8" x14ac:dyDescent="0.3">
      <c r="A233" s="51" t="s">
        <v>1317</v>
      </c>
      <c r="B233" s="51" t="s">
        <v>1318</v>
      </c>
      <c r="C233" s="52" t="s">
        <v>1319</v>
      </c>
      <c r="D233" s="53" t="s">
        <v>321</v>
      </c>
      <c r="E233" s="52" t="s">
        <v>322</v>
      </c>
      <c r="F233" s="53" t="s">
        <v>1320</v>
      </c>
      <c r="G233" s="52" t="s">
        <v>1319</v>
      </c>
      <c r="H233" s="51" t="s">
        <v>1321</v>
      </c>
    </row>
    <row r="234" spans="1:8" x14ac:dyDescent="0.3">
      <c r="A234" s="51" t="s">
        <v>1322</v>
      </c>
      <c r="B234" s="51" t="s">
        <v>1323</v>
      </c>
      <c r="C234" s="52" t="s">
        <v>1324</v>
      </c>
      <c r="D234" s="53" t="s">
        <v>166</v>
      </c>
      <c r="E234" s="52" t="s">
        <v>167</v>
      </c>
      <c r="F234" s="53" t="s">
        <v>1325</v>
      </c>
      <c r="G234" s="52" t="s">
        <v>1324</v>
      </c>
      <c r="H234" s="51" t="s">
        <v>1326</v>
      </c>
    </row>
    <row r="235" spans="1:8" x14ac:dyDescent="0.3">
      <c r="A235" s="51" t="s">
        <v>1327</v>
      </c>
      <c r="B235" s="51" t="s">
        <v>1328</v>
      </c>
      <c r="C235" s="52" t="s">
        <v>1329</v>
      </c>
      <c r="D235" s="53" t="s">
        <v>166</v>
      </c>
      <c r="E235" s="52" t="s">
        <v>167</v>
      </c>
      <c r="F235" s="53" t="s">
        <v>1330</v>
      </c>
      <c r="G235" s="52" t="s">
        <v>1329</v>
      </c>
      <c r="H235" s="51" t="s">
        <v>1331</v>
      </c>
    </row>
    <row r="236" spans="1:8" x14ac:dyDescent="0.3">
      <c r="A236" s="51" t="s">
        <v>1332</v>
      </c>
      <c r="B236" s="51" t="s">
        <v>1333</v>
      </c>
      <c r="C236" s="52" t="s">
        <v>1334</v>
      </c>
      <c r="D236" s="53" t="s">
        <v>166</v>
      </c>
      <c r="E236" s="52" t="s">
        <v>167</v>
      </c>
      <c r="F236" s="53" t="s">
        <v>1335</v>
      </c>
      <c r="G236" s="52" t="s">
        <v>1334</v>
      </c>
      <c r="H236" s="51" t="s">
        <v>1336</v>
      </c>
    </row>
    <row r="237" spans="1:8" x14ac:dyDescent="0.3">
      <c r="A237" s="51" t="s">
        <v>1337</v>
      </c>
      <c r="B237" s="51" t="s">
        <v>1338</v>
      </c>
      <c r="C237" s="52" t="s">
        <v>1339</v>
      </c>
      <c r="D237" s="53" t="s">
        <v>166</v>
      </c>
      <c r="E237" s="52" t="s">
        <v>167</v>
      </c>
      <c r="F237" s="53" t="s">
        <v>1340</v>
      </c>
      <c r="G237" s="52" t="s">
        <v>1339</v>
      </c>
      <c r="H237" s="51" t="s">
        <v>1341</v>
      </c>
    </row>
    <row r="238" spans="1:8" x14ac:dyDescent="0.3">
      <c r="A238" s="51" t="s">
        <v>1342</v>
      </c>
      <c r="B238" s="51" t="s">
        <v>1343</v>
      </c>
      <c r="C238" s="52" t="s">
        <v>951</v>
      </c>
      <c r="D238" s="53" t="s">
        <v>166</v>
      </c>
      <c r="E238" s="52" t="s">
        <v>167</v>
      </c>
      <c r="F238" s="53" t="s">
        <v>1344</v>
      </c>
      <c r="G238" s="52" t="s">
        <v>951</v>
      </c>
      <c r="H238" s="51" t="s">
        <v>1345</v>
      </c>
    </row>
    <row r="239" spans="1:8" x14ac:dyDescent="0.3">
      <c r="A239" s="51" t="s">
        <v>1346</v>
      </c>
      <c r="B239" s="51" t="s">
        <v>1347</v>
      </c>
      <c r="C239" s="52" t="s">
        <v>1348</v>
      </c>
      <c r="D239" s="53" t="s">
        <v>166</v>
      </c>
      <c r="E239" s="52" t="s">
        <v>167</v>
      </c>
      <c r="F239" s="53" t="s">
        <v>1349</v>
      </c>
      <c r="G239" s="52" t="s">
        <v>1348</v>
      </c>
      <c r="H239" s="51" t="s">
        <v>1350</v>
      </c>
    </row>
    <row r="240" spans="1:8" x14ac:dyDescent="0.3">
      <c r="A240" s="51" t="s">
        <v>1351</v>
      </c>
      <c r="B240" s="51" t="s">
        <v>1352</v>
      </c>
      <c r="C240" s="52" t="s">
        <v>1353</v>
      </c>
      <c r="D240" s="53" t="s">
        <v>242</v>
      </c>
      <c r="E240" s="52" t="s">
        <v>243</v>
      </c>
      <c r="F240" s="53" t="s">
        <v>1354</v>
      </c>
      <c r="G240" s="52" t="s">
        <v>1353</v>
      </c>
      <c r="H240" s="51" t="s">
        <v>1355</v>
      </c>
    </row>
    <row r="241" spans="1:8" x14ac:dyDescent="0.3">
      <c r="A241" s="51" t="s">
        <v>1356</v>
      </c>
      <c r="B241" s="51" t="s">
        <v>1357</v>
      </c>
      <c r="C241" s="52" t="s">
        <v>1358</v>
      </c>
      <c r="D241" s="53" t="s">
        <v>166</v>
      </c>
      <c r="E241" s="52" t="s">
        <v>167</v>
      </c>
      <c r="F241" s="53" t="s">
        <v>1359</v>
      </c>
      <c r="G241" s="52" t="s">
        <v>1358</v>
      </c>
      <c r="H241" s="51" t="s">
        <v>1360</v>
      </c>
    </row>
    <row r="242" spans="1:8" x14ac:dyDescent="0.3">
      <c r="A242" s="51" t="s">
        <v>1361</v>
      </c>
      <c r="B242" s="51" t="s">
        <v>1362</v>
      </c>
      <c r="C242" s="52" t="s">
        <v>1363</v>
      </c>
      <c r="D242" s="53" t="s">
        <v>166</v>
      </c>
      <c r="E242" s="52" t="s">
        <v>167</v>
      </c>
      <c r="F242" s="53" t="s">
        <v>1364</v>
      </c>
      <c r="G242" s="52" t="s">
        <v>1363</v>
      </c>
      <c r="H242" s="51" t="s">
        <v>1365</v>
      </c>
    </row>
    <row r="243" spans="1:8" x14ac:dyDescent="0.3">
      <c r="A243" s="51" t="s">
        <v>1366</v>
      </c>
      <c r="B243" s="51" t="s">
        <v>1367</v>
      </c>
      <c r="C243" s="52" t="s">
        <v>1368</v>
      </c>
      <c r="D243" s="53" t="s">
        <v>523</v>
      </c>
      <c r="E243" s="52" t="s">
        <v>524</v>
      </c>
      <c r="F243" s="53" t="s">
        <v>1369</v>
      </c>
      <c r="G243" s="52" t="s">
        <v>1368</v>
      </c>
      <c r="H243" s="51" t="s">
        <v>1370</v>
      </c>
    </row>
    <row r="244" spans="1:8" x14ac:dyDescent="0.3">
      <c r="A244" s="51" t="s">
        <v>1371</v>
      </c>
      <c r="B244" s="51" t="s">
        <v>1372</v>
      </c>
      <c r="C244" s="52" t="s">
        <v>1373</v>
      </c>
      <c r="D244" s="53" t="s">
        <v>166</v>
      </c>
      <c r="E244" s="52" t="s">
        <v>167</v>
      </c>
      <c r="F244" s="53" t="s">
        <v>1374</v>
      </c>
      <c r="G244" s="52" t="s">
        <v>1373</v>
      </c>
      <c r="H244" s="51" t="s">
        <v>1375</v>
      </c>
    </row>
    <row r="245" spans="1:8" x14ac:dyDescent="0.3">
      <c r="A245" s="51" t="s">
        <v>1376</v>
      </c>
      <c r="B245" s="51" t="s">
        <v>1377</v>
      </c>
      <c r="C245" s="52" t="s">
        <v>1378</v>
      </c>
      <c r="D245" s="53" t="s">
        <v>166</v>
      </c>
      <c r="E245" s="52" t="s">
        <v>167</v>
      </c>
      <c r="F245" s="53" t="s">
        <v>1379</v>
      </c>
      <c r="G245" s="52" t="s">
        <v>1378</v>
      </c>
      <c r="H245" s="51" t="s">
        <v>1380</v>
      </c>
    </row>
    <row r="246" spans="1:8" x14ac:dyDescent="0.3">
      <c r="A246" s="51" t="s">
        <v>1381</v>
      </c>
      <c r="B246" s="51" t="s">
        <v>1382</v>
      </c>
      <c r="C246" s="52" t="s">
        <v>1383</v>
      </c>
      <c r="D246" s="53" t="s">
        <v>321</v>
      </c>
      <c r="E246" s="52" t="s">
        <v>322</v>
      </c>
      <c r="F246" s="53" t="s">
        <v>1384</v>
      </c>
      <c r="G246" s="52" t="s">
        <v>1383</v>
      </c>
      <c r="H246" s="51" t="s">
        <v>1385</v>
      </c>
    </row>
    <row r="247" spans="1:8" x14ac:dyDescent="0.3">
      <c r="A247" s="51" t="s">
        <v>1386</v>
      </c>
      <c r="B247" s="51" t="s">
        <v>1387</v>
      </c>
      <c r="C247" s="52" t="s">
        <v>1388</v>
      </c>
      <c r="D247" s="53" t="s">
        <v>321</v>
      </c>
      <c r="E247" s="52" t="s">
        <v>322</v>
      </c>
      <c r="F247" s="53" t="s">
        <v>1389</v>
      </c>
      <c r="G247" s="52" t="s">
        <v>1388</v>
      </c>
      <c r="H247" s="51" t="s">
        <v>1390</v>
      </c>
    </row>
    <row r="248" spans="1:8" x14ac:dyDescent="0.3">
      <c r="A248" s="51" t="s">
        <v>1391</v>
      </c>
      <c r="B248" s="51" t="s">
        <v>1392</v>
      </c>
      <c r="C248" s="52" t="s">
        <v>1393</v>
      </c>
      <c r="D248" s="53" t="s">
        <v>242</v>
      </c>
      <c r="E248" s="52" t="s">
        <v>243</v>
      </c>
      <c r="F248" s="53" t="s">
        <v>1394</v>
      </c>
      <c r="G248" s="52" t="s">
        <v>1393</v>
      </c>
      <c r="H248" s="51" t="s">
        <v>1395</v>
      </c>
    </row>
    <row r="249" spans="1:8" x14ac:dyDescent="0.3">
      <c r="A249" s="51" t="s">
        <v>1396</v>
      </c>
      <c r="B249" s="51" t="s">
        <v>1397</v>
      </c>
      <c r="C249" s="52" t="s">
        <v>1398</v>
      </c>
      <c r="D249" s="53" t="s">
        <v>166</v>
      </c>
      <c r="E249" s="52" t="s">
        <v>167</v>
      </c>
      <c r="F249" s="53" t="s">
        <v>1399</v>
      </c>
      <c r="G249" s="52" t="s">
        <v>1398</v>
      </c>
      <c r="H249" s="51" t="s">
        <v>1400</v>
      </c>
    </row>
    <row r="250" spans="1:8" x14ac:dyDescent="0.3">
      <c r="A250" s="51" t="s">
        <v>1401</v>
      </c>
      <c r="B250" s="51" t="s">
        <v>1402</v>
      </c>
      <c r="C250" s="52" t="s">
        <v>1403</v>
      </c>
      <c r="D250" s="53" t="s">
        <v>166</v>
      </c>
      <c r="E250" s="52" t="s">
        <v>167</v>
      </c>
      <c r="F250" s="53" t="s">
        <v>1404</v>
      </c>
      <c r="G250" s="52" t="s">
        <v>1403</v>
      </c>
      <c r="H250" s="51" t="s">
        <v>1405</v>
      </c>
    </row>
    <row r="251" spans="1:8" x14ac:dyDescent="0.3">
      <c r="A251" s="51" t="s">
        <v>1406</v>
      </c>
      <c r="B251" s="51" t="s">
        <v>1407</v>
      </c>
      <c r="C251" s="52" t="s">
        <v>1408</v>
      </c>
      <c r="D251" s="53" t="s">
        <v>166</v>
      </c>
      <c r="E251" s="52" t="s">
        <v>167</v>
      </c>
      <c r="F251" s="53" t="s">
        <v>1409</v>
      </c>
      <c r="G251" s="52" t="s">
        <v>1408</v>
      </c>
      <c r="H251" s="51" t="s">
        <v>1410</v>
      </c>
    </row>
    <row r="252" spans="1:8" x14ac:dyDescent="0.3">
      <c r="A252" s="51" t="s">
        <v>1411</v>
      </c>
      <c r="B252" s="51" t="s">
        <v>1412</v>
      </c>
      <c r="C252" s="52" t="s">
        <v>1413</v>
      </c>
      <c r="D252" s="53" t="s">
        <v>166</v>
      </c>
      <c r="E252" s="52" t="s">
        <v>167</v>
      </c>
      <c r="F252" s="53" t="s">
        <v>1414</v>
      </c>
      <c r="G252" s="52" t="s">
        <v>1413</v>
      </c>
      <c r="H252" s="51" t="s">
        <v>1415</v>
      </c>
    </row>
    <row r="253" spans="1:8" x14ac:dyDescent="0.3">
      <c r="A253" s="51" t="s">
        <v>1416</v>
      </c>
      <c r="B253" s="51" t="s">
        <v>1417</v>
      </c>
      <c r="C253" s="52" t="s">
        <v>1418</v>
      </c>
      <c r="D253" s="53" t="s">
        <v>523</v>
      </c>
      <c r="E253" s="52" t="s">
        <v>524</v>
      </c>
      <c r="F253" s="53" t="s">
        <v>1419</v>
      </c>
      <c r="G253" s="52" t="s">
        <v>1418</v>
      </c>
      <c r="H253" s="51" t="s">
        <v>1420</v>
      </c>
    </row>
    <row r="254" spans="1:8" x14ac:dyDescent="0.3">
      <c r="A254" s="51" t="s">
        <v>1421</v>
      </c>
      <c r="B254" s="51" t="s">
        <v>1422</v>
      </c>
      <c r="C254" s="52" t="s">
        <v>1423</v>
      </c>
      <c r="D254" s="53" t="s">
        <v>166</v>
      </c>
      <c r="E254" s="52" t="s">
        <v>167</v>
      </c>
      <c r="F254" s="53" t="s">
        <v>1424</v>
      </c>
      <c r="G254" s="52" t="s">
        <v>1423</v>
      </c>
      <c r="H254" s="51" t="s">
        <v>1425</v>
      </c>
    </row>
    <row r="255" spans="1:8" x14ac:dyDescent="0.3">
      <c r="A255" s="51" t="s">
        <v>1426</v>
      </c>
      <c r="B255" s="51" t="s">
        <v>1427</v>
      </c>
      <c r="C255" s="52" t="s">
        <v>1428</v>
      </c>
      <c r="D255" s="53" t="s">
        <v>166</v>
      </c>
      <c r="E255" s="52" t="s">
        <v>167</v>
      </c>
      <c r="F255" s="53" t="s">
        <v>1429</v>
      </c>
      <c r="G255" s="52" t="s">
        <v>1428</v>
      </c>
      <c r="H255" s="51" t="s">
        <v>1430</v>
      </c>
    </row>
    <row r="256" spans="1:8" x14ac:dyDescent="0.3">
      <c r="A256" s="51" t="s">
        <v>1431</v>
      </c>
      <c r="B256" s="51" t="s">
        <v>1432</v>
      </c>
      <c r="C256" s="52" t="s">
        <v>1433</v>
      </c>
      <c r="D256" s="53" t="s">
        <v>166</v>
      </c>
      <c r="E256" s="52" t="s">
        <v>167</v>
      </c>
      <c r="F256" s="53" t="s">
        <v>1434</v>
      </c>
      <c r="G256" s="52" t="s">
        <v>1433</v>
      </c>
      <c r="H256" s="51" t="s">
        <v>1435</v>
      </c>
    </row>
    <row r="257" spans="1:8" x14ac:dyDescent="0.3">
      <c r="A257" s="51" t="s">
        <v>1436</v>
      </c>
      <c r="B257" s="51" t="s">
        <v>1437</v>
      </c>
      <c r="C257" s="52" t="s">
        <v>1438</v>
      </c>
      <c r="D257" s="53" t="s">
        <v>166</v>
      </c>
      <c r="E257" s="52" t="s">
        <v>167</v>
      </c>
      <c r="F257" s="53" t="s">
        <v>1439</v>
      </c>
      <c r="G257" s="52" t="s">
        <v>1438</v>
      </c>
      <c r="H257" s="51" t="s">
        <v>1440</v>
      </c>
    </row>
    <row r="258" spans="1:8" x14ac:dyDescent="0.3">
      <c r="A258" s="51" t="s">
        <v>1441</v>
      </c>
      <c r="B258" s="51" t="s">
        <v>1442</v>
      </c>
      <c r="C258" s="52" t="s">
        <v>1443</v>
      </c>
      <c r="D258" s="53" t="s">
        <v>213</v>
      </c>
      <c r="E258" s="52" t="s">
        <v>214</v>
      </c>
      <c r="F258" s="53" t="s">
        <v>1444</v>
      </c>
      <c r="G258" s="52" t="s">
        <v>1443</v>
      </c>
      <c r="H258" s="51" t="s">
        <v>1445</v>
      </c>
    </row>
    <row r="259" spans="1:8" x14ac:dyDescent="0.3">
      <c r="A259" s="51" t="s">
        <v>1446</v>
      </c>
      <c r="B259" s="51" t="s">
        <v>1447</v>
      </c>
      <c r="C259" s="52" t="s">
        <v>1448</v>
      </c>
      <c r="D259" s="53" t="s">
        <v>166</v>
      </c>
      <c r="E259" s="52" t="s">
        <v>167</v>
      </c>
      <c r="F259" s="53" t="s">
        <v>1449</v>
      </c>
      <c r="G259" s="52" t="s">
        <v>1448</v>
      </c>
      <c r="H259" s="51" t="s">
        <v>1450</v>
      </c>
    </row>
    <row r="260" spans="1:8" x14ac:dyDescent="0.3">
      <c r="A260" s="51" t="s">
        <v>1451</v>
      </c>
      <c r="B260" s="51" t="s">
        <v>1452</v>
      </c>
      <c r="C260" s="52" t="s">
        <v>1453</v>
      </c>
      <c r="D260" s="53" t="s">
        <v>213</v>
      </c>
      <c r="E260" s="52" t="s">
        <v>214</v>
      </c>
      <c r="F260" s="53" t="s">
        <v>1454</v>
      </c>
      <c r="G260" s="52" t="s">
        <v>1453</v>
      </c>
      <c r="H260" s="51" t="s">
        <v>1455</v>
      </c>
    </row>
    <row r="261" spans="1:8" x14ac:dyDescent="0.3">
      <c r="A261" s="51" t="s">
        <v>1456</v>
      </c>
      <c r="B261" s="51" t="s">
        <v>1457</v>
      </c>
      <c r="C261" s="52" t="s">
        <v>1458</v>
      </c>
      <c r="D261" s="53" t="s">
        <v>166</v>
      </c>
      <c r="E261" s="52" t="s">
        <v>167</v>
      </c>
      <c r="F261" s="53" t="s">
        <v>1459</v>
      </c>
      <c r="G261" s="52" t="s">
        <v>1458</v>
      </c>
      <c r="H261" s="51" t="s">
        <v>1460</v>
      </c>
    </row>
    <row r="262" spans="1:8" x14ac:dyDescent="0.3">
      <c r="A262" s="51" t="s">
        <v>1461</v>
      </c>
      <c r="B262" s="51" t="s">
        <v>1462</v>
      </c>
      <c r="C262" s="52" t="s">
        <v>1463</v>
      </c>
      <c r="D262" s="53" t="s">
        <v>166</v>
      </c>
      <c r="E262" s="52" t="s">
        <v>167</v>
      </c>
      <c r="F262" s="53" t="s">
        <v>1464</v>
      </c>
      <c r="G262" s="52" t="s">
        <v>1463</v>
      </c>
      <c r="H262" s="51" t="s">
        <v>1465</v>
      </c>
    </row>
    <row r="263" spans="1:8" x14ac:dyDescent="0.3">
      <c r="A263" s="51" t="s">
        <v>1466</v>
      </c>
      <c r="B263" s="51" t="s">
        <v>1467</v>
      </c>
      <c r="C263" s="52" t="s">
        <v>1468</v>
      </c>
      <c r="D263" s="53" t="s">
        <v>166</v>
      </c>
      <c r="E263" s="52" t="s">
        <v>167</v>
      </c>
      <c r="F263" s="53" t="s">
        <v>1469</v>
      </c>
      <c r="G263" s="52" t="s">
        <v>1468</v>
      </c>
      <c r="H263" s="51" t="s">
        <v>1470</v>
      </c>
    </row>
    <row r="264" spans="1:8" x14ac:dyDescent="0.3">
      <c r="A264" s="51" t="s">
        <v>1471</v>
      </c>
      <c r="B264" s="51" t="s">
        <v>1472</v>
      </c>
      <c r="C264" s="52" t="s">
        <v>1473</v>
      </c>
      <c r="D264" s="53" t="s">
        <v>166</v>
      </c>
      <c r="E264" s="52" t="s">
        <v>167</v>
      </c>
      <c r="F264" s="53" t="s">
        <v>1474</v>
      </c>
      <c r="G264" s="52" t="s">
        <v>1473</v>
      </c>
      <c r="H264" s="51" t="s">
        <v>1475</v>
      </c>
    </row>
    <row r="265" spans="1:8" x14ac:dyDescent="0.3">
      <c r="A265" s="51" t="s">
        <v>1476</v>
      </c>
      <c r="B265" s="51" t="s">
        <v>1477</v>
      </c>
      <c r="C265" s="52" t="s">
        <v>1478</v>
      </c>
      <c r="D265" s="53" t="s">
        <v>321</v>
      </c>
      <c r="E265" s="52" t="s">
        <v>322</v>
      </c>
      <c r="F265" s="53" t="s">
        <v>1479</v>
      </c>
      <c r="G265" s="52" t="s">
        <v>1478</v>
      </c>
      <c r="H265" s="51" t="s">
        <v>1480</v>
      </c>
    </row>
    <row r="266" spans="1:8" x14ac:dyDescent="0.3">
      <c r="A266" s="51" t="s">
        <v>1481</v>
      </c>
      <c r="B266" s="51" t="s">
        <v>1482</v>
      </c>
      <c r="C266" s="52" t="s">
        <v>1483</v>
      </c>
      <c r="D266" s="53" t="s">
        <v>213</v>
      </c>
      <c r="E266" s="52" t="s">
        <v>214</v>
      </c>
      <c r="F266" s="53" t="s">
        <v>1484</v>
      </c>
      <c r="G266" s="52" t="s">
        <v>1483</v>
      </c>
      <c r="H266" s="51" t="s">
        <v>1485</v>
      </c>
    </row>
    <row r="267" spans="1:8" x14ac:dyDescent="0.3">
      <c r="A267" s="51" t="s">
        <v>1486</v>
      </c>
      <c r="B267" s="51" t="s">
        <v>1487</v>
      </c>
      <c r="C267" s="52" t="s">
        <v>1488</v>
      </c>
      <c r="D267" s="53" t="s">
        <v>166</v>
      </c>
      <c r="E267" s="52" t="s">
        <v>167</v>
      </c>
      <c r="F267" s="53" t="s">
        <v>1489</v>
      </c>
      <c r="G267" s="52" t="s">
        <v>1488</v>
      </c>
      <c r="H267" s="51" t="s">
        <v>1490</v>
      </c>
    </row>
    <row r="268" spans="1:8" x14ac:dyDescent="0.3">
      <c r="A268" s="51" t="s">
        <v>1491</v>
      </c>
      <c r="B268" s="51" t="s">
        <v>1492</v>
      </c>
      <c r="C268" s="52" t="s">
        <v>1493</v>
      </c>
      <c r="D268" s="53" t="s">
        <v>166</v>
      </c>
      <c r="E268" s="52" t="s">
        <v>167</v>
      </c>
      <c r="F268" s="53" t="s">
        <v>1494</v>
      </c>
      <c r="G268" s="52" t="s">
        <v>1493</v>
      </c>
      <c r="H268" s="51" t="s">
        <v>1495</v>
      </c>
    </row>
    <row r="269" spans="1:8" x14ac:dyDescent="0.3">
      <c r="A269" s="51" t="s">
        <v>1496</v>
      </c>
      <c r="B269" s="51" t="s">
        <v>1497</v>
      </c>
      <c r="C269" s="52" t="s">
        <v>1498</v>
      </c>
      <c r="D269" s="53" t="s">
        <v>166</v>
      </c>
      <c r="E269" s="52" t="s">
        <v>167</v>
      </c>
      <c r="F269" s="53" t="s">
        <v>1499</v>
      </c>
      <c r="G269" s="52" t="s">
        <v>1498</v>
      </c>
      <c r="H269" s="51" t="s">
        <v>1500</v>
      </c>
    </row>
    <row r="270" spans="1:8" x14ac:dyDescent="0.3">
      <c r="A270" s="51" t="s">
        <v>1501</v>
      </c>
      <c r="B270" s="51" t="s">
        <v>1502</v>
      </c>
      <c r="C270" s="52" t="s">
        <v>1503</v>
      </c>
      <c r="D270" s="53" t="s">
        <v>166</v>
      </c>
      <c r="E270" s="52" t="s">
        <v>167</v>
      </c>
      <c r="F270" s="53" t="s">
        <v>1504</v>
      </c>
      <c r="G270" s="52" t="s">
        <v>1503</v>
      </c>
      <c r="H270" s="51" t="s">
        <v>1505</v>
      </c>
    </row>
    <row r="271" spans="1:8" x14ac:dyDescent="0.3">
      <c r="A271" s="51" t="s">
        <v>1506</v>
      </c>
      <c r="B271" s="51" t="s">
        <v>1507</v>
      </c>
      <c r="C271" s="52" t="s">
        <v>1508</v>
      </c>
      <c r="D271" s="53" t="s">
        <v>166</v>
      </c>
      <c r="E271" s="52" t="s">
        <v>167</v>
      </c>
      <c r="F271" s="53" t="s">
        <v>1509</v>
      </c>
      <c r="G271" s="52" t="s">
        <v>1508</v>
      </c>
      <c r="H271" s="51" t="s">
        <v>1510</v>
      </c>
    </row>
    <row r="272" spans="1:8" x14ac:dyDescent="0.3">
      <c r="A272" s="51" t="s">
        <v>1511</v>
      </c>
      <c r="B272" s="51" t="s">
        <v>1512</v>
      </c>
      <c r="C272" s="52" t="s">
        <v>1513</v>
      </c>
      <c r="D272" s="53" t="s">
        <v>166</v>
      </c>
      <c r="E272" s="52" t="s">
        <v>167</v>
      </c>
      <c r="F272" s="53" t="s">
        <v>1514</v>
      </c>
      <c r="G272" s="52" t="s">
        <v>1513</v>
      </c>
      <c r="H272" s="51" t="s">
        <v>1515</v>
      </c>
    </row>
    <row r="273" spans="1:8" x14ac:dyDescent="0.3">
      <c r="A273" s="51" t="s">
        <v>1516</v>
      </c>
      <c r="B273" s="51" t="s">
        <v>1517</v>
      </c>
      <c r="C273" s="52" t="s">
        <v>1518</v>
      </c>
      <c r="D273" s="53" t="s">
        <v>166</v>
      </c>
      <c r="E273" s="52" t="s">
        <v>167</v>
      </c>
      <c r="F273" s="53" t="s">
        <v>1519</v>
      </c>
      <c r="G273" s="52" t="s">
        <v>1518</v>
      </c>
      <c r="H273" s="51" t="s">
        <v>1520</v>
      </c>
    </row>
    <row r="274" spans="1:8" x14ac:dyDescent="0.3">
      <c r="A274" s="51" t="s">
        <v>1521</v>
      </c>
      <c r="B274" s="51" t="s">
        <v>1522</v>
      </c>
      <c r="C274" s="52" t="s">
        <v>1523</v>
      </c>
      <c r="D274" s="53" t="s">
        <v>166</v>
      </c>
      <c r="E274" s="52" t="s">
        <v>167</v>
      </c>
      <c r="F274" s="53" t="s">
        <v>1524</v>
      </c>
      <c r="G274" s="52" t="s">
        <v>1523</v>
      </c>
      <c r="H274" s="51" t="s">
        <v>1525</v>
      </c>
    </row>
    <row r="275" spans="1:8" x14ac:dyDescent="0.3">
      <c r="A275" s="51" t="s">
        <v>1526</v>
      </c>
      <c r="B275" s="51" t="s">
        <v>1527</v>
      </c>
      <c r="C275" s="52" t="s">
        <v>1528</v>
      </c>
      <c r="D275" s="53" t="s">
        <v>166</v>
      </c>
      <c r="E275" s="52" t="s">
        <v>167</v>
      </c>
      <c r="F275" s="53" t="s">
        <v>1529</v>
      </c>
      <c r="G275" s="52" t="s">
        <v>1528</v>
      </c>
      <c r="H275" s="51" t="s">
        <v>1530</v>
      </c>
    </row>
    <row r="276" spans="1:8" x14ac:dyDescent="0.3">
      <c r="A276" s="51" t="s">
        <v>105</v>
      </c>
      <c r="B276" s="51" t="s">
        <v>1531</v>
      </c>
      <c r="C276" s="52" t="s">
        <v>106</v>
      </c>
      <c r="D276" s="53" t="s">
        <v>1532</v>
      </c>
      <c r="E276" s="52" t="s">
        <v>1533</v>
      </c>
      <c r="F276" s="53" t="s">
        <v>1534</v>
      </c>
      <c r="G276" s="52" t="s">
        <v>106</v>
      </c>
      <c r="H276" s="51" t="s">
        <v>1535</v>
      </c>
    </row>
    <row r="277" spans="1:8" x14ac:dyDescent="0.3">
      <c r="A277" s="51" t="s">
        <v>1536</v>
      </c>
      <c r="B277" s="51" t="s">
        <v>1537</v>
      </c>
      <c r="C277" s="52" t="s">
        <v>1538</v>
      </c>
      <c r="D277" s="53" t="s">
        <v>166</v>
      </c>
      <c r="E277" s="52" t="s">
        <v>167</v>
      </c>
      <c r="F277" s="53" t="s">
        <v>1539</v>
      </c>
      <c r="G277" s="52" t="s">
        <v>1538</v>
      </c>
      <c r="H277" s="51" t="s">
        <v>1540</v>
      </c>
    </row>
    <row r="278" spans="1:8" x14ac:dyDescent="0.3">
      <c r="A278" s="51" t="s">
        <v>1541</v>
      </c>
      <c r="B278" s="51" t="s">
        <v>1542</v>
      </c>
      <c r="C278" s="52" t="s">
        <v>649</v>
      </c>
      <c r="D278" s="53" t="s">
        <v>309</v>
      </c>
      <c r="E278" s="52" t="s">
        <v>310</v>
      </c>
      <c r="F278" s="53" t="s">
        <v>1543</v>
      </c>
      <c r="G278" s="52" t="s">
        <v>649</v>
      </c>
      <c r="H278" s="51" t="s">
        <v>1544</v>
      </c>
    </row>
    <row r="279" spans="1:8" x14ac:dyDescent="0.3">
      <c r="A279" s="51" t="s">
        <v>1545</v>
      </c>
      <c r="B279" s="51" t="s">
        <v>1546</v>
      </c>
      <c r="C279" s="52" t="s">
        <v>1547</v>
      </c>
      <c r="D279" s="53" t="s">
        <v>166</v>
      </c>
      <c r="E279" s="52" t="s">
        <v>167</v>
      </c>
      <c r="F279" s="53" t="s">
        <v>1548</v>
      </c>
      <c r="G279" s="52" t="s">
        <v>1547</v>
      </c>
      <c r="H279" s="51" t="s">
        <v>1549</v>
      </c>
    </row>
    <row r="280" spans="1:8" x14ac:dyDescent="0.3">
      <c r="A280" s="51" t="s">
        <v>1550</v>
      </c>
      <c r="B280" s="51" t="s">
        <v>1551</v>
      </c>
      <c r="C280" s="52" t="s">
        <v>1552</v>
      </c>
      <c r="D280" s="53" t="s">
        <v>166</v>
      </c>
      <c r="E280" s="52" t="s">
        <v>167</v>
      </c>
      <c r="F280" s="53" t="s">
        <v>1553</v>
      </c>
      <c r="G280" s="52" t="s">
        <v>1552</v>
      </c>
      <c r="H280" s="51" t="s">
        <v>1554</v>
      </c>
    </row>
    <row r="281" spans="1:8" x14ac:dyDescent="0.3">
      <c r="A281" s="51" t="s">
        <v>1555</v>
      </c>
      <c r="B281" s="51" t="s">
        <v>1556</v>
      </c>
      <c r="C281" s="52" t="s">
        <v>1557</v>
      </c>
      <c r="D281" s="53" t="s">
        <v>166</v>
      </c>
      <c r="E281" s="52" t="s">
        <v>167</v>
      </c>
      <c r="F281" s="53" t="s">
        <v>1558</v>
      </c>
      <c r="G281" s="52" t="s">
        <v>1557</v>
      </c>
      <c r="H281" s="51" t="s">
        <v>1559</v>
      </c>
    </row>
    <row r="282" spans="1:8" x14ac:dyDescent="0.3">
      <c r="A282" s="51" t="s">
        <v>1560</v>
      </c>
      <c r="B282" s="51" t="s">
        <v>1561</v>
      </c>
      <c r="C282" s="52" t="s">
        <v>1562</v>
      </c>
      <c r="D282" s="53" t="s">
        <v>213</v>
      </c>
      <c r="E282" s="52" t="s">
        <v>214</v>
      </c>
      <c r="F282" s="53" t="s">
        <v>1563</v>
      </c>
      <c r="G282" s="52" t="s">
        <v>1562</v>
      </c>
      <c r="H282" s="51" t="s">
        <v>1564</v>
      </c>
    </row>
    <row r="283" spans="1:8" x14ac:dyDescent="0.3">
      <c r="A283" s="51" t="s">
        <v>1565</v>
      </c>
      <c r="B283" s="51" t="s">
        <v>1566</v>
      </c>
      <c r="C283" s="52" t="s">
        <v>1567</v>
      </c>
      <c r="D283" s="53" t="s">
        <v>523</v>
      </c>
      <c r="E283" s="52" t="s">
        <v>524</v>
      </c>
      <c r="F283" s="53" t="s">
        <v>1568</v>
      </c>
      <c r="G283" s="52" t="s">
        <v>1567</v>
      </c>
      <c r="H283" s="51" t="s">
        <v>1569</v>
      </c>
    </row>
    <row r="284" spans="1:8" x14ac:dyDescent="0.3">
      <c r="A284" s="51" t="s">
        <v>1570</v>
      </c>
      <c r="B284" s="51" t="s">
        <v>1571</v>
      </c>
      <c r="C284" s="52" t="s">
        <v>1572</v>
      </c>
      <c r="D284" s="53" t="s">
        <v>166</v>
      </c>
      <c r="E284" s="52" t="s">
        <v>167</v>
      </c>
      <c r="F284" s="53" t="s">
        <v>1573</v>
      </c>
      <c r="G284" s="52" t="s">
        <v>1572</v>
      </c>
      <c r="H284" s="51" t="s">
        <v>1574</v>
      </c>
    </row>
    <row r="285" spans="1:8" x14ac:dyDescent="0.3">
      <c r="A285" s="51" t="s">
        <v>1575</v>
      </c>
      <c r="B285" s="51" t="s">
        <v>1576</v>
      </c>
      <c r="C285" s="52" t="s">
        <v>1577</v>
      </c>
      <c r="D285" s="53" t="s">
        <v>523</v>
      </c>
      <c r="E285" s="52" t="s">
        <v>524</v>
      </c>
      <c r="F285" s="53" t="s">
        <v>1578</v>
      </c>
      <c r="G285" s="52" t="s">
        <v>1577</v>
      </c>
      <c r="H285" s="51" t="s">
        <v>1579</v>
      </c>
    </row>
    <row r="286" spans="1:8" x14ac:dyDescent="0.3">
      <c r="A286" s="51" t="s">
        <v>1580</v>
      </c>
      <c r="B286" s="51" t="s">
        <v>1581</v>
      </c>
      <c r="C286" s="52" t="s">
        <v>1582</v>
      </c>
      <c r="D286" s="53" t="s">
        <v>321</v>
      </c>
      <c r="E286" s="52" t="s">
        <v>322</v>
      </c>
      <c r="F286" s="53" t="s">
        <v>1583</v>
      </c>
      <c r="G286" s="52" t="s">
        <v>1582</v>
      </c>
      <c r="H286" s="51" t="s">
        <v>1584</v>
      </c>
    </row>
    <row r="287" spans="1:8" x14ac:dyDescent="0.3">
      <c r="A287" s="51" t="s">
        <v>1585</v>
      </c>
      <c r="B287" s="51" t="s">
        <v>1586</v>
      </c>
      <c r="C287" s="52" t="s">
        <v>1587</v>
      </c>
      <c r="D287" s="53" t="s">
        <v>166</v>
      </c>
      <c r="E287" s="52" t="s">
        <v>167</v>
      </c>
      <c r="F287" s="53" t="s">
        <v>1588</v>
      </c>
      <c r="G287" s="52" t="s">
        <v>1587</v>
      </c>
      <c r="H287" s="51" t="s">
        <v>1589</v>
      </c>
    </row>
    <row r="288" spans="1:8" x14ac:dyDescent="0.3">
      <c r="A288" s="51" t="s">
        <v>1590</v>
      </c>
      <c r="B288" s="51" t="s">
        <v>1591</v>
      </c>
      <c r="C288" s="52" t="s">
        <v>1592</v>
      </c>
      <c r="D288" s="53" t="s">
        <v>321</v>
      </c>
      <c r="E288" s="52" t="s">
        <v>322</v>
      </c>
      <c r="F288" s="53" t="s">
        <v>1593</v>
      </c>
      <c r="G288" s="52" t="s">
        <v>1592</v>
      </c>
      <c r="H288" s="51" t="s">
        <v>1594</v>
      </c>
    </row>
    <row r="289" spans="1:8" x14ac:dyDescent="0.3">
      <c r="A289" s="51" t="s">
        <v>1595</v>
      </c>
      <c r="B289" s="51" t="s">
        <v>1596</v>
      </c>
      <c r="C289" s="52" t="s">
        <v>1597</v>
      </c>
      <c r="D289" s="53" t="s">
        <v>321</v>
      </c>
      <c r="E289" s="52" t="s">
        <v>322</v>
      </c>
      <c r="F289" s="53" t="s">
        <v>1598</v>
      </c>
      <c r="G289" s="52" t="s">
        <v>1597</v>
      </c>
      <c r="H289" s="51" t="s">
        <v>1599</v>
      </c>
    </row>
    <row r="290" spans="1:8" x14ac:dyDescent="0.3">
      <c r="A290" s="51" t="s">
        <v>1600</v>
      </c>
      <c r="B290" s="51" t="s">
        <v>1601</v>
      </c>
      <c r="C290" s="52" t="s">
        <v>1602</v>
      </c>
      <c r="D290" s="53" t="s">
        <v>220</v>
      </c>
      <c r="E290" s="52" t="s">
        <v>221</v>
      </c>
      <c r="F290" s="53" t="s">
        <v>1603</v>
      </c>
      <c r="G290" s="52" t="s">
        <v>1602</v>
      </c>
      <c r="H290" s="51" t="s">
        <v>1604</v>
      </c>
    </row>
    <row r="291" spans="1:8" x14ac:dyDescent="0.3">
      <c r="A291" s="51" t="s">
        <v>107</v>
      </c>
      <c r="B291" s="51" t="s">
        <v>1605</v>
      </c>
      <c r="C291" s="52" t="s">
        <v>108</v>
      </c>
      <c r="D291" s="53" t="s">
        <v>166</v>
      </c>
      <c r="E291" s="52" t="s">
        <v>167</v>
      </c>
      <c r="F291" s="53" t="s">
        <v>1606</v>
      </c>
      <c r="G291" s="52" t="s">
        <v>108</v>
      </c>
      <c r="H291" s="51" t="s">
        <v>1607</v>
      </c>
    </row>
    <row r="292" spans="1:8" x14ac:dyDescent="0.3">
      <c r="A292" s="51" t="s">
        <v>1608</v>
      </c>
      <c r="B292" s="51" t="s">
        <v>1609</v>
      </c>
      <c r="C292" s="52" t="s">
        <v>1610</v>
      </c>
      <c r="D292" s="53" t="s">
        <v>321</v>
      </c>
      <c r="E292" s="52" t="s">
        <v>322</v>
      </c>
      <c r="F292" s="53" t="s">
        <v>1611</v>
      </c>
      <c r="G292" s="52" t="s">
        <v>1610</v>
      </c>
      <c r="H292" s="51" t="s">
        <v>1612</v>
      </c>
    </row>
    <row r="293" spans="1:8" x14ac:dyDescent="0.3">
      <c r="A293" s="51" t="s">
        <v>1613</v>
      </c>
      <c r="B293" s="51" t="s">
        <v>1614</v>
      </c>
      <c r="C293" s="52" t="s">
        <v>1615</v>
      </c>
      <c r="D293" s="53" t="s">
        <v>213</v>
      </c>
      <c r="E293" s="52" t="s">
        <v>214</v>
      </c>
      <c r="F293" s="53" t="s">
        <v>1616</v>
      </c>
      <c r="G293" s="52" t="s">
        <v>1615</v>
      </c>
      <c r="H293" s="51" t="s">
        <v>1617</v>
      </c>
    </row>
    <row r="294" spans="1:8" x14ac:dyDescent="0.3">
      <c r="A294" s="51" t="s">
        <v>1618</v>
      </c>
      <c r="B294" s="51" t="s">
        <v>1619</v>
      </c>
      <c r="C294" s="52" t="s">
        <v>1620</v>
      </c>
      <c r="D294" s="53" t="s">
        <v>166</v>
      </c>
      <c r="E294" s="52" t="s">
        <v>167</v>
      </c>
      <c r="F294" s="53" t="s">
        <v>1621</v>
      </c>
      <c r="G294" s="52" t="s">
        <v>1620</v>
      </c>
      <c r="H294" s="51" t="s">
        <v>1622</v>
      </c>
    </row>
    <row r="295" spans="1:8" x14ac:dyDescent="0.3">
      <c r="A295" s="51" t="s">
        <v>1623</v>
      </c>
      <c r="B295" s="51" t="s">
        <v>1624</v>
      </c>
      <c r="C295" s="52" t="s">
        <v>1625</v>
      </c>
      <c r="D295" s="53" t="s">
        <v>321</v>
      </c>
      <c r="E295" s="52" t="s">
        <v>322</v>
      </c>
      <c r="F295" s="53" t="s">
        <v>1626</v>
      </c>
      <c r="G295" s="52" t="s">
        <v>1625</v>
      </c>
      <c r="H295" s="51" t="s">
        <v>1627</v>
      </c>
    </row>
    <row r="296" spans="1:8" x14ac:dyDescent="0.3">
      <c r="A296" s="51" t="s">
        <v>1628</v>
      </c>
      <c r="B296" s="51" t="s">
        <v>1629</v>
      </c>
      <c r="C296" s="52" t="s">
        <v>1630</v>
      </c>
      <c r="D296" s="53" t="s">
        <v>242</v>
      </c>
      <c r="E296" s="52" t="s">
        <v>243</v>
      </c>
      <c r="F296" s="53" t="s">
        <v>1631</v>
      </c>
      <c r="G296" s="52" t="s">
        <v>1630</v>
      </c>
      <c r="H296" s="51" t="s">
        <v>1632</v>
      </c>
    </row>
    <row r="297" spans="1:8" x14ac:dyDescent="0.3">
      <c r="A297" s="51" t="s">
        <v>1633</v>
      </c>
      <c r="B297" s="51" t="s">
        <v>1634</v>
      </c>
      <c r="C297" s="52" t="s">
        <v>1635</v>
      </c>
      <c r="D297" s="53" t="s">
        <v>166</v>
      </c>
      <c r="E297" s="52" t="s">
        <v>167</v>
      </c>
      <c r="F297" s="53" t="s">
        <v>1636</v>
      </c>
      <c r="G297" s="52" t="s">
        <v>1635</v>
      </c>
      <c r="H297" s="51" t="s">
        <v>1637</v>
      </c>
    </row>
    <row r="298" spans="1:8" x14ac:dyDescent="0.3">
      <c r="A298" s="51" t="s">
        <v>1638</v>
      </c>
      <c r="B298" s="51" t="s">
        <v>1639</v>
      </c>
      <c r="C298" s="52" t="s">
        <v>1640</v>
      </c>
      <c r="D298" s="53" t="s">
        <v>1641</v>
      </c>
      <c r="E298" s="52" t="s">
        <v>1642</v>
      </c>
      <c r="F298" s="53" t="s">
        <v>1643</v>
      </c>
      <c r="G298" s="52" t="s">
        <v>1640</v>
      </c>
      <c r="H298" s="51" t="s">
        <v>1644</v>
      </c>
    </row>
    <row r="299" spans="1:8" x14ac:dyDescent="0.3">
      <c r="A299" s="51" t="s">
        <v>1645</v>
      </c>
      <c r="B299" s="51" t="s">
        <v>1646</v>
      </c>
      <c r="C299" s="52" t="s">
        <v>1647</v>
      </c>
      <c r="D299" s="53" t="s">
        <v>166</v>
      </c>
      <c r="E299" s="52" t="s">
        <v>167</v>
      </c>
      <c r="F299" s="53" t="s">
        <v>1648</v>
      </c>
      <c r="G299" s="52" t="s">
        <v>1647</v>
      </c>
      <c r="H299" s="51" t="s">
        <v>1649</v>
      </c>
    </row>
    <row r="300" spans="1:8" x14ac:dyDescent="0.3">
      <c r="A300" s="51" t="s">
        <v>1650</v>
      </c>
      <c r="B300" s="51" t="s">
        <v>1651</v>
      </c>
      <c r="C300" s="52" t="s">
        <v>1652</v>
      </c>
      <c r="D300" s="53" t="s">
        <v>1653</v>
      </c>
      <c r="E300" s="52" t="s">
        <v>1654</v>
      </c>
      <c r="F300" s="53" t="s">
        <v>1655</v>
      </c>
      <c r="G300" s="52" t="s">
        <v>1652</v>
      </c>
      <c r="H300" s="51" t="s">
        <v>1656</v>
      </c>
    </row>
    <row r="301" spans="1:8" x14ac:dyDescent="0.3">
      <c r="A301" s="51" t="s">
        <v>1657</v>
      </c>
      <c r="B301" s="51" t="s">
        <v>1658</v>
      </c>
      <c r="C301" s="52" t="s">
        <v>1659</v>
      </c>
      <c r="D301" s="53" t="s">
        <v>242</v>
      </c>
      <c r="E301" s="52" t="s">
        <v>243</v>
      </c>
      <c r="F301" s="53" t="s">
        <v>1660</v>
      </c>
      <c r="G301" s="52" t="s">
        <v>1659</v>
      </c>
      <c r="H301" s="51" t="s">
        <v>1661</v>
      </c>
    </row>
    <row r="302" spans="1:8" x14ac:dyDescent="0.3">
      <c r="A302" s="51" t="s">
        <v>109</v>
      </c>
      <c r="B302" s="51" t="s">
        <v>1662</v>
      </c>
      <c r="C302" s="52" t="s">
        <v>110</v>
      </c>
      <c r="D302" s="53" t="s">
        <v>166</v>
      </c>
      <c r="E302" s="52" t="s">
        <v>167</v>
      </c>
      <c r="F302" s="53" t="s">
        <v>1663</v>
      </c>
      <c r="G302" s="52" t="s">
        <v>110</v>
      </c>
      <c r="H302" s="51" t="s">
        <v>1664</v>
      </c>
    </row>
    <row r="303" spans="1:8" x14ac:dyDescent="0.3">
      <c r="A303" s="51" t="s">
        <v>1665</v>
      </c>
      <c r="B303" s="51" t="s">
        <v>1666</v>
      </c>
      <c r="C303" s="52" t="s">
        <v>1667</v>
      </c>
      <c r="D303" s="53" t="s">
        <v>220</v>
      </c>
      <c r="E303" s="52" t="s">
        <v>221</v>
      </c>
      <c r="F303" s="53" t="s">
        <v>1668</v>
      </c>
      <c r="G303" s="52" t="s">
        <v>1667</v>
      </c>
      <c r="H303" s="51" t="s">
        <v>1669</v>
      </c>
    </row>
    <row r="304" spans="1:8" x14ac:dyDescent="0.3">
      <c r="A304" s="51" t="s">
        <v>1670</v>
      </c>
      <c r="B304" s="51" t="s">
        <v>1671</v>
      </c>
      <c r="C304" s="52" t="s">
        <v>1672</v>
      </c>
      <c r="D304" s="53" t="s">
        <v>523</v>
      </c>
      <c r="E304" s="52" t="s">
        <v>524</v>
      </c>
      <c r="F304" s="53" t="s">
        <v>1673</v>
      </c>
      <c r="G304" s="52" t="s">
        <v>1672</v>
      </c>
      <c r="H304" s="51" t="s">
        <v>1674</v>
      </c>
    </row>
    <row r="305" spans="1:8" x14ac:dyDescent="0.3">
      <c r="A305" s="51" t="s">
        <v>1675</v>
      </c>
      <c r="B305" s="51" t="s">
        <v>1676</v>
      </c>
      <c r="C305" s="52" t="s">
        <v>1677</v>
      </c>
      <c r="D305" s="53" t="s">
        <v>1678</v>
      </c>
      <c r="E305" s="52" t="s">
        <v>1679</v>
      </c>
      <c r="F305" s="53" t="s">
        <v>1680</v>
      </c>
      <c r="G305" s="52" t="s">
        <v>1677</v>
      </c>
      <c r="H305" s="51" t="s">
        <v>1681</v>
      </c>
    </row>
    <row r="306" spans="1:8" x14ac:dyDescent="0.3">
      <c r="A306" s="51" t="s">
        <v>1682</v>
      </c>
      <c r="B306" s="51" t="s">
        <v>1683</v>
      </c>
      <c r="C306" s="52" t="s">
        <v>1684</v>
      </c>
      <c r="D306" s="53" t="s">
        <v>1685</v>
      </c>
      <c r="E306" s="52" t="s">
        <v>1686</v>
      </c>
      <c r="F306" s="53" t="s">
        <v>1687</v>
      </c>
      <c r="G306" s="52" t="s">
        <v>1684</v>
      </c>
      <c r="H306" s="51" t="s">
        <v>1688</v>
      </c>
    </row>
    <row r="307" spans="1:8" x14ac:dyDescent="0.3">
      <c r="A307" s="51" t="s">
        <v>1689</v>
      </c>
      <c r="B307" s="51" t="s">
        <v>1690</v>
      </c>
      <c r="C307" s="52" t="s">
        <v>1691</v>
      </c>
      <c r="D307" s="53" t="s">
        <v>242</v>
      </c>
      <c r="E307" s="52" t="s">
        <v>243</v>
      </c>
      <c r="F307" s="53" t="s">
        <v>1692</v>
      </c>
      <c r="G307" s="52" t="s">
        <v>1691</v>
      </c>
      <c r="H307" s="51" t="s">
        <v>1693</v>
      </c>
    </row>
    <row r="308" spans="1:8" x14ac:dyDescent="0.3">
      <c r="A308" s="51" t="s">
        <v>1694</v>
      </c>
      <c r="B308" s="51" t="s">
        <v>1695</v>
      </c>
      <c r="C308" s="52" t="s">
        <v>1696</v>
      </c>
      <c r="D308" s="53" t="s">
        <v>166</v>
      </c>
      <c r="E308" s="52" t="s">
        <v>167</v>
      </c>
      <c r="F308" s="53" t="s">
        <v>1697</v>
      </c>
      <c r="G308" s="52" t="s">
        <v>1696</v>
      </c>
      <c r="H308" s="51" t="s">
        <v>1698</v>
      </c>
    </row>
    <row r="309" spans="1:8" x14ac:dyDescent="0.3">
      <c r="A309" s="51" t="s">
        <v>1699</v>
      </c>
      <c r="B309" s="51" t="s">
        <v>1700</v>
      </c>
      <c r="C309" s="52" t="s">
        <v>1701</v>
      </c>
      <c r="D309" s="53" t="s">
        <v>166</v>
      </c>
      <c r="E309" s="52" t="s">
        <v>167</v>
      </c>
      <c r="F309" s="53" t="s">
        <v>1702</v>
      </c>
      <c r="G309" s="52" t="s">
        <v>1701</v>
      </c>
      <c r="H309" s="51" t="s">
        <v>1703</v>
      </c>
    </row>
    <row r="310" spans="1:8" x14ac:dyDescent="0.3">
      <c r="A310" s="51" t="s">
        <v>1704</v>
      </c>
      <c r="B310" s="51" t="s">
        <v>1705</v>
      </c>
      <c r="C310" s="52" t="s">
        <v>1706</v>
      </c>
      <c r="D310" s="53" t="s">
        <v>321</v>
      </c>
      <c r="E310" s="52" t="s">
        <v>322</v>
      </c>
      <c r="F310" s="53" t="s">
        <v>1707</v>
      </c>
      <c r="G310" s="52" t="s">
        <v>1706</v>
      </c>
      <c r="H310" s="51" t="s">
        <v>1708</v>
      </c>
    </row>
    <row r="311" spans="1:8" x14ac:dyDescent="0.3">
      <c r="A311" s="51" t="s">
        <v>1709</v>
      </c>
      <c r="B311" s="51" t="s">
        <v>1710</v>
      </c>
      <c r="C311" s="52" t="s">
        <v>1711</v>
      </c>
      <c r="D311" s="53" t="s">
        <v>166</v>
      </c>
      <c r="E311" s="52" t="s">
        <v>167</v>
      </c>
      <c r="F311" s="53" t="s">
        <v>1712</v>
      </c>
      <c r="G311" s="52" t="s">
        <v>1711</v>
      </c>
      <c r="H311" s="51" t="s">
        <v>1713</v>
      </c>
    </row>
    <row r="312" spans="1:8" x14ac:dyDescent="0.3">
      <c r="A312" s="51" t="s">
        <v>1714</v>
      </c>
      <c r="B312" s="51" t="s">
        <v>1715</v>
      </c>
      <c r="C312" s="52" t="s">
        <v>1716</v>
      </c>
      <c r="D312" s="53" t="s">
        <v>166</v>
      </c>
      <c r="E312" s="52" t="s">
        <v>167</v>
      </c>
      <c r="F312" s="53" t="s">
        <v>1717</v>
      </c>
      <c r="G312" s="52" t="s">
        <v>1716</v>
      </c>
      <c r="H312" s="51" t="s">
        <v>1718</v>
      </c>
    </row>
    <row r="313" spans="1:8" x14ac:dyDescent="0.3">
      <c r="A313" s="51" t="s">
        <v>1719</v>
      </c>
      <c r="B313" s="51" t="s">
        <v>1720</v>
      </c>
      <c r="C313" s="52" t="s">
        <v>1721</v>
      </c>
      <c r="D313" s="53" t="s">
        <v>166</v>
      </c>
      <c r="E313" s="52" t="s">
        <v>167</v>
      </c>
      <c r="F313" s="53" t="s">
        <v>1722</v>
      </c>
      <c r="G313" s="52" t="s">
        <v>1721</v>
      </c>
      <c r="H313" s="51" t="s">
        <v>1723</v>
      </c>
    </row>
    <row r="314" spans="1:8" x14ac:dyDescent="0.3">
      <c r="A314" s="51" t="s">
        <v>1724</v>
      </c>
      <c r="B314" s="51" t="s">
        <v>1725</v>
      </c>
      <c r="C314" s="52" t="s">
        <v>1726</v>
      </c>
      <c r="D314" s="53" t="s">
        <v>166</v>
      </c>
      <c r="E314" s="52" t="s">
        <v>167</v>
      </c>
      <c r="F314" s="53" t="s">
        <v>1727</v>
      </c>
      <c r="G314" s="52" t="s">
        <v>1726</v>
      </c>
      <c r="H314" s="51" t="s">
        <v>1728</v>
      </c>
    </row>
    <row r="315" spans="1:8" x14ac:dyDescent="0.3">
      <c r="A315" s="51" t="s">
        <v>1729</v>
      </c>
      <c r="B315" s="51" t="s">
        <v>1730</v>
      </c>
      <c r="C315" s="52" t="s">
        <v>1731</v>
      </c>
      <c r="D315" s="53" t="s">
        <v>321</v>
      </c>
      <c r="E315" s="52" t="s">
        <v>322</v>
      </c>
      <c r="F315" s="53" t="s">
        <v>1732</v>
      </c>
      <c r="G315" s="52" t="s">
        <v>1731</v>
      </c>
      <c r="H315" s="51" t="s">
        <v>1733</v>
      </c>
    </row>
    <row r="316" spans="1:8" x14ac:dyDescent="0.3">
      <c r="A316" s="51" t="s">
        <v>1734</v>
      </c>
      <c r="B316" s="51" t="s">
        <v>1735</v>
      </c>
      <c r="C316" s="52" t="s">
        <v>1736</v>
      </c>
      <c r="D316" s="53" t="s">
        <v>166</v>
      </c>
      <c r="E316" s="52" t="s">
        <v>167</v>
      </c>
      <c r="F316" s="53" t="s">
        <v>1737</v>
      </c>
      <c r="G316" s="52" t="s">
        <v>1736</v>
      </c>
      <c r="H316" s="51" t="s">
        <v>1738</v>
      </c>
    </row>
    <row r="317" spans="1:8" x14ac:dyDescent="0.3">
      <c r="A317" s="51" t="s">
        <v>1739</v>
      </c>
      <c r="B317" s="51" t="s">
        <v>1740</v>
      </c>
      <c r="C317" s="52" t="s">
        <v>1741</v>
      </c>
      <c r="D317" s="53" t="s">
        <v>166</v>
      </c>
      <c r="E317" s="52" t="s">
        <v>167</v>
      </c>
      <c r="F317" s="53" t="s">
        <v>1742</v>
      </c>
      <c r="G317" s="52" t="s">
        <v>1741</v>
      </c>
      <c r="H317" s="51" t="s">
        <v>1743</v>
      </c>
    </row>
    <row r="318" spans="1:8" x14ac:dyDescent="0.3">
      <c r="A318" s="51" t="s">
        <v>1744</v>
      </c>
      <c r="B318" s="51" t="s">
        <v>1745</v>
      </c>
      <c r="C318" s="52" t="s">
        <v>1746</v>
      </c>
      <c r="D318" s="53" t="s">
        <v>166</v>
      </c>
      <c r="E318" s="52" t="s">
        <v>167</v>
      </c>
      <c r="F318" s="53" t="s">
        <v>1747</v>
      </c>
      <c r="G318" s="52" t="s">
        <v>1746</v>
      </c>
      <c r="H318" s="51" t="s">
        <v>1748</v>
      </c>
    </row>
    <row r="319" spans="1:8" x14ac:dyDescent="0.3">
      <c r="A319" s="51" t="s">
        <v>1749</v>
      </c>
      <c r="B319" s="51" t="s">
        <v>1750</v>
      </c>
      <c r="C319" s="52" t="s">
        <v>1751</v>
      </c>
      <c r="D319" s="53" t="s">
        <v>166</v>
      </c>
      <c r="E319" s="52" t="s">
        <v>167</v>
      </c>
      <c r="F319" s="53" t="s">
        <v>1752</v>
      </c>
      <c r="G319" s="52" t="s">
        <v>1751</v>
      </c>
      <c r="H319" s="51" t="s">
        <v>1753</v>
      </c>
    </row>
    <row r="320" spans="1:8" x14ac:dyDescent="0.3">
      <c r="A320" s="51" t="s">
        <v>1754</v>
      </c>
      <c r="B320" s="51" t="s">
        <v>1755</v>
      </c>
      <c r="C320" s="52" t="s">
        <v>1756</v>
      </c>
      <c r="D320" s="53" t="s">
        <v>166</v>
      </c>
      <c r="E320" s="52" t="s">
        <v>167</v>
      </c>
      <c r="F320" s="53" t="s">
        <v>1757</v>
      </c>
      <c r="G320" s="52" t="s">
        <v>1756</v>
      </c>
      <c r="H320" s="51" t="s">
        <v>1758</v>
      </c>
    </row>
    <row r="321" spans="1:8" x14ac:dyDescent="0.3">
      <c r="A321" s="51" t="s">
        <v>1759</v>
      </c>
      <c r="B321" s="51" t="s">
        <v>1760</v>
      </c>
      <c r="C321" s="52" t="s">
        <v>1761</v>
      </c>
      <c r="D321" s="53" t="s">
        <v>166</v>
      </c>
      <c r="E321" s="52" t="s">
        <v>167</v>
      </c>
      <c r="F321" s="53" t="s">
        <v>1762</v>
      </c>
      <c r="G321" s="52" t="s">
        <v>1761</v>
      </c>
      <c r="H321" s="51" t="s">
        <v>1763</v>
      </c>
    </row>
    <row r="322" spans="1:8" x14ac:dyDescent="0.3">
      <c r="A322" s="51" t="s">
        <v>1764</v>
      </c>
      <c r="B322" s="51" t="s">
        <v>1765</v>
      </c>
      <c r="C322" s="52" t="s">
        <v>1766</v>
      </c>
      <c r="D322" s="53" t="s">
        <v>166</v>
      </c>
      <c r="E322" s="52" t="s">
        <v>167</v>
      </c>
      <c r="F322" s="53" t="s">
        <v>1767</v>
      </c>
      <c r="G322" s="52" t="s">
        <v>1766</v>
      </c>
      <c r="H322" s="51" t="s">
        <v>1768</v>
      </c>
    </row>
    <row r="323" spans="1:8" x14ac:dyDescent="0.3">
      <c r="A323" s="51" t="s">
        <v>1769</v>
      </c>
      <c r="B323" s="51" t="s">
        <v>1770</v>
      </c>
      <c r="C323" s="52" t="s">
        <v>1771</v>
      </c>
      <c r="D323" s="53" t="s">
        <v>166</v>
      </c>
      <c r="E323" s="52" t="s">
        <v>167</v>
      </c>
      <c r="F323" s="53" t="s">
        <v>1772</v>
      </c>
      <c r="G323" s="52" t="s">
        <v>1771</v>
      </c>
      <c r="H323" s="51" t="s">
        <v>1773</v>
      </c>
    </row>
    <row r="324" spans="1:8" x14ac:dyDescent="0.3">
      <c r="A324" s="51" t="s">
        <v>1774</v>
      </c>
      <c r="B324" s="51" t="s">
        <v>1775</v>
      </c>
      <c r="C324" s="52" t="s">
        <v>1776</v>
      </c>
      <c r="D324" s="53" t="s">
        <v>166</v>
      </c>
      <c r="E324" s="52" t="s">
        <v>167</v>
      </c>
      <c r="F324" s="53" t="s">
        <v>1777</v>
      </c>
      <c r="G324" s="52" t="s">
        <v>1776</v>
      </c>
      <c r="H324" s="51" t="s">
        <v>1778</v>
      </c>
    </row>
    <row r="325" spans="1:8" x14ac:dyDescent="0.3">
      <c r="A325" s="51" t="s">
        <v>1779</v>
      </c>
      <c r="B325" s="51" t="s">
        <v>1780</v>
      </c>
      <c r="C325" s="52" t="s">
        <v>1781</v>
      </c>
      <c r="D325" s="53" t="s">
        <v>166</v>
      </c>
      <c r="E325" s="52" t="s">
        <v>167</v>
      </c>
      <c r="F325" s="53" t="s">
        <v>1782</v>
      </c>
      <c r="G325" s="52" t="s">
        <v>1781</v>
      </c>
      <c r="H325" s="51" t="s">
        <v>1783</v>
      </c>
    </row>
    <row r="326" spans="1:8" x14ac:dyDescent="0.3">
      <c r="A326" s="51" t="s">
        <v>1784</v>
      </c>
      <c r="B326" s="51" t="s">
        <v>1785</v>
      </c>
      <c r="C326" s="52" t="s">
        <v>1786</v>
      </c>
      <c r="D326" s="53" t="s">
        <v>166</v>
      </c>
      <c r="E326" s="52" t="s">
        <v>167</v>
      </c>
      <c r="F326" s="53" t="s">
        <v>1787</v>
      </c>
      <c r="G326" s="52" t="s">
        <v>1786</v>
      </c>
      <c r="H326" s="51" t="s">
        <v>1788</v>
      </c>
    </row>
    <row r="327" spans="1:8" x14ac:dyDescent="0.3">
      <c r="A327" s="51" t="s">
        <v>1789</v>
      </c>
      <c r="B327" s="51" t="s">
        <v>1790</v>
      </c>
      <c r="C327" s="52" t="s">
        <v>1791</v>
      </c>
      <c r="D327" s="53" t="s">
        <v>166</v>
      </c>
      <c r="E327" s="52" t="s">
        <v>167</v>
      </c>
      <c r="F327" s="53" t="s">
        <v>1792</v>
      </c>
      <c r="G327" s="52" t="s">
        <v>1791</v>
      </c>
      <c r="H327" s="51" t="s">
        <v>1793</v>
      </c>
    </row>
    <row r="328" spans="1:8" x14ac:dyDescent="0.3">
      <c r="A328" s="51" t="s">
        <v>1794</v>
      </c>
      <c r="B328" s="51" t="s">
        <v>1795</v>
      </c>
      <c r="C328" s="52" t="s">
        <v>1796</v>
      </c>
      <c r="D328" s="53" t="s">
        <v>166</v>
      </c>
      <c r="E328" s="52" t="s">
        <v>167</v>
      </c>
      <c r="F328" s="53" t="s">
        <v>1797</v>
      </c>
      <c r="G328" s="52" t="s">
        <v>1796</v>
      </c>
      <c r="H328" s="51" t="s">
        <v>1798</v>
      </c>
    </row>
    <row r="329" spans="1:8" x14ac:dyDescent="0.3">
      <c r="A329" s="51" t="s">
        <v>1799</v>
      </c>
      <c r="B329" s="51" t="s">
        <v>1800</v>
      </c>
      <c r="C329" s="52" t="s">
        <v>1801</v>
      </c>
      <c r="D329" s="53" t="s">
        <v>166</v>
      </c>
      <c r="E329" s="52" t="s">
        <v>167</v>
      </c>
      <c r="F329" s="53" t="s">
        <v>1802</v>
      </c>
      <c r="G329" s="52" t="s">
        <v>1801</v>
      </c>
      <c r="H329" s="51" t="s">
        <v>1803</v>
      </c>
    </row>
    <row r="330" spans="1:8" x14ac:dyDescent="0.3">
      <c r="A330" s="51" t="s">
        <v>1804</v>
      </c>
      <c r="B330" s="51" t="s">
        <v>1805</v>
      </c>
      <c r="C330" s="52" t="s">
        <v>1806</v>
      </c>
      <c r="D330" s="53" t="s">
        <v>166</v>
      </c>
      <c r="E330" s="52" t="s">
        <v>167</v>
      </c>
      <c r="F330" s="53" t="s">
        <v>1807</v>
      </c>
      <c r="G330" s="52" t="s">
        <v>1806</v>
      </c>
      <c r="H330" s="51" t="s">
        <v>1808</v>
      </c>
    </row>
    <row r="331" spans="1:8" x14ac:dyDescent="0.3">
      <c r="A331" s="51" t="s">
        <v>1809</v>
      </c>
      <c r="B331" s="51" t="s">
        <v>1810</v>
      </c>
      <c r="C331" s="52" t="s">
        <v>1811</v>
      </c>
      <c r="D331" s="53" t="s">
        <v>1653</v>
      </c>
      <c r="E331" s="52" t="s">
        <v>1654</v>
      </c>
      <c r="F331" s="53" t="s">
        <v>1812</v>
      </c>
      <c r="G331" s="52" t="s">
        <v>1811</v>
      </c>
      <c r="H331" s="51" t="s">
        <v>1813</v>
      </c>
    </row>
    <row r="332" spans="1:8" x14ac:dyDescent="0.3">
      <c r="A332" s="51" t="s">
        <v>1814</v>
      </c>
      <c r="B332" s="51" t="s">
        <v>1815</v>
      </c>
      <c r="C332" s="52" t="s">
        <v>1816</v>
      </c>
      <c r="D332" s="53" t="s">
        <v>166</v>
      </c>
      <c r="E332" s="52" t="s">
        <v>167</v>
      </c>
      <c r="F332" s="53" t="s">
        <v>1817</v>
      </c>
      <c r="G332" s="52" t="s">
        <v>1816</v>
      </c>
      <c r="H332" s="51" t="s">
        <v>1818</v>
      </c>
    </row>
    <row r="333" spans="1:8" x14ac:dyDescent="0.3">
      <c r="A333" s="51" t="s">
        <v>1819</v>
      </c>
      <c r="B333" s="51" t="s">
        <v>1820</v>
      </c>
      <c r="C333" s="52" t="s">
        <v>1821</v>
      </c>
      <c r="D333" s="53" t="s">
        <v>213</v>
      </c>
      <c r="E333" s="52" t="s">
        <v>214</v>
      </c>
      <c r="F333" s="53" t="s">
        <v>1822</v>
      </c>
      <c r="G333" s="52" t="s">
        <v>1821</v>
      </c>
      <c r="H333" s="51" t="s">
        <v>1823</v>
      </c>
    </row>
    <row r="334" spans="1:8" x14ac:dyDescent="0.3">
      <c r="A334" s="51" t="s">
        <v>1824</v>
      </c>
      <c r="B334" s="51" t="s">
        <v>1825</v>
      </c>
      <c r="C334" s="52" t="s">
        <v>1826</v>
      </c>
      <c r="D334" s="53" t="s">
        <v>166</v>
      </c>
      <c r="E334" s="52" t="s">
        <v>167</v>
      </c>
      <c r="F334" s="53" t="s">
        <v>1827</v>
      </c>
      <c r="G334" s="52" t="s">
        <v>1826</v>
      </c>
      <c r="H334" s="51" t="s">
        <v>1828</v>
      </c>
    </row>
    <row r="335" spans="1:8" x14ac:dyDescent="0.3">
      <c r="A335" s="51" t="s">
        <v>1829</v>
      </c>
      <c r="B335" s="51" t="s">
        <v>1830</v>
      </c>
      <c r="C335" s="52" t="s">
        <v>1831</v>
      </c>
      <c r="D335" s="53" t="s">
        <v>166</v>
      </c>
      <c r="E335" s="52" t="s">
        <v>167</v>
      </c>
      <c r="F335" s="53" t="s">
        <v>1832</v>
      </c>
      <c r="G335" s="52" t="s">
        <v>1831</v>
      </c>
      <c r="H335" s="51" t="s">
        <v>1833</v>
      </c>
    </row>
    <row r="336" spans="1:8" x14ac:dyDescent="0.3">
      <c r="A336" s="51" t="s">
        <v>1834</v>
      </c>
      <c r="B336" s="51" t="s">
        <v>1835</v>
      </c>
      <c r="C336" s="52" t="s">
        <v>1836</v>
      </c>
      <c r="D336" s="53" t="s">
        <v>166</v>
      </c>
      <c r="E336" s="52" t="s">
        <v>167</v>
      </c>
      <c r="F336" s="53" t="s">
        <v>1837</v>
      </c>
      <c r="G336" s="52" t="s">
        <v>1836</v>
      </c>
      <c r="H336" s="51" t="s">
        <v>1838</v>
      </c>
    </row>
    <row r="337" spans="1:8" x14ac:dyDescent="0.3">
      <c r="A337" s="51" t="s">
        <v>1839</v>
      </c>
      <c r="B337" s="51" t="s">
        <v>1840</v>
      </c>
      <c r="C337" s="52" t="s">
        <v>1841</v>
      </c>
      <c r="D337" s="53" t="s">
        <v>166</v>
      </c>
      <c r="E337" s="52" t="s">
        <v>167</v>
      </c>
      <c r="F337" s="53" t="s">
        <v>1842</v>
      </c>
      <c r="G337" s="52" t="s">
        <v>1841</v>
      </c>
      <c r="H337" s="51" t="s">
        <v>1843</v>
      </c>
    </row>
    <row r="338" spans="1:8" x14ac:dyDescent="0.3">
      <c r="A338" s="51" t="s">
        <v>1844</v>
      </c>
      <c r="B338" s="51" t="s">
        <v>1845</v>
      </c>
      <c r="C338" s="52" t="s">
        <v>1846</v>
      </c>
      <c r="D338" s="53" t="s">
        <v>166</v>
      </c>
      <c r="E338" s="52" t="s">
        <v>167</v>
      </c>
      <c r="F338" s="53" t="s">
        <v>1847</v>
      </c>
      <c r="G338" s="52" t="s">
        <v>1846</v>
      </c>
      <c r="H338" s="51" t="s">
        <v>1848</v>
      </c>
    </row>
    <row r="339" spans="1:8" x14ac:dyDescent="0.3">
      <c r="A339" s="51" t="s">
        <v>1849</v>
      </c>
      <c r="B339" s="51" t="s">
        <v>1850</v>
      </c>
      <c r="C339" s="52" t="s">
        <v>1851</v>
      </c>
      <c r="D339" s="53" t="s">
        <v>166</v>
      </c>
      <c r="E339" s="52" t="s">
        <v>167</v>
      </c>
      <c r="F339" s="53" t="s">
        <v>1852</v>
      </c>
      <c r="G339" s="52" t="s">
        <v>1851</v>
      </c>
      <c r="H339" s="51" t="s">
        <v>1853</v>
      </c>
    </row>
    <row r="340" spans="1:8" x14ac:dyDescent="0.3">
      <c r="A340" s="51" t="s">
        <v>1854</v>
      </c>
      <c r="B340" s="51" t="s">
        <v>1855</v>
      </c>
      <c r="C340" s="52" t="s">
        <v>1856</v>
      </c>
      <c r="D340" s="53" t="s">
        <v>242</v>
      </c>
      <c r="E340" s="52" t="s">
        <v>243</v>
      </c>
      <c r="F340" s="53" t="s">
        <v>1857</v>
      </c>
      <c r="G340" s="52" t="s">
        <v>1856</v>
      </c>
      <c r="H340" s="51" t="s">
        <v>1858</v>
      </c>
    </row>
    <row r="341" spans="1:8" x14ac:dyDescent="0.3">
      <c r="A341" s="51" t="s">
        <v>1859</v>
      </c>
      <c r="B341" s="51" t="s">
        <v>1860</v>
      </c>
      <c r="C341" s="52" t="s">
        <v>1861</v>
      </c>
      <c r="D341" s="53" t="s">
        <v>166</v>
      </c>
      <c r="E341" s="52" t="s">
        <v>167</v>
      </c>
      <c r="F341" s="53" t="s">
        <v>1862</v>
      </c>
      <c r="G341" s="52" t="s">
        <v>1861</v>
      </c>
      <c r="H341" s="51" t="s">
        <v>1863</v>
      </c>
    </row>
    <row r="342" spans="1:8" x14ac:dyDescent="0.3">
      <c r="A342" s="51" t="s">
        <v>1864</v>
      </c>
      <c r="B342" s="51" t="s">
        <v>1865</v>
      </c>
      <c r="C342" s="52" t="s">
        <v>1866</v>
      </c>
      <c r="D342" s="53" t="s">
        <v>220</v>
      </c>
      <c r="E342" s="52" t="s">
        <v>221</v>
      </c>
      <c r="F342" s="53" t="s">
        <v>1867</v>
      </c>
      <c r="G342" s="52" t="s">
        <v>1866</v>
      </c>
      <c r="H342" s="51" t="s">
        <v>1868</v>
      </c>
    </row>
    <row r="343" spans="1:8" x14ac:dyDescent="0.3">
      <c r="A343" s="51" t="s">
        <v>1869</v>
      </c>
      <c r="B343" s="51" t="s">
        <v>1870</v>
      </c>
      <c r="C343" s="52" t="s">
        <v>1871</v>
      </c>
      <c r="D343" s="53" t="s">
        <v>166</v>
      </c>
      <c r="E343" s="52" t="s">
        <v>167</v>
      </c>
      <c r="F343" s="53" t="s">
        <v>1872</v>
      </c>
      <c r="G343" s="52" t="s">
        <v>1871</v>
      </c>
      <c r="H343" s="51" t="s">
        <v>1873</v>
      </c>
    </row>
    <row r="344" spans="1:8" x14ac:dyDescent="0.3">
      <c r="A344" s="51" t="s">
        <v>1874</v>
      </c>
      <c r="B344" s="51" t="s">
        <v>1875</v>
      </c>
      <c r="C344" s="52" t="s">
        <v>1876</v>
      </c>
      <c r="D344" s="53" t="s">
        <v>166</v>
      </c>
      <c r="E344" s="52" t="s">
        <v>167</v>
      </c>
      <c r="F344" s="53" t="s">
        <v>1877</v>
      </c>
      <c r="G344" s="52" t="s">
        <v>1876</v>
      </c>
      <c r="H344" s="51" t="s">
        <v>1878</v>
      </c>
    </row>
    <row r="345" spans="1:8" x14ac:dyDescent="0.3">
      <c r="A345" s="51" t="s">
        <v>1879</v>
      </c>
      <c r="B345" s="51" t="s">
        <v>1880</v>
      </c>
      <c r="C345" s="52" t="s">
        <v>1881</v>
      </c>
      <c r="D345" s="53" t="s">
        <v>166</v>
      </c>
      <c r="E345" s="52" t="s">
        <v>167</v>
      </c>
      <c r="F345" s="53" t="s">
        <v>1882</v>
      </c>
      <c r="G345" s="52" t="s">
        <v>1881</v>
      </c>
      <c r="H345" s="51" t="s">
        <v>1883</v>
      </c>
    </row>
    <row r="346" spans="1:8" x14ac:dyDescent="0.3">
      <c r="A346" s="51" t="s">
        <v>1884</v>
      </c>
      <c r="B346" s="51" t="s">
        <v>1885</v>
      </c>
      <c r="C346" s="52" t="s">
        <v>1886</v>
      </c>
      <c r="D346" s="53" t="s">
        <v>166</v>
      </c>
      <c r="E346" s="52" t="s">
        <v>167</v>
      </c>
      <c r="F346" s="53" t="s">
        <v>1887</v>
      </c>
      <c r="G346" s="52" t="s">
        <v>1886</v>
      </c>
      <c r="H346" s="51" t="s">
        <v>1888</v>
      </c>
    </row>
    <row r="347" spans="1:8" x14ac:dyDescent="0.3">
      <c r="A347" s="51" t="s">
        <v>1889</v>
      </c>
      <c r="B347" s="51" t="s">
        <v>1890</v>
      </c>
      <c r="C347" s="52" t="s">
        <v>1891</v>
      </c>
      <c r="D347" s="53" t="s">
        <v>166</v>
      </c>
      <c r="E347" s="52" t="s">
        <v>167</v>
      </c>
      <c r="F347" s="53" t="s">
        <v>1892</v>
      </c>
      <c r="G347" s="52" t="s">
        <v>1891</v>
      </c>
      <c r="H347" s="51" t="s">
        <v>1893</v>
      </c>
    </row>
    <row r="348" spans="1:8" x14ac:dyDescent="0.3">
      <c r="A348" s="51" t="s">
        <v>1894</v>
      </c>
      <c r="B348" s="51" t="s">
        <v>1895</v>
      </c>
      <c r="C348" s="52" t="s">
        <v>1896</v>
      </c>
      <c r="D348" s="53" t="s">
        <v>213</v>
      </c>
      <c r="E348" s="52" t="s">
        <v>214</v>
      </c>
      <c r="F348" s="53" t="s">
        <v>1897</v>
      </c>
      <c r="G348" s="52" t="s">
        <v>1896</v>
      </c>
      <c r="H348" s="51" t="s">
        <v>1898</v>
      </c>
    </row>
    <row r="349" spans="1:8" x14ac:dyDescent="0.3">
      <c r="A349" s="51" t="s">
        <v>1899</v>
      </c>
      <c r="B349" s="51" t="s">
        <v>1900</v>
      </c>
      <c r="C349" s="52" t="s">
        <v>1901</v>
      </c>
      <c r="D349" s="53" t="s">
        <v>166</v>
      </c>
      <c r="E349" s="52" t="s">
        <v>167</v>
      </c>
      <c r="F349" s="53" t="s">
        <v>1902</v>
      </c>
      <c r="G349" s="52" t="s">
        <v>1901</v>
      </c>
      <c r="H349" s="51" t="s">
        <v>1903</v>
      </c>
    </row>
    <row r="350" spans="1:8" x14ac:dyDescent="0.3">
      <c r="A350" s="51" t="s">
        <v>1904</v>
      </c>
      <c r="B350" s="51" t="s">
        <v>1905</v>
      </c>
      <c r="C350" s="52" t="s">
        <v>1906</v>
      </c>
      <c r="D350" s="53" t="s">
        <v>879</v>
      </c>
      <c r="E350" s="52" t="s">
        <v>880</v>
      </c>
      <c r="F350" s="53" t="s">
        <v>1907</v>
      </c>
      <c r="G350" s="52" t="s">
        <v>1906</v>
      </c>
      <c r="H350" s="51" t="s">
        <v>1908</v>
      </c>
    </row>
    <row r="351" spans="1:8" x14ac:dyDescent="0.3">
      <c r="A351" s="51" t="s">
        <v>1909</v>
      </c>
      <c r="B351" s="51" t="s">
        <v>1910</v>
      </c>
      <c r="C351" s="52" t="s">
        <v>1911</v>
      </c>
      <c r="D351" s="53" t="s">
        <v>879</v>
      </c>
      <c r="E351" s="52" t="s">
        <v>880</v>
      </c>
      <c r="F351" s="53" t="s">
        <v>1912</v>
      </c>
      <c r="G351" s="52" t="s">
        <v>1911</v>
      </c>
      <c r="H351" s="51" t="s">
        <v>1913</v>
      </c>
    </row>
    <row r="352" spans="1:8" x14ac:dyDescent="0.3">
      <c r="A352" s="51" t="s">
        <v>1914</v>
      </c>
      <c r="B352" s="51" t="s">
        <v>1915</v>
      </c>
      <c r="C352" s="52" t="s">
        <v>1916</v>
      </c>
      <c r="D352" s="53" t="s">
        <v>166</v>
      </c>
      <c r="E352" s="52" t="s">
        <v>167</v>
      </c>
      <c r="F352" s="53" t="s">
        <v>1917</v>
      </c>
      <c r="G352" s="52" t="s">
        <v>1916</v>
      </c>
      <c r="H352" s="51" t="s">
        <v>1918</v>
      </c>
    </row>
    <row r="353" spans="1:8" x14ac:dyDescent="0.3">
      <c r="A353" s="51" t="s">
        <v>1919</v>
      </c>
      <c r="B353" s="51" t="s">
        <v>1920</v>
      </c>
      <c r="C353" s="52" t="s">
        <v>1921</v>
      </c>
      <c r="D353" s="53" t="s">
        <v>879</v>
      </c>
      <c r="E353" s="52" t="s">
        <v>880</v>
      </c>
      <c r="F353" s="53" t="s">
        <v>1922</v>
      </c>
      <c r="G353" s="52" t="s">
        <v>1921</v>
      </c>
      <c r="H353" s="51" t="s">
        <v>1923</v>
      </c>
    </row>
    <row r="354" spans="1:8" x14ac:dyDescent="0.3">
      <c r="A354" s="51" t="s">
        <v>1924</v>
      </c>
      <c r="B354" s="51" t="s">
        <v>1925</v>
      </c>
      <c r="C354" s="52" t="s">
        <v>1926</v>
      </c>
      <c r="D354" s="53" t="s">
        <v>879</v>
      </c>
      <c r="E354" s="52" t="s">
        <v>880</v>
      </c>
      <c r="F354" s="53" t="s">
        <v>1927</v>
      </c>
      <c r="G354" s="52" t="s">
        <v>1926</v>
      </c>
      <c r="H354" s="51" t="s">
        <v>1928</v>
      </c>
    </row>
    <row r="355" spans="1:8" x14ac:dyDescent="0.3">
      <c r="A355" s="51" t="s">
        <v>1929</v>
      </c>
      <c r="B355" s="51" t="s">
        <v>1930</v>
      </c>
      <c r="C355" s="52" t="s">
        <v>1931</v>
      </c>
      <c r="D355" s="53" t="s">
        <v>166</v>
      </c>
      <c r="E355" s="52" t="s">
        <v>167</v>
      </c>
      <c r="F355" s="53" t="s">
        <v>1932</v>
      </c>
      <c r="G355" s="52" t="s">
        <v>1931</v>
      </c>
      <c r="H355" s="51" t="s">
        <v>1933</v>
      </c>
    </row>
    <row r="356" spans="1:8" x14ac:dyDescent="0.3">
      <c r="A356" s="51" t="s">
        <v>1934</v>
      </c>
      <c r="B356" s="51" t="s">
        <v>1935</v>
      </c>
      <c r="C356" s="52" t="s">
        <v>1936</v>
      </c>
      <c r="D356" s="53" t="s">
        <v>166</v>
      </c>
      <c r="E356" s="52" t="s">
        <v>167</v>
      </c>
      <c r="F356" s="53" t="s">
        <v>1937</v>
      </c>
      <c r="G356" s="52" t="s">
        <v>1936</v>
      </c>
      <c r="H356" s="51" t="s">
        <v>1938</v>
      </c>
    </row>
    <row r="357" spans="1:8" x14ac:dyDescent="0.3">
      <c r="A357" s="51" t="s">
        <v>1939</v>
      </c>
      <c r="B357" s="51" t="s">
        <v>1940</v>
      </c>
      <c r="C357" s="52" t="s">
        <v>1941</v>
      </c>
      <c r="D357" s="53" t="s">
        <v>166</v>
      </c>
      <c r="E357" s="52" t="s">
        <v>167</v>
      </c>
      <c r="F357" s="53" t="s">
        <v>1942</v>
      </c>
      <c r="G357" s="52" t="s">
        <v>1941</v>
      </c>
      <c r="H357" s="51" t="s">
        <v>1943</v>
      </c>
    </row>
    <row r="358" spans="1:8" x14ac:dyDescent="0.3">
      <c r="A358" s="51" t="s">
        <v>112</v>
      </c>
      <c r="B358" s="51" t="s">
        <v>1944</v>
      </c>
      <c r="C358" s="52" t="s">
        <v>113</v>
      </c>
      <c r="D358" s="53" t="s">
        <v>166</v>
      </c>
      <c r="E358" s="52" t="s">
        <v>167</v>
      </c>
      <c r="F358" s="53" t="s">
        <v>1945</v>
      </c>
      <c r="G358" s="52" t="s">
        <v>113</v>
      </c>
      <c r="H358" s="51" t="s">
        <v>1946</v>
      </c>
    </row>
    <row r="359" spans="1:8" x14ac:dyDescent="0.3">
      <c r="A359" s="51" t="s">
        <v>111</v>
      </c>
      <c r="B359" s="51" t="s">
        <v>1947</v>
      </c>
      <c r="C359" s="52" t="s">
        <v>114</v>
      </c>
      <c r="D359" s="53" t="s">
        <v>166</v>
      </c>
      <c r="E359" s="52" t="s">
        <v>167</v>
      </c>
      <c r="F359" s="53" t="s">
        <v>1948</v>
      </c>
      <c r="G359" s="52" t="s">
        <v>114</v>
      </c>
      <c r="H359" s="51" t="s">
        <v>1949</v>
      </c>
    </row>
    <row r="360" spans="1:8" x14ac:dyDescent="0.3">
      <c r="A360" s="51" t="s">
        <v>158</v>
      </c>
      <c r="B360" s="51" t="s">
        <v>1950</v>
      </c>
      <c r="C360" s="52" t="s">
        <v>159</v>
      </c>
      <c r="D360" s="53" t="s">
        <v>213</v>
      </c>
      <c r="E360" s="52" t="s">
        <v>214</v>
      </c>
      <c r="F360" s="53" t="s">
        <v>1951</v>
      </c>
      <c r="G360" s="52" t="s">
        <v>159</v>
      </c>
      <c r="H360" s="51" t="s">
        <v>1952</v>
      </c>
    </row>
    <row r="361" spans="1:8" x14ac:dyDescent="0.3">
      <c r="A361" s="51" t="s">
        <v>115</v>
      </c>
      <c r="B361" s="51" t="s">
        <v>1953</v>
      </c>
      <c r="C361" s="52" t="s">
        <v>116</v>
      </c>
      <c r="D361" s="53" t="s">
        <v>166</v>
      </c>
      <c r="E361" s="52" t="s">
        <v>167</v>
      </c>
      <c r="F361" s="53" t="s">
        <v>1954</v>
      </c>
      <c r="G361" s="52" t="s">
        <v>116</v>
      </c>
      <c r="H361" s="51" t="s">
        <v>1955</v>
      </c>
    </row>
    <row r="362" spans="1:8" x14ac:dyDescent="0.3">
      <c r="A362" s="51" t="s">
        <v>1956</v>
      </c>
      <c r="B362" s="51" t="s">
        <v>1957</v>
      </c>
      <c r="C362" s="52" t="s">
        <v>1958</v>
      </c>
      <c r="D362" s="53" t="s">
        <v>166</v>
      </c>
      <c r="E362" s="52" t="s">
        <v>167</v>
      </c>
      <c r="F362" s="53" t="s">
        <v>1959</v>
      </c>
      <c r="G362" s="52" t="s">
        <v>1958</v>
      </c>
      <c r="H362" s="51" t="s">
        <v>1960</v>
      </c>
    </row>
    <row r="363" spans="1:8" x14ac:dyDescent="0.3">
      <c r="A363" s="51" t="s">
        <v>1961</v>
      </c>
      <c r="B363" s="51" t="s">
        <v>1962</v>
      </c>
      <c r="C363" s="52" t="s">
        <v>1963</v>
      </c>
      <c r="D363" s="53" t="s">
        <v>166</v>
      </c>
      <c r="E363" s="52" t="s">
        <v>167</v>
      </c>
      <c r="F363" s="53" t="s">
        <v>1964</v>
      </c>
      <c r="G363" s="52" t="s">
        <v>1963</v>
      </c>
      <c r="H363" s="51" t="s">
        <v>1965</v>
      </c>
    </row>
    <row r="364" spans="1:8" x14ac:dyDescent="0.3">
      <c r="A364" s="51" t="s">
        <v>117</v>
      </c>
      <c r="B364" s="51" t="s">
        <v>1966</v>
      </c>
      <c r="C364" s="52" t="s">
        <v>118</v>
      </c>
      <c r="D364" s="53" t="s">
        <v>213</v>
      </c>
      <c r="E364" s="52" t="s">
        <v>214</v>
      </c>
      <c r="F364" s="53" t="s">
        <v>1967</v>
      </c>
      <c r="G364" s="52" t="s">
        <v>118</v>
      </c>
      <c r="H364" s="51" t="s">
        <v>1968</v>
      </c>
    </row>
    <row r="365" spans="1:8" x14ac:dyDescent="0.3">
      <c r="A365" s="51" t="s">
        <v>160</v>
      </c>
      <c r="B365" s="51" t="s">
        <v>1969</v>
      </c>
      <c r="C365" s="52" t="s">
        <v>161</v>
      </c>
      <c r="D365" s="53" t="s">
        <v>523</v>
      </c>
      <c r="E365" s="52" t="s">
        <v>524</v>
      </c>
      <c r="F365" s="53" t="s">
        <v>1970</v>
      </c>
      <c r="G365" s="52" t="s">
        <v>161</v>
      </c>
      <c r="H365" s="51" t="s">
        <v>1971</v>
      </c>
    </row>
    <row r="366" spans="1:8" x14ac:dyDescent="0.3">
      <c r="A366" s="51" t="s">
        <v>1972</v>
      </c>
      <c r="B366" s="51" t="s">
        <v>1973</v>
      </c>
      <c r="C366" s="52" t="s">
        <v>1974</v>
      </c>
      <c r="D366" s="53" t="s">
        <v>321</v>
      </c>
      <c r="E366" s="52" t="s">
        <v>322</v>
      </c>
      <c r="F366" s="53" t="s">
        <v>1975</v>
      </c>
      <c r="G366" s="52" t="s">
        <v>1974</v>
      </c>
      <c r="H366" s="51" t="s">
        <v>1976</v>
      </c>
    </row>
    <row r="367" spans="1:8" x14ac:dyDescent="0.3">
      <c r="A367" s="51" t="s">
        <v>1977</v>
      </c>
      <c r="B367" s="51" t="s">
        <v>1978</v>
      </c>
      <c r="C367" s="52" t="s">
        <v>1979</v>
      </c>
      <c r="D367" s="53" t="s">
        <v>166</v>
      </c>
      <c r="E367" s="52" t="s">
        <v>167</v>
      </c>
      <c r="F367" s="53" t="s">
        <v>1980</v>
      </c>
      <c r="G367" s="52" t="s">
        <v>1979</v>
      </c>
      <c r="H367" s="51" t="s">
        <v>1981</v>
      </c>
    </row>
    <row r="368" spans="1:8" x14ac:dyDescent="0.3">
      <c r="A368" s="51" t="s">
        <v>1982</v>
      </c>
      <c r="B368" s="51" t="s">
        <v>1983</v>
      </c>
      <c r="C368" s="52" t="s">
        <v>1984</v>
      </c>
      <c r="D368" s="53" t="s">
        <v>166</v>
      </c>
      <c r="E368" s="52" t="s">
        <v>167</v>
      </c>
      <c r="F368" s="53" t="s">
        <v>1985</v>
      </c>
      <c r="G368" s="52" t="s">
        <v>1984</v>
      </c>
      <c r="H368" s="51" t="s">
        <v>1986</v>
      </c>
    </row>
    <row r="369" spans="1:8" x14ac:dyDescent="0.3">
      <c r="A369" s="51" t="s">
        <v>1987</v>
      </c>
      <c r="B369" s="51" t="s">
        <v>1988</v>
      </c>
      <c r="C369" s="52" t="s">
        <v>1989</v>
      </c>
      <c r="D369" s="53" t="s">
        <v>166</v>
      </c>
      <c r="E369" s="52" t="s">
        <v>167</v>
      </c>
      <c r="F369" s="53" t="s">
        <v>1990</v>
      </c>
      <c r="G369" s="52" t="s">
        <v>1989</v>
      </c>
      <c r="H369" s="51" t="s">
        <v>1991</v>
      </c>
    </row>
    <row r="370" spans="1:8" x14ac:dyDescent="0.3">
      <c r="A370" s="51" t="s">
        <v>1992</v>
      </c>
      <c r="B370" s="51" t="s">
        <v>1993</v>
      </c>
      <c r="C370" s="52" t="s">
        <v>1994</v>
      </c>
      <c r="D370" s="53" t="s">
        <v>166</v>
      </c>
      <c r="E370" s="52" t="s">
        <v>167</v>
      </c>
      <c r="F370" s="53" t="s">
        <v>1995</v>
      </c>
      <c r="G370" s="52" t="s">
        <v>1994</v>
      </c>
      <c r="H370" s="51" t="s">
        <v>1996</v>
      </c>
    </row>
    <row r="371" spans="1:8" x14ac:dyDescent="0.3">
      <c r="A371" s="51" t="s">
        <v>1997</v>
      </c>
      <c r="B371" s="51" t="s">
        <v>1998</v>
      </c>
      <c r="C371" s="52" t="s">
        <v>1999</v>
      </c>
      <c r="D371" s="53" t="s">
        <v>523</v>
      </c>
      <c r="E371" s="52" t="s">
        <v>524</v>
      </c>
      <c r="F371" s="53" t="s">
        <v>2000</v>
      </c>
      <c r="G371" s="52" t="s">
        <v>1999</v>
      </c>
      <c r="H371" s="51" t="s">
        <v>2001</v>
      </c>
    </row>
    <row r="372" spans="1:8" x14ac:dyDescent="0.3">
      <c r="A372" s="51" t="s">
        <v>2002</v>
      </c>
      <c r="B372" s="51" t="s">
        <v>2003</v>
      </c>
      <c r="C372" s="52" t="s">
        <v>2004</v>
      </c>
      <c r="D372" s="53" t="s">
        <v>166</v>
      </c>
      <c r="E372" s="52" t="s">
        <v>167</v>
      </c>
      <c r="F372" s="53" t="s">
        <v>2005</v>
      </c>
      <c r="G372" s="52" t="s">
        <v>2004</v>
      </c>
      <c r="H372" s="51" t="s">
        <v>2006</v>
      </c>
    </row>
    <row r="373" spans="1:8" x14ac:dyDescent="0.3">
      <c r="A373" s="51" t="s">
        <v>2007</v>
      </c>
      <c r="B373" s="51" t="s">
        <v>2008</v>
      </c>
      <c r="C373" s="52" t="s">
        <v>2009</v>
      </c>
      <c r="D373" s="53" t="s">
        <v>935</v>
      </c>
      <c r="E373" s="52" t="s">
        <v>936</v>
      </c>
      <c r="F373" s="53" t="s">
        <v>2010</v>
      </c>
      <c r="G373" s="52" t="s">
        <v>2009</v>
      </c>
      <c r="H373" s="51" t="s">
        <v>2011</v>
      </c>
    </row>
    <row r="374" spans="1:8" x14ac:dyDescent="0.3">
      <c r="A374" s="51" t="s">
        <v>2012</v>
      </c>
      <c r="B374" s="51" t="s">
        <v>2013</v>
      </c>
      <c r="C374" s="52" t="s">
        <v>2014</v>
      </c>
      <c r="D374" s="53" t="s">
        <v>166</v>
      </c>
      <c r="E374" s="52" t="s">
        <v>167</v>
      </c>
      <c r="F374" s="53" t="s">
        <v>2015</v>
      </c>
      <c r="G374" s="52" t="s">
        <v>2014</v>
      </c>
      <c r="H374" s="51" t="s">
        <v>2016</v>
      </c>
    </row>
    <row r="375" spans="1:8" x14ac:dyDescent="0.3">
      <c r="A375" s="51" t="s">
        <v>2017</v>
      </c>
      <c r="B375" s="51" t="s">
        <v>2018</v>
      </c>
      <c r="C375" s="52" t="s">
        <v>2019</v>
      </c>
      <c r="D375" s="53" t="s">
        <v>321</v>
      </c>
      <c r="E375" s="52" t="s">
        <v>322</v>
      </c>
      <c r="F375" s="53" t="s">
        <v>2020</v>
      </c>
      <c r="G375" s="52" t="s">
        <v>2019</v>
      </c>
      <c r="H375" s="51" t="s">
        <v>2021</v>
      </c>
    </row>
    <row r="376" spans="1:8" x14ac:dyDescent="0.3">
      <c r="A376" s="51" t="s">
        <v>2022</v>
      </c>
      <c r="B376" s="51" t="s">
        <v>2023</v>
      </c>
      <c r="C376" s="52" t="s">
        <v>2024</v>
      </c>
      <c r="D376" s="53" t="s">
        <v>1653</v>
      </c>
      <c r="E376" s="52" t="s">
        <v>1654</v>
      </c>
      <c r="F376" s="53" t="s">
        <v>2025</v>
      </c>
      <c r="G376" s="52" t="s">
        <v>2024</v>
      </c>
      <c r="H376" s="51" t="s">
        <v>2026</v>
      </c>
    </row>
    <row r="377" spans="1:8" x14ac:dyDescent="0.3">
      <c r="A377" s="51" t="s">
        <v>2027</v>
      </c>
      <c r="B377" s="51" t="s">
        <v>2028</v>
      </c>
      <c r="C377" s="52" t="s">
        <v>2029</v>
      </c>
      <c r="D377" s="53" t="s">
        <v>242</v>
      </c>
      <c r="E377" s="52" t="s">
        <v>243</v>
      </c>
      <c r="F377" s="53" t="s">
        <v>2030</v>
      </c>
      <c r="G377" s="52" t="s">
        <v>2029</v>
      </c>
      <c r="H377" s="51" t="s">
        <v>2031</v>
      </c>
    </row>
    <row r="378" spans="1:8" x14ac:dyDescent="0.3">
      <c r="A378" s="51" t="s">
        <v>2032</v>
      </c>
      <c r="B378" s="51" t="s">
        <v>2033</v>
      </c>
      <c r="C378" s="52" t="s">
        <v>2034</v>
      </c>
      <c r="D378" s="53" t="s">
        <v>1653</v>
      </c>
      <c r="E378" s="52" t="s">
        <v>1654</v>
      </c>
      <c r="F378" s="53" t="s">
        <v>2035</v>
      </c>
      <c r="G378" s="52" t="s">
        <v>2034</v>
      </c>
      <c r="H378" s="51" t="s">
        <v>2036</v>
      </c>
    </row>
    <row r="379" spans="1:8" x14ac:dyDescent="0.3">
      <c r="A379" s="51" t="s">
        <v>2037</v>
      </c>
      <c r="B379" s="51" t="s">
        <v>2038</v>
      </c>
      <c r="C379" s="52" t="s">
        <v>2039</v>
      </c>
      <c r="D379" s="53" t="s">
        <v>309</v>
      </c>
      <c r="E379" s="52" t="s">
        <v>310</v>
      </c>
      <c r="F379" s="53" t="s">
        <v>2040</v>
      </c>
      <c r="G379" s="52" t="s">
        <v>2039</v>
      </c>
      <c r="H379" s="51" t="s">
        <v>2041</v>
      </c>
    </row>
    <row r="380" spans="1:8" x14ac:dyDescent="0.3">
      <c r="A380" s="51" t="s">
        <v>2042</v>
      </c>
      <c r="B380" s="51" t="s">
        <v>2043</v>
      </c>
      <c r="C380" s="52" t="s">
        <v>2044</v>
      </c>
      <c r="D380" s="53" t="s">
        <v>220</v>
      </c>
      <c r="E380" s="52" t="s">
        <v>221</v>
      </c>
      <c r="F380" s="53" t="s">
        <v>2045</v>
      </c>
      <c r="G380" s="52" t="s">
        <v>2044</v>
      </c>
      <c r="H380" s="51" t="s">
        <v>2046</v>
      </c>
    </row>
    <row r="381" spans="1:8" x14ac:dyDescent="0.3">
      <c r="A381" s="51" t="s">
        <v>2047</v>
      </c>
      <c r="B381" s="51" t="s">
        <v>2048</v>
      </c>
      <c r="C381" s="52" t="s">
        <v>2049</v>
      </c>
      <c r="D381" s="53" t="s">
        <v>166</v>
      </c>
      <c r="E381" s="52" t="s">
        <v>167</v>
      </c>
      <c r="F381" s="53" t="s">
        <v>2050</v>
      </c>
      <c r="G381" s="52" t="s">
        <v>2049</v>
      </c>
      <c r="H381" s="51" t="s">
        <v>2051</v>
      </c>
    </row>
    <row r="382" spans="1:8" x14ac:dyDescent="0.3">
      <c r="A382" s="51" t="s">
        <v>2052</v>
      </c>
      <c r="B382" s="51" t="s">
        <v>2053</v>
      </c>
      <c r="C382" s="52" t="s">
        <v>2054</v>
      </c>
      <c r="D382" s="53" t="s">
        <v>523</v>
      </c>
      <c r="E382" s="52" t="s">
        <v>524</v>
      </c>
      <c r="F382" s="53" t="s">
        <v>2055</v>
      </c>
      <c r="G382" s="52" t="s">
        <v>2054</v>
      </c>
      <c r="H382" s="51" t="s">
        <v>2056</v>
      </c>
    </row>
    <row r="383" spans="1:8" x14ac:dyDescent="0.3">
      <c r="A383" s="51" t="s">
        <v>2057</v>
      </c>
      <c r="B383" s="51" t="s">
        <v>2058</v>
      </c>
      <c r="C383" s="52" t="s">
        <v>2059</v>
      </c>
      <c r="D383" s="53" t="s">
        <v>166</v>
      </c>
      <c r="E383" s="52" t="s">
        <v>167</v>
      </c>
      <c r="F383" s="53" t="s">
        <v>2060</v>
      </c>
      <c r="G383" s="52" t="s">
        <v>2059</v>
      </c>
      <c r="H383" s="51" t="s">
        <v>2061</v>
      </c>
    </row>
    <row r="384" spans="1:8" x14ac:dyDescent="0.3">
      <c r="A384" s="51" t="s">
        <v>2062</v>
      </c>
      <c r="B384" s="51" t="s">
        <v>2063</v>
      </c>
      <c r="C384" s="52" t="s">
        <v>2064</v>
      </c>
      <c r="D384" s="53" t="s">
        <v>935</v>
      </c>
      <c r="E384" s="52" t="s">
        <v>936</v>
      </c>
      <c r="F384" s="53" t="s">
        <v>2065</v>
      </c>
      <c r="G384" s="52" t="s">
        <v>2064</v>
      </c>
      <c r="H384" s="51" t="s">
        <v>2066</v>
      </c>
    </row>
    <row r="385" spans="1:8" x14ac:dyDescent="0.3">
      <c r="A385" s="51" t="s">
        <v>2067</v>
      </c>
      <c r="B385" s="51" t="s">
        <v>2068</v>
      </c>
      <c r="C385" s="52" t="s">
        <v>2069</v>
      </c>
      <c r="D385" s="53" t="s">
        <v>321</v>
      </c>
      <c r="E385" s="52" t="s">
        <v>322</v>
      </c>
      <c r="F385" s="53" t="s">
        <v>2070</v>
      </c>
      <c r="G385" s="52" t="s">
        <v>2069</v>
      </c>
      <c r="H385" s="51" t="s">
        <v>2071</v>
      </c>
    </row>
    <row r="386" spans="1:8" x14ac:dyDescent="0.3">
      <c r="A386" s="51" t="s">
        <v>2072</v>
      </c>
      <c r="B386" s="51" t="s">
        <v>2073</v>
      </c>
      <c r="C386" s="52" t="s">
        <v>2074</v>
      </c>
      <c r="D386" s="53" t="s">
        <v>166</v>
      </c>
      <c r="E386" s="52" t="s">
        <v>167</v>
      </c>
      <c r="F386" s="53" t="s">
        <v>2075</v>
      </c>
      <c r="G386" s="52" t="s">
        <v>2074</v>
      </c>
      <c r="H386" s="51" t="s">
        <v>2076</v>
      </c>
    </row>
    <row r="387" spans="1:8" x14ac:dyDescent="0.3">
      <c r="A387" s="51" t="s">
        <v>2077</v>
      </c>
      <c r="B387" s="51" t="s">
        <v>2078</v>
      </c>
      <c r="C387" s="52" t="s">
        <v>2079</v>
      </c>
      <c r="D387" s="53" t="s">
        <v>242</v>
      </c>
      <c r="E387" s="52" t="s">
        <v>243</v>
      </c>
      <c r="F387" s="53" t="s">
        <v>2080</v>
      </c>
      <c r="G387" s="52" t="s">
        <v>2079</v>
      </c>
      <c r="H387" s="51" t="s">
        <v>2081</v>
      </c>
    </row>
    <row r="388" spans="1:8" x14ac:dyDescent="0.3">
      <c r="A388" s="51" t="s">
        <v>2082</v>
      </c>
      <c r="B388" s="51" t="s">
        <v>2083</v>
      </c>
      <c r="C388" s="52" t="s">
        <v>2084</v>
      </c>
      <c r="D388" s="53" t="s">
        <v>166</v>
      </c>
      <c r="E388" s="52" t="s">
        <v>167</v>
      </c>
      <c r="F388" s="53" t="s">
        <v>2085</v>
      </c>
      <c r="G388" s="52" t="s">
        <v>2084</v>
      </c>
      <c r="H388" s="51" t="s">
        <v>2086</v>
      </c>
    </row>
    <row r="389" spans="1:8" x14ac:dyDescent="0.3">
      <c r="A389" s="51" t="s">
        <v>2087</v>
      </c>
      <c r="B389" s="51" t="s">
        <v>2088</v>
      </c>
      <c r="C389" s="52" t="s">
        <v>2089</v>
      </c>
      <c r="D389" s="53" t="s">
        <v>166</v>
      </c>
      <c r="E389" s="52" t="s">
        <v>167</v>
      </c>
      <c r="F389" s="53" t="s">
        <v>2090</v>
      </c>
      <c r="G389" s="52" t="s">
        <v>2089</v>
      </c>
      <c r="H389" s="51" t="s">
        <v>2091</v>
      </c>
    </row>
    <row r="390" spans="1:8" x14ac:dyDescent="0.3">
      <c r="A390" s="51" t="s">
        <v>2092</v>
      </c>
      <c r="B390" s="51" t="s">
        <v>2093</v>
      </c>
      <c r="C390" s="52" t="s">
        <v>2094</v>
      </c>
      <c r="D390" s="53" t="s">
        <v>321</v>
      </c>
      <c r="E390" s="52" t="s">
        <v>322</v>
      </c>
      <c r="F390" s="53" t="s">
        <v>2095</v>
      </c>
      <c r="G390" s="52" t="s">
        <v>2094</v>
      </c>
      <c r="H390" s="51" t="s">
        <v>2096</v>
      </c>
    </row>
    <row r="391" spans="1:8" x14ac:dyDescent="0.3">
      <c r="A391" s="51" t="s">
        <v>2097</v>
      </c>
      <c r="B391" s="51" t="s">
        <v>2098</v>
      </c>
      <c r="C391" s="52" t="s">
        <v>2099</v>
      </c>
      <c r="D391" s="53" t="s">
        <v>166</v>
      </c>
      <c r="E391" s="52" t="s">
        <v>167</v>
      </c>
      <c r="F391" s="53" t="s">
        <v>2100</v>
      </c>
      <c r="G391" s="52" t="s">
        <v>2099</v>
      </c>
      <c r="H391" s="51" t="s">
        <v>2101</v>
      </c>
    </row>
    <row r="392" spans="1:8" x14ac:dyDescent="0.3">
      <c r="A392" s="51" t="s">
        <v>2102</v>
      </c>
      <c r="B392" s="51" t="s">
        <v>2103</v>
      </c>
      <c r="C392" s="52" t="s">
        <v>2104</v>
      </c>
      <c r="D392" s="53" t="s">
        <v>220</v>
      </c>
      <c r="E392" s="52" t="s">
        <v>221</v>
      </c>
      <c r="F392" s="53" t="s">
        <v>2105</v>
      </c>
      <c r="G392" s="52" t="s">
        <v>2104</v>
      </c>
      <c r="H392" s="51" t="s">
        <v>2106</v>
      </c>
    </row>
    <row r="393" spans="1:8" x14ac:dyDescent="0.3">
      <c r="A393" s="51" t="s">
        <v>2107</v>
      </c>
      <c r="B393" s="51" t="s">
        <v>2108</v>
      </c>
      <c r="C393" s="52" t="s">
        <v>2109</v>
      </c>
      <c r="D393" s="53" t="s">
        <v>166</v>
      </c>
      <c r="E393" s="52" t="s">
        <v>167</v>
      </c>
      <c r="F393" s="53" t="s">
        <v>2110</v>
      </c>
      <c r="G393" s="52" t="s">
        <v>2109</v>
      </c>
      <c r="H393" s="51" t="s">
        <v>2111</v>
      </c>
    </row>
    <row r="394" spans="1:8" x14ac:dyDescent="0.3">
      <c r="A394" s="51" t="s">
        <v>2112</v>
      </c>
      <c r="B394" s="51" t="s">
        <v>2113</v>
      </c>
      <c r="C394" s="52" t="s">
        <v>2114</v>
      </c>
      <c r="D394" s="53" t="s">
        <v>321</v>
      </c>
      <c r="E394" s="52" t="s">
        <v>322</v>
      </c>
      <c r="F394" s="53" t="s">
        <v>2115</v>
      </c>
      <c r="G394" s="52" t="s">
        <v>2114</v>
      </c>
      <c r="H394" s="51" t="s">
        <v>2116</v>
      </c>
    </row>
    <row r="395" spans="1:8" x14ac:dyDescent="0.3">
      <c r="A395" s="51" t="s">
        <v>2117</v>
      </c>
      <c r="B395" s="51" t="s">
        <v>2118</v>
      </c>
      <c r="C395" s="52" t="s">
        <v>2119</v>
      </c>
      <c r="D395" s="53" t="s">
        <v>242</v>
      </c>
      <c r="E395" s="52" t="s">
        <v>243</v>
      </c>
      <c r="F395" s="53" t="s">
        <v>2120</v>
      </c>
      <c r="G395" s="52" t="s">
        <v>2119</v>
      </c>
      <c r="H395" s="51" t="s">
        <v>2121</v>
      </c>
    </row>
    <row r="396" spans="1:8" x14ac:dyDescent="0.3">
      <c r="A396" s="51" t="s">
        <v>2122</v>
      </c>
      <c r="B396" s="51" t="s">
        <v>2123</v>
      </c>
      <c r="C396" s="52" t="s">
        <v>2124</v>
      </c>
      <c r="D396" s="53" t="s">
        <v>1653</v>
      </c>
      <c r="E396" s="52" t="s">
        <v>1654</v>
      </c>
      <c r="F396" s="53" t="s">
        <v>2125</v>
      </c>
      <c r="G396" s="52" t="s">
        <v>2124</v>
      </c>
      <c r="H396" s="51" t="s">
        <v>2126</v>
      </c>
    </row>
    <row r="397" spans="1:8" x14ac:dyDescent="0.3">
      <c r="A397" s="51" t="s">
        <v>2127</v>
      </c>
      <c r="B397" s="51" t="s">
        <v>2128</v>
      </c>
      <c r="C397" s="52" t="s">
        <v>2129</v>
      </c>
      <c r="D397" s="53" t="s">
        <v>166</v>
      </c>
      <c r="E397" s="52" t="s">
        <v>167</v>
      </c>
      <c r="F397" s="53" t="s">
        <v>2130</v>
      </c>
      <c r="G397" s="52" t="s">
        <v>2129</v>
      </c>
      <c r="H397" s="51" t="s">
        <v>2131</v>
      </c>
    </row>
    <row r="398" spans="1:8" x14ac:dyDescent="0.3">
      <c r="A398" s="51" t="s">
        <v>2132</v>
      </c>
      <c r="B398" s="51" t="s">
        <v>2133</v>
      </c>
      <c r="C398" s="52" t="s">
        <v>2134</v>
      </c>
      <c r="D398" s="53" t="s">
        <v>166</v>
      </c>
      <c r="E398" s="52" t="s">
        <v>167</v>
      </c>
      <c r="F398" s="53" t="s">
        <v>2135</v>
      </c>
      <c r="G398" s="52" t="s">
        <v>2134</v>
      </c>
      <c r="H398" s="51" t="s">
        <v>2136</v>
      </c>
    </row>
    <row r="399" spans="1:8" x14ac:dyDescent="0.3">
      <c r="A399" s="51" t="s">
        <v>2137</v>
      </c>
      <c r="B399" s="51" t="s">
        <v>2138</v>
      </c>
      <c r="C399" s="52" t="s">
        <v>2139</v>
      </c>
      <c r="D399" s="53" t="s">
        <v>321</v>
      </c>
      <c r="E399" s="52" t="s">
        <v>322</v>
      </c>
      <c r="F399" s="53" t="s">
        <v>2140</v>
      </c>
      <c r="G399" s="52" t="s">
        <v>2139</v>
      </c>
      <c r="H399" s="51" t="s">
        <v>2141</v>
      </c>
    </row>
    <row r="400" spans="1:8" x14ac:dyDescent="0.3">
      <c r="A400" s="51" t="s">
        <v>2142</v>
      </c>
      <c r="B400" s="51" t="s">
        <v>2143</v>
      </c>
      <c r="C400" s="52" t="s">
        <v>2144</v>
      </c>
      <c r="D400" s="53" t="s">
        <v>166</v>
      </c>
      <c r="E400" s="52" t="s">
        <v>167</v>
      </c>
      <c r="F400" s="53" t="s">
        <v>2145</v>
      </c>
      <c r="G400" s="52" t="s">
        <v>2144</v>
      </c>
      <c r="H400" s="51" t="s">
        <v>2146</v>
      </c>
    </row>
    <row r="401" spans="1:8" x14ac:dyDescent="0.3">
      <c r="A401" s="51" t="s">
        <v>2147</v>
      </c>
      <c r="B401" s="51" t="s">
        <v>2148</v>
      </c>
      <c r="C401" s="52" t="s">
        <v>2149</v>
      </c>
      <c r="D401" s="53" t="s">
        <v>166</v>
      </c>
      <c r="E401" s="52" t="s">
        <v>167</v>
      </c>
      <c r="F401" s="53" t="s">
        <v>2150</v>
      </c>
      <c r="G401" s="52" t="s">
        <v>2149</v>
      </c>
      <c r="H401" s="51" t="s">
        <v>2151</v>
      </c>
    </row>
    <row r="402" spans="1:8" x14ac:dyDescent="0.3">
      <c r="A402" s="51" t="s">
        <v>119</v>
      </c>
      <c r="B402" s="51" t="s">
        <v>2152</v>
      </c>
      <c r="C402" s="52" t="s">
        <v>120</v>
      </c>
      <c r="D402" s="53" t="s">
        <v>166</v>
      </c>
      <c r="E402" s="52" t="s">
        <v>167</v>
      </c>
      <c r="F402" s="53" t="s">
        <v>2153</v>
      </c>
      <c r="G402" s="52" t="s">
        <v>120</v>
      </c>
      <c r="H402" s="51" t="s">
        <v>2154</v>
      </c>
    </row>
    <row r="403" spans="1:8" x14ac:dyDescent="0.3">
      <c r="A403" s="51" t="s">
        <v>2155</v>
      </c>
      <c r="B403" s="51" t="s">
        <v>2156</v>
      </c>
      <c r="C403" s="52" t="s">
        <v>2157</v>
      </c>
      <c r="D403" s="53" t="s">
        <v>213</v>
      </c>
      <c r="E403" s="52" t="s">
        <v>214</v>
      </c>
      <c r="F403" s="53" t="s">
        <v>2158</v>
      </c>
      <c r="G403" s="52" t="s">
        <v>2157</v>
      </c>
      <c r="H403" s="51" t="s">
        <v>2159</v>
      </c>
    </row>
    <row r="404" spans="1:8" x14ac:dyDescent="0.3">
      <c r="A404" s="51" t="s">
        <v>2160</v>
      </c>
      <c r="B404" s="51" t="s">
        <v>2161</v>
      </c>
      <c r="C404" s="52" t="s">
        <v>2162</v>
      </c>
      <c r="D404" s="53" t="s">
        <v>321</v>
      </c>
      <c r="E404" s="52" t="s">
        <v>322</v>
      </c>
      <c r="F404" s="53" t="s">
        <v>2163</v>
      </c>
      <c r="G404" s="52" t="s">
        <v>2162</v>
      </c>
      <c r="H404" s="51" t="s">
        <v>2164</v>
      </c>
    </row>
    <row r="405" spans="1:8" x14ac:dyDescent="0.3">
      <c r="A405" s="51" t="s">
        <v>2165</v>
      </c>
      <c r="B405" s="51" t="s">
        <v>2166</v>
      </c>
      <c r="C405" s="52" t="s">
        <v>2167</v>
      </c>
      <c r="D405" s="53" t="s">
        <v>166</v>
      </c>
      <c r="E405" s="52" t="s">
        <v>167</v>
      </c>
      <c r="F405" s="53" t="s">
        <v>2168</v>
      </c>
      <c r="G405" s="52" t="s">
        <v>2167</v>
      </c>
      <c r="H405" s="51" t="s">
        <v>2169</v>
      </c>
    </row>
    <row r="406" spans="1:8" x14ac:dyDescent="0.3">
      <c r="A406" s="51" t="s">
        <v>2170</v>
      </c>
      <c r="B406" s="51" t="s">
        <v>2171</v>
      </c>
      <c r="C406" s="52" t="s">
        <v>2172</v>
      </c>
      <c r="D406" s="53" t="s">
        <v>166</v>
      </c>
      <c r="E406" s="52" t="s">
        <v>167</v>
      </c>
      <c r="F406" s="53" t="s">
        <v>2173</v>
      </c>
      <c r="G406" s="52" t="s">
        <v>2172</v>
      </c>
      <c r="H406" s="51" t="s">
        <v>2174</v>
      </c>
    </row>
    <row r="407" spans="1:8" x14ac:dyDescent="0.3">
      <c r="A407" s="51" t="s">
        <v>2175</v>
      </c>
      <c r="B407" s="51" t="s">
        <v>2176</v>
      </c>
      <c r="C407" s="52" t="s">
        <v>2177</v>
      </c>
      <c r="D407" s="53" t="s">
        <v>1685</v>
      </c>
      <c r="E407" s="52" t="s">
        <v>1686</v>
      </c>
      <c r="F407" s="53" t="s">
        <v>2178</v>
      </c>
      <c r="G407" s="52" t="s">
        <v>2177</v>
      </c>
      <c r="H407" s="51" t="s">
        <v>2179</v>
      </c>
    </row>
    <row r="408" spans="1:8" x14ac:dyDescent="0.3">
      <c r="A408" s="51" t="s">
        <v>121</v>
      </c>
      <c r="B408" s="51" t="s">
        <v>2180</v>
      </c>
      <c r="C408" s="52" t="s">
        <v>122</v>
      </c>
      <c r="D408" s="53" t="s">
        <v>166</v>
      </c>
      <c r="E408" s="52" t="s">
        <v>167</v>
      </c>
      <c r="F408" s="53" t="s">
        <v>2181</v>
      </c>
      <c r="G408" s="52" t="s">
        <v>122</v>
      </c>
      <c r="H408" s="51" t="s">
        <v>2182</v>
      </c>
    </row>
    <row r="409" spans="1:8" x14ac:dyDescent="0.3">
      <c r="A409" s="51" t="s">
        <v>2183</v>
      </c>
      <c r="B409" s="51" t="s">
        <v>2184</v>
      </c>
      <c r="C409" s="52" t="s">
        <v>2185</v>
      </c>
      <c r="D409" s="53" t="s">
        <v>523</v>
      </c>
      <c r="E409" s="52" t="s">
        <v>524</v>
      </c>
      <c r="F409" s="53" t="s">
        <v>2186</v>
      </c>
      <c r="G409" s="52" t="s">
        <v>2185</v>
      </c>
      <c r="H409" s="51" t="s">
        <v>2187</v>
      </c>
    </row>
    <row r="410" spans="1:8" x14ac:dyDescent="0.3">
      <c r="A410" s="51" t="s">
        <v>2188</v>
      </c>
      <c r="B410" s="51" t="s">
        <v>2189</v>
      </c>
      <c r="C410" s="52" t="s">
        <v>2190</v>
      </c>
      <c r="D410" s="53" t="s">
        <v>166</v>
      </c>
      <c r="E410" s="52" t="s">
        <v>167</v>
      </c>
      <c r="F410" s="53" t="s">
        <v>2191</v>
      </c>
      <c r="G410" s="52" t="s">
        <v>2190</v>
      </c>
      <c r="H410" s="51" t="s">
        <v>2192</v>
      </c>
    </row>
    <row r="411" spans="1:8" x14ac:dyDescent="0.3">
      <c r="A411" s="51" t="s">
        <v>2193</v>
      </c>
      <c r="B411" s="51" t="s">
        <v>2194</v>
      </c>
      <c r="C411" s="52" t="s">
        <v>2195</v>
      </c>
      <c r="D411" s="53" t="s">
        <v>321</v>
      </c>
      <c r="E411" s="52" t="s">
        <v>322</v>
      </c>
      <c r="F411" s="53" t="s">
        <v>2196</v>
      </c>
      <c r="G411" s="52" t="s">
        <v>2195</v>
      </c>
      <c r="H411" s="51" t="s">
        <v>2197</v>
      </c>
    </row>
    <row r="412" spans="1:8" x14ac:dyDescent="0.3">
      <c r="A412" s="51" t="s">
        <v>2198</v>
      </c>
      <c r="B412" s="51" t="s">
        <v>2199</v>
      </c>
      <c r="C412" s="52" t="s">
        <v>2200</v>
      </c>
      <c r="D412" s="53" t="s">
        <v>166</v>
      </c>
      <c r="E412" s="52" t="s">
        <v>167</v>
      </c>
      <c r="F412" s="53" t="s">
        <v>2201</v>
      </c>
      <c r="G412" s="52" t="s">
        <v>2200</v>
      </c>
      <c r="H412" s="51" t="s">
        <v>2202</v>
      </c>
    </row>
    <row r="413" spans="1:8" x14ac:dyDescent="0.3">
      <c r="A413" s="51" t="s">
        <v>2203</v>
      </c>
      <c r="B413" s="51" t="s">
        <v>2204</v>
      </c>
      <c r="C413" s="52" t="s">
        <v>2205</v>
      </c>
      <c r="D413" s="53" t="s">
        <v>166</v>
      </c>
      <c r="E413" s="52" t="s">
        <v>167</v>
      </c>
      <c r="F413" s="53" t="s">
        <v>2206</v>
      </c>
      <c r="G413" s="52" t="s">
        <v>2205</v>
      </c>
      <c r="H413" s="51" t="s">
        <v>2207</v>
      </c>
    </row>
    <row r="414" spans="1:8" x14ac:dyDescent="0.3">
      <c r="A414" s="51" t="s">
        <v>2208</v>
      </c>
      <c r="B414" s="51" t="s">
        <v>2209</v>
      </c>
      <c r="C414" s="52" t="s">
        <v>2210</v>
      </c>
      <c r="D414" s="53" t="s">
        <v>166</v>
      </c>
      <c r="E414" s="52" t="s">
        <v>167</v>
      </c>
      <c r="F414" s="53" t="s">
        <v>2211</v>
      </c>
      <c r="G414" s="52" t="s">
        <v>2210</v>
      </c>
      <c r="H414" s="51" t="s">
        <v>2212</v>
      </c>
    </row>
    <row r="415" spans="1:8" x14ac:dyDescent="0.3">
      <c r="A415" s="51" t="s">
        <v>2213</v>
      </c>
      <c r="B415" s="51" t="s">
        <v>2214</v>
      </c>
      <c r="C415" s="52" t="s">
        <v>2215</v>
      </c>
      <c r="D415" s="53" t="s">
        <v>213</v>
      </c>
      <c r="E415" s="52" t="s">
        <v>214</v>
      </c>
      <c r="F415" s="53" t="s">
        <v>2216</v>
      </c>
      <c r="G415" s="52" t="s">
        <v>2215</v>
      </c>
      <c r="H415" s="51" t="s">
        <v>2217</v>
      </c>
    </row>
    <row r="416" spans="1:8" x14ac:dyDescent="0.3">
      <c r="A416" s="51" t="s">
        <v>2218</v>
      </c>
      <c r="B416" s="51" t="s">
        <v>2219</v>
      </c>
      <c r="C416" s="52" t="s">
        <v>2220</v>
      </c>
      <c r="D416" s="53" t="s">
        <v>166</v>
      </c>
      <c r="E416" s="52" t="s">
        <v>167</v>
      </c>
      <c r="F416" s="53" t="s">
        <v>2221</v>
      </c>
      <c r="G416" s="52" t="s">
        <v>2220</v>
      </c>
      <c r="H416" s="51" t="s">
        <v>2222</v>
      </c>
    </row>
    <row r="417" spans="1:8" x14ac:dyDescent="0.3">
      <c r="A417" s="51" t="s">
        <v>2223</v>
      </c>
      <c r="B417" s="51" t="s">
        <v>2224</v>
      </c>
      <c r="C417" s="52" t="s">
        <v>2225</v>
      </c>
      <c r="D417" s="53" t="s">
        <v>523</v>
      </c>
      <c r="E417" s="52" t="s">
        <v>524</v>
      </c>
      <c r="F417" s="53" t="s">
        <v>2226</v>
      </c>
      <c r="G417" s="52" t="s">
        <v>2225</v>
      </c>
      <c r="H417" s="51" t="s">
        <v>2227</v>
      </c>
    </row>
    <row r="418" spans="1:8" x14ac:dyDescent="0.3">
      <c r="A418" s="51" t="s">
        <v>123</v>
      </c>
      <c r="B418" s="51" t="s">
        <v>2228</v>
      </c>
      <c r="C418" s="52" t="s">
        <v>124</v>
      </c>
      <c r="D418" s="53" t="s">
        <v>166</v>
      </c>
      <c r="E418" s="52" t="s">
        <v>167</v>
      </c>
      <c r="F418" s="53" t="s">
        <v>2229</v>
      </c>
      <c r="G418" s="52" t="s">
        <v>124</v>
      </c>
      <c r="H418" s="51" t="s">
        <v>2230</v>
      </c>
    </row>
    <row r="419" spans="1:8" x14ac:dyDescent="0.3">
      <c r="A419" s="51" t="s">
        <v>125</v>
      </c>
      <c r="B419" s="51" t="s">
        <v>2231</v>
      </c>
      <c r="C419" s="52" t="s">
        <v>126</v>
      </c>
      <c r="D419" s="53" t="s">
        <v>166</v>
      </c>
      <c r="E419" s="52" t="s">
        <v>167</v>
      </c>
      <c r="F419" s="53" t="s">
        <v>2232</v>
      </c>
      <c r="G419" s="52" t="s">
        <v>126</v>
      </c>
      <c r="H419" s="51" t="s">
        <v>2233</v>
      </c>
    </row>
    <row r="420" spans="1:8" x14ac:dyDescent="0.3">
      <c r="A420" s="51" t="s">
        <v>2234</v>
      </c>
      <c r="B420" s="51" t="s">
        <v>2235</v>
      </c>
      <c r="C420" s="52" t="s">
        <v>2236</v>
      </c>
      <c r="D420" s="53" t="s">
        <v>166</v>
      </c>
      <c r="E420" s="52" t="s">
        <v>167</v>
      </c>
      <c r="F420" s="53" t="s">
        <v>2237</v>
      </c>
      <c r="G420" s="52" t="s">
        <v>2236</v>
      </c>
      <c r="H420" s="51" t="s">
        <v>2238</v>
      </c>
    </row>
    <row r="421" spans="1:8" x14ac:dyDescent="0.3">
      <c r="A421" s="51" t="s">
        <v>2239</v>
      </c>
      <c r="B421" s="51" t="s">
        <v>2240</v>
      </c>
      <c r="C421" s="52" t="s">
        <v>2241</v>
      </c>
      <c r="D421" s="53" t="s">
        <v>242</v>
      </c>
      <c r="E421" s="52" t="s">
        <v>243</v>
      </c>
      <c r="F421" s="53" t="s">
        <v>2242</v>
      </c>
      <c r="G421" s="52" t="s">
        <v>2241</v>
      </c>
      <c r="H421" s="51" t="s">
        <v>2243</v>
      </c>
    </row>
    <row r="422" spans="1:8" x14ac:dyDescent="0.3">
      <c r="A422" s="51" t="s">
        <v>2244</v>
      </c>
      <c r="B422" s="51" t="s">
        <v>2245</v>
      </c>
      <c r="C422" s="52" t="s">
        <v>2246</v>
      </c>
      <c r="D422" s="53" t="s">
        <v>166</v>
      </c>
      <c r="E422" s="52" t="s">
        <v>167</v>
      </c>
      <c r="F422" s="53" t="s">
        <v>2247</v>
      </c>
      <c r="G422" s="52" t="s">
        <v>2246</v>
      </c>
      <c r="H422" s="51" t="s">
        <v>2248</v>
      </c>
    </row>
    <row r="423" spans="1:8" x14ac:dyDescent="0.3">
      <c r="A423" s="51" t="s">
        <v>2249</v>
      </c>
      <c r="B423" s="51" t="s">
        <v>2250</v>
      </c>
      <c r="C423" s="52" t="s">
        <v>2251</v>
      </c>
      <c r="D423" s="53" t="s">
        <v>1678</v>
      </c>
      <c r="E423" s="52" t="s">
        <v>1679</v>
      </c>
      <c r="F423" s="53" t="s">
        <v>2252</v>
      </c>
      <c r="G423" s="52" t="s">
        <v>2251</v>
      </c>
      <c r="H423" s="51" t="s">
        <v>2253</v>
      </c>
    </row>
    <row r="424" spans="1:8" x14ac:dyDescent="0.3">
      <c r="A424" s="51" t="s">
        <v>2254</v>
      </c>
      <c r="B424" s="51" t="s">
        <v>2255</v>
      </c>
      <c r="C424" s="52" t="s">
        <v>2256</v>
      </c>
      <c r="D424" s="53" t="s">
        <v>1678</v>
      </c>
      <c r="E424" s="52" t="s">
        <v>1679</v>
      </c>
      <c r="F424" s="53" t="s">
        <v>2257</v>
      </c>
      <c r="G424" s="52" t="s">
        <v>2256</v>
      </c>
      <c r="H424" s="51" t="s">
        <v>2258</v>
      </c>
    </row>
    <row r="425" spans="1:8" x14ac:dyDescent="0.3">
      <c r="A425" s="51" t="s">
        <v>2259</v>
      </c>
      <c r="B425" s="51" t="s">
        <v>2260</v>
      </c>
      <c r="C425" s="52" t="s">
        <v>1180</v>
      </c>
      <c r="D425" s="53" t="s">
        <v>166</v>
      </c>
      <c r="E425" s="52" t="s">
        <v>167</v>
      </c>
      <c r="F425" s="53" t="s">
        <v>2261</v>
      </c>
      <c r="G425" s="52" t="s">
        <v>1180</v>
      </c>
      <c r="H425" s="51" t="s">
        <v>2262</v>
      </c>
    </row>
    <row r="426" spans="1:8" x14ac:dyDescent="0.3">
      <c r="A426" s="51" t="s">
        <v>127</v>
      </c>
      <c r="B426" s="51" t="s">
        <v>2263</v>
      </c>
      <c r="C426" s="52" t="s">
        <v>128</v>
      </c>
      <c r="D426" s="53" t="s">
        <v>166</v>
      </c>
      <c r="E426" s="52" t="s">
        <v>167</v>
      </c>
      <c r="F426" s="53" t="s">
        <v>2264</v>
      </c>
      <c r="G426" s="52" t="s">
        <v>128</v>
      </c>
      <c r="H426" s="51" t="s">
        <v>2265</v>
      </c>
    </row>
    <row r="427" spans="1:8" x14ac:dyDescent="0.3">
      <c r="A427" s="51" t="s">
        <v>129</v>
      </c>
      <c r="B427" s="51" t="s">
        <v>2266</v>
      </c>
      <c r="C427" s="52" t="s">
        <v>130</v>
      </c>
      <c r="D427" s="53" t="s">
        <v>2267</v>
      </c>
      <c r="E427" s="52" t="s">
        <v>2268</v>
      </c>
      <c r="F427" s="53" t="s">
        <v>2269</v>
      </c>
      <c r="G427" s="52" t="s">
        <v>130</v>
      </c>
      <c r="H427" s="51" t="s">
        <v>2270</v>
      </c>
    </row>
    <row r="428" spans="1:8" x14ac:dyDescent="0.3">
      <c r="A428" s="51" t="s">
        <v>2271</v>
      </c>
      <c r="B428" s="51" t="s">
        <v>2272</v>
      </c>
      <c r="C428" s="52" t="s">
        <v>2273</v>
      </c>
      <c r="D428" s="53" t="s">
        <v>166</v>
      </c>
      <c r="E428" s="52" t="s">
        <v>167</v>
      </c>
      <c r="F428" s="53" t="s">
        <v>2274</v>
      </c>
      <c r="G428" s="52" t="s">
        <v>2273</v>
      </c>
      <c r="H428" s="51" t="s">
        <v>2275</v>
      </c>
    </row>
    <row r="429" spans="1:8" x14ac:dyDescent="0.3">
      <c r="A429" s="51" t="s">
        <v>2276</v>
      </c>
      <c r="B429" s="51" t="s">
        <v>2277</v>
      </c>
      <c r="C429" s="52" t="s">
        <v>2278</v>
      </c>
      <c r="D429" s="53" t="s">
        <v>166</v>
      </c>
      <c r="E429" s="52" t="s">
        <v>167</v>
      </c>
      <c r="F429" s="53" t="s">
        <v>2279</v>
      </c>
      <c r="G429" s="52" t="s">
        <v>2278</v>
      </c>
      <c r="H429" s="51" t="s">
        <v>2280</v>
      </c>
    </row>
    <row r="430" spans="1:8" x14ac:dyDescent="0.3">
      <c r="A430" s="51" t="s">
        <v>2281</v>
      </c>
      <c r="B430" s="51" t="s">
        <v>2282</v>
      </c>
      <c r="C430" s="52" t="s">
        <v>2283</v>
      </c>
      <c r="D430" s="53" t="s">
        <v>166</v>
      </c>
      <c r="E430" s="52" t="s">
        <v>167</v>
      </c>
      <c r="F430" s="53" t="s">
        <v>2284</v>
      </c>
      <c r="G430" s="52" t="s">
        <v>2283</v>
      </c>
      <c r="H430" s="51" t="s">
        <v>2285</v>
      </c>
    </row>
    <row r="431" spans="1:8" x14ac:dyDescent="0.3">
      <c r="A431" s="51" t="s">
        <v>2286</v>
      </c>
      <c r="B431" s="51" t="s">
        <v>2287</v>
      </c>
      <c r="C431" s="52" t="s">
        <v>2288</v>
      </c>
      <c r="D431" s="53" t="s">
        <v>166</v>
      </c>
      <c r="E431" s="52" t="s">
        <v>167</v>
      </c>
      <c r="F431" s="53" t="s">
        <v>2289</v>
      </c>
      <c r="G431" s="52" t="s">
        <v>2288</v>
      </c>
      <c r="H431" s="51" t="s">
        <v>2290</v>
      </c>
    </row>
    <row r="432" spans="1:8" x14ac:dyDescent="0.3">
      <c r="A432" s="51" t="s">
        <v>2291</v>
      </c>
      <c r="B432" s="51" t="s">
        <v>2292</v>
      </c>
      <c r="C432" s="52" t="s">
        <v>2293</v>
      </c>
      <c r="D432" s="53" t="s">
        <v>166</v>
      </c>
      <c r="E432" s="52" t="s">
        <v>167</v>
      </c>
      <c r="F432" s="53" t="s">
        <v>2294</v>
      </c>
      <c r="G432" s="52" t="s">
        <v>2293</v>
      </c>
      <c r="H432" s="51" t="s">
        <v>2295</v>
      </c>
    </row>
    <row r="433" spans="1:8" x14ac:dyDescent="0.3">
      <c r="A433" s="51" t="s">
        <v>2296</v>
      </c>
      <c r="B433" s="51" t="s">
        <v>2297</v>
      </c>
      <c r="C433" s="52" t="s">
        <v>2298</v>
      </c>
      <c r="D433" s="53" t="s">
        <v>166</v>
      </c>
      <c r="E433" s="52" t="s">
        <v>167</v>
      </c>
      <c r="F433" s="53" t="s">
        <v>2299</v>
      </c>
      <c r="G433" s="52" t="s">
        <v>2298</v>
      </c>
      <c r="H433" s="51" t="s">
        <v>2300</v>
      </c>
    </row>
    <row r="434" spans="1:8" x14ac:dyDescent="0.3">
      <c r="A434" s="51" t="s">
        <v>2301</v>
      </c>
      <c r="B434" s="51" t="s">
        <v>2302</v>
      </c>
      <c r="C434" s="52" t="s">
        <v>2303</v>
      </c>
      <c r="D434" s="53" t="s">
        <v>321</v>
      </c>
      <c r="E434" s="52" t="s">
        <v>322</v>
      </c>
      <c r="F434" s="53" t="s">
        <v>2304</v>
      </c>
      <c r="G434" s="52" t="s">
        <v>2303</v>
      </c>
      <c r="H434" s="51" t="s">
        <v>2305</v>
      </c>
    </row>
    <row r="435" spans="1:8" x14ac:dyDescent="0.3">
      <c r="A435" s="51" t="s">
        <v>2306</v>
      </c>
      <c r="B435" s="51" t="s">
        <v>2307</v>
      </c>
      <c r="C435" s="52" t="s">
        <v>2308</v>
      </c>
      <c r="D435" s="53" t="s">
        <v>213</v>
      </c>
      <c r="E435" s="52" t="s">
        <v>214</v>
      </c>
      <c r="F435" s="53" t="s">
        <v>2309</v>
      </c>
      <c r="G435" s="52" t="s">
        <v>2308</v>
      </c>
      <c r="H435" s="51" t="s">
        <v>2310</v>
      </c>
    </row>
    <row r="436" spans="1:8" x14ac:dyDescent="0.3">
      <c r="A436" s="51" t="s">
        <v>2311</v>
      </c>
      <c r="B436" s="51" t="s">
        <v>2312</v>
      </c>
      <c r="C436" s="52" t="s">
        <v>2313</v>
      </c>
      <c r="D436" s="53" t="s">
        <v>166</v>
      </c>
      <c r="E436" s="52" t="s">
        <v>167</v>
      </c>
      <c r="F436" s="53" t="s">
        <v>2314</v>
      </c>
      <c r="G436" s="52" t="s">
        <v>2313</v>
      </c>
      <c r="H436" s="51" t="s">
        <v>2315</v>
      </c>
    </row>
    <row r="437" spans="1:8" x14ac:dyDescent="0.3">
      <c r="A437" s="51" t="s">
        <v>2316</v>
      </c>
      <c r="B437" s="51" t="s">
        <v>2317</v>
      </c>
      <c r="C437" s="52" t="s">
        <v>2318</v>
      </c>
      <c r="D437" s="53" t="s">
        <v>166</v>
      </c>
      <c r="E437" s="52" t="s">
        <v>167</v>
      </c>
      <c r="F437" s="53" t="s">
        <v>2319</v>
      </c>
      <c r="G437" s="52" t="s">
        <v>2318</v>
      </c>
      <c r="H437" s="51" t="s">
        <v>2320</v>
      </c>
    </row>
    <row r="438" spans="1:8" x14ac:dyDescent="0.3">
      <c r="A438" s="51" t="s">
        <v>2321</v>
      </c>
      <c r="B438" s="51" t="s">
        <v>2322</v>
      </c>
      <c r="C438" s="52" t="s">
        <v>2323</v>
      </c>
      <c r="D438" s="53" t="s">
        <v>166</v>
      </c>
      <c r="E438" s="52" t="s">
        <v>167</v>
      </c>
      <c r="F438" s="53" t="s">
        <v>2324</v>
      </c>
      <c r="G438" s="52" t="s">
        <v>2323</v>
      </c>
      <c r="H438" s="51" t="s">
        <v>2325</v>
      </c>
    </row>
    <row r="439" spans="1:8" x14ac:dyDescent="0.3">
      <c r="A439" s="51" t="s">
        <v>2326</v>
      </c>
      <c r="B439" s="51" t="s">
        <v>2327</v>
      </c>
      <c r="C439" s="52" t="s">
        <v>2328</v>
      </c>
      <c r="D439" s="53" t="s">
        <v>166</v>
      </c>
      <c r="E439" s="52" t="s">
        <v>167</v>
      </c>
      <c r="F439" s="53" t="s">
        <v>2329</v>
      </c>
      <c r="G439" s="52" t="s">
        <v>2328</v>
      </c>
      <c r="H439" s="51" t="s">
        <v>2330</v>
      </c>
    </row>
    <row r="440" spans="1:8" x14ac:dyDescent="0.3">
      <c r="A440" s="51" t="s">
        <v>2331</v>
      </c>
      <c r="B440" s="51" t="s">
        <v>2332</v>
      </c>
      <c r="C440" s="52" t="s">
        <v>2333</v>
      </c>
      <c r="D440" s="53" t="s">
        <v>166</v>
      </c>
      <c r="E440" s="52" t="s">
        <v>167</v>
      </c>
      <c r="F440" s="53" t="s">
        <v>2334</v>
      </c>
      <c r="G440" s="52" t="s">
        <v>2333</v>
      </c>
      <c r="H440" s="51" t="s">
        <v>2335</v>
      </c>
    </row>
    <row r="441" spans="1:8" x14ac:dyDescent="0.3">
      <c r="A441" s="51" t="s">
        <v>2336</v>
      </c>
      <c r="B441" s="51" t="s">
        <v>2337</v>
      </c>
      <c r="C441" s="52" t="s">
        <v>2338</v>
      </c>
      <c r="D441" s="53" t="s">
        <v>166</v>
      </c>
      <c r="E441" s="52" t="s">
        <v>167</v>
      </c>
      <c r="F441" s="53" t="s">
        <v>2339</v>
      </c>
      <c r="G441" s="52" t="s">
        <v>2338</v>
      </c>
      <c r="H441" s="51" t="s">
        <v>2340</v>
      </c>
    </row>
    <row r="442" spans="1:8" x14ac:dyDescent="0.3">
      <c r="A442" s="51" t="s">
        <v>2341</v>
      </c>
      <c r="B442" s="51" t="s">
        <v>2342</v>
      </c>
      <c r="C442" s="52" t="s">
        <v>2343</v>
      </c>
      <c r="D442" s="53" t="s">
        <v>166</v>
      </c>
      <c r="E442" s="52" t="s">
        <v>167</v>
      </c>
      <c r="F442" s="53" t="s">
        <v>2344</v>
      </c>
      <c r="G442" s="52" t="s">
        <v>2343</v>
      </c>
      <c r="H442" s="51" t="s">
        <v>2345</v>
      </c>
    </row>
    <row r="443" spans="1:8" x14ac:dyDescent="0.3">
      <c r="A443" s="51" t="s">
        <v>2346</v>
      </c>
      <c r="B443" s="51" t="s">
        <v>2347</v>
      </c>
      <c r="C443" s="52" t="s">
        <v>2348</v>
      </c>
      <c r="D443" s="53" t="s">
        <v>166</v>
      </c>
      <c r="E443" s="52" t="s">
        <v>167</v>
      </c>
      <c r="F443" s="53" t="s">
        <v>2349</v>
      </c>
      <c r="G443" s="52" t="s">
        <v>2348</v>
      </c>
      <c r="H443" s="51" t="s">
        <v>2350</v>
      </c>
    </row>
    <row r="444" spans="1:8" x14ac:dyDescent="0.3">
      <c r="A444" s="51" t="s">
        <v>2351</v>
      </c>
      <c r="B444" s="51" t="s">
        <v>2352</v>
      </c>
      <c r="C444" s="52" t="s">
        <v>2353</v>
      </c>
      <c r="D444" s="53" t="s">
        <v>166</v>
      </c>
      <c r="E444" s="52" t="s">
        <v>167</v>
      </c>
      <c r="F444" s="53" t="s">
        <v>2354</v>
      </c>
      <c r="G444" s="52" t="s">
        <v>2353</v>
      </c>
      <c r="H444" s="51" t="s">
        <v>2355</v>
      </c>
    </row>
    <row r="445" spans="1:8" x14ac:dyDescent="0.3">
      <c r="A445" s="51" t="s">
        <v>2356</v>
      </c>
      <c r="B445" s="51" t="s">
        <v>2357</v>
      </c>
      <c r="C445" s="52" t="s">
        <v>2358</v>
      </c>
      <c r="D445" s="53" t="s">
        <v>1653</v>
      </c>
      <c r="E445" s="52" t="s">
        <v>1654</v>
      </c>
      <c r="F445" s="53" t="s">
        <v>2359</v>
      </c>
      <c r="G445" s="52" t="s">
        <v>2358</v>
      </c>
      <c r="H445" s="51" t="s">
        <v>2360</v>
      </c>
    </row>
    <row r="446" spans="1:8" x14ac:dyDescent="0.3">
      <c r="A446" s="51" t="s">
        <v>2361</v>
      </c>
      <c r="B446" s="51" t="s">
        <v>2362</v>
      </c>
      <c r="C446" s="52" t="s">
        <v>2363</v>
      </c>
      <c r="D446" s="53" t="s">
        <v>166</v>
      </c>
      <c r="E446" s="52" t="s">
        <v>167</v>
      </c>
      <c r="F446" s="53" t="s">
        <v>2364</v>
      </c>
      <c r="G446" s="52" t="s">
        <v>2363</v>
      </c>
      <c r="H446" s="51" t="s">
        <v>2365</v>
      </c>
    </row>
    <row r="447" spans="1:8" x14ac:dyDescent="0.3">
      <c r="A447" s="51" t="s">
        <v>2366</v>
      </c>
      <c r="B447" s="51" t="s">
        <v>2367</v>
      </c>
      <c r="C447" s="52" t="s">
        <v>2368</v>
      </c>
      <c r="D447" s="53" t="s">
        <v>242</v>
      </c>
      <c r="E447" s="52" t="s">
        <v>243</v>
      </c>
      <c r="F447" s="53" t="s">
        <v>2369</v>
      </c>
      <c r="G447" s="52" t="s">
        <v>2368</v>
      </c>
      <c r="H447" s="51" t="s">
        <v>2370</v>
      </c>
    </row>
    <row r="448" spans="1:8" x14ac:dyDescent="0.3">
      <c r="A448" s="51" t="s">
        <v>2371</v>
      </c>
      <c r="B448" s="51" t="s">
        <v>2372</v>
      </c>
      <c r="C448" s="52" t="s">
        <v>2373</v>
      </c>
      <c r="D448" s="53" t="s">
        <v>166</v>
      </c>
      <c r="E448" s="52" t="s">
        <v>167</v>
      </c>
      <c r="F448" s="53" t="s">
        <v>2374</v>
      </c>
      <c r="G448" s="52" t="s">
        <v>2373</v>
      </c>
      <c r="H448" s="51" t="s">
        <v>2375</v>
      </c>
    </row>
    <row r="449" spans="1:8" x14ac:dyDescent="0.3">
      <c r="A449" s="51" t="s">
        <v>2376</v>
      </c>
      <c r="B449" s="51" t="s">
        <v>2377</v>
      </c>
      <c r="C449" s="52" t="s">
        <v>2378</v>
      </c>
      <c r="D449" s="53" t="s">
        <v>166</v>
      </c>
      <c r="E449" s="52" t="s">
        <v>167</v>
      </c>
      <c r="F449" s="53" t="s">
        <v>2379</v>
      </c>
      <c r="G449" s="52" t="s">
        <v>2378</v>
      </c>
      <c r="H449" s="51" t="s">
        <v>2380</v>
      </c>
    </row>
    <row r="450" spans="1:8" x14ac:dyDescent="0.3">
      <c r="A450" s="51" t="s">
        <v>2381</v>
      </c>
      <c r="B450" s="51" t="s">
        <v>2382</v>
      </c>
      <c r="C450" s="52" t="s">
        <v>2383</v>
      </c>
      <c r="D450" s="53" t="s">
        <v>166</v>
      </c>
      <c r="E450" s="52" t="s">
        <v>167</v>
      </c>
      <c r="F450" s="53" t="s">
        <v>2384</v>
      </c>
      <c r="G450" s="52" t="s">
        <v>2383</v>
      </c>
      <c r="H450" s="51" t="s">
        <v>2385</v>
      </c>
    </row>
    <row r="451" spans="1:8" x14ac:dyDescent="0.3">
      <c r="A451" s="51" t="s">
        <v>2386</v>
      </c>
      <c r="B451" s="51" t="s">
        <v>2387</v>
      </c>
      <c r="C451" s="52" t="s">
        <v>2388</v>
      </c>
      <c r="D451" s="53" t="s">
        <v>166</v>
      </c>
      <c r="E451" s="52" t="s">
        <v>167</v>
      </c>
      <c r="F451" s="53" t="s">
        <v>2389</v>
      </c>
      <c r="G451" s="52" t="s">
        <v>2388</v>
      </c>
      <c r="H451" s="51" t="s">
        <v>2390</v>
      </c>
    </row>
    <row r="452" spans="1:8" x14ac:dyDescent="0.3">
      <c r="A452" s="51" t="s">
        <v>2391</v>
      </c>
      <c r="B452" s="51" t="s">
        <v>2392</v>
      </c>
      <c r="C452" s="52" t="s">
        <v>2393</v>
      </c>
      <c r="D452" s="53" t="s">
        <v>166</v>
      </c>
      <c r="E452" s="52" t="s">
        <v>167</v>
      </c>
      <c r="F452" s="53" t="s">
        <v>2394</v>
      </c>
      <c r="G452" s="52" t="s">
        <v>2393</v>
      </c>
      <c r="H452" s="51" t="s">
        <v>2395</v>
      </c>
    </row>
    <row r="453" spans="1:8" x14ac:dyDescent="0.3">
      <c r="A453" s="51" t="s">
        <v>2396</v>
      </c>
      <c r="B453" s="51" t="s">
        <v>2397</v>
      </c>
      <c r="C453" s="52" t="s">
        <v>2398</v>
      </c>
      <c r="D453" s="53" t="s">
        <v>166</v>
      </c>
      <c r="E453" s="52" t="s">
        <v>167</v>
      </c>
      <c r="F453" s="53" t="s">
        <v>2399</v>
      </c>
      <c r="G453" s="52" t="s">
        <v>2398</v>
      </c>
      <c r="H453" s="51" t="s">
        <v>2400</v>
      </c>
    </row>
    <row r="454" spans="1:8" x14ac:dyDescent="0.3">
      <c r="A454" s="51" t="s">
        <v>2401</v>
      </c>
      <c r="B454" s="51" t="s">
        <v>2402</v>
      </c>
      <c r="C454" s="52" t="s">
        <v>2403</v>
      </c>
      <c r="D454" s="53" t="s">
        <v>166</v>
      </c>
      <c r="E454" s="52" t="s">
        <v>167</v>
      </c>
      <c r="F454" s="53" t="s">
        <v>2404</v>
      </c>
      <c r="G454" s="52" t="s">
        <v>2403</v>
      </c>
      <c r="H454" s="51" t="s">
        <v>2405</v>
      </c>
    </row>
    <row r="455" spans="1:8" x14ac:dyDescent="0.3">
      <c r="A455" s="51" t="s">
        <v>2406</v>
      </c>
      <c r="B455" s="51" t="s">
        <v>2407</v>
      </c>
      <c r="C455" s="52" t="s">
        <v>2408</v>
      </c>
      <c r="D455" s="53" t="s">
        <v>166</v>
      </c>
      <c r="E455" s="52" t="s">
        <v>167</v>
      </c>
      <c r="F455" s="53" t="s">
        <v>2409</v>
      </c>
      <c r="G455" s="52" t="s">
        <v>2408</v>
      </c>
      <c r="H455" s="51" t="s">
        <v>2410</v>
      </c>
    </row>
    <row r="456" spans="1:8" x14ac:dyDescent="0.3">
      <c r="A456" s="51" t="s">
        <v>2411</v>
      </c>
      <c r="B456" s="51" t="s">
        <v>2412</v>
      </c>
      <c r="C456" s="52" t="s">
        <v>2413</v>
      </c>
      <c r="D456" s="53" t="s">
        <v>166</v>
      </c>
      <c r="E456" s="52" t="s">
        <v>167</v>
      </c>
      <c r="F456" s="53" t="s">
        <v>2414</v>
      </c>
      <c r="G456" s="52" t="s">
        <v>2413</v>
      </c>
      <c r="H456" s="51" t="s">
        <v>2415</v>
      </c>
    </row>
    <row r="457" spans="1:8" x14ac:dyDescent="0.3">
      <c r="A457" s="51" t="s">
        <v>2416</v>
      </c>
      <c r="B457" s="51" t="s">
        <v>2417</v>
      </c>
      <c r="C457" s="52" t="s">
        <v>2418</v>
      </c>
      <c r="D457" s="53" t="s">
        <v>166</v>
      </c>
      <c r="E457" s="52" t="s">
        <v>167</v>
      </c>
      <c r="F457" s="53" t="s">
        <v>2419</v>
      </c>
      <c r="G457" s="52" t="s">
        <v>2418</v>
      </c>
      <c r="H457" s="51" t="s">
        <v>2420</v>
      </c>
    </row>
    <row r="458" spans="1:8" x14ac:dyDescent="0.3">
      <c r="A458" s="51" t="s">
        <v>2421</v>
      </c>
      <c r="B458" s="51" t="s">
        <v>2422</v>
      </c>
      <c r="C458" s="52" t="s">
        <v>2423</v>
      </c>
      <c r="D458" s="53" t="s">
        <v>166</v>
      </c>
      <c r="E458" s="52" t="s">
        <v>167</v>
      </c>
      <c r="F458" s="53" t="s">
        <v>2424</v>
      </c>
      <c r="G458" s="52" t="s">
        <v>2423</v>
      </c>
      <c r="H458" s="51" t="s">
        <v>2425</v>
      </c>
    </row>
    <row r="459" spans="1:8" x14ac:dyDescent="0.3">
      <c r="A459" s="51" t="s">
        <v>2426</v>
      </c>
      <c r="B459" s="51" t="s">
        <v>2427</v>
      </c>
      <c r="C459" s="52" t="s">
        <v>2428</v>
      </c>
      <c r="D459" s="53" t="s">
        <v>166</v>
      </c>
      <c r="E459" s="52" t="s">
        <v>167</v>
      </c>
      <c r="F459" s="53" t="s">
        <v>2429</v>
      </c>
      <c r="G459" s="52" t="s">
        <v>2428</v>
      </c>
      <c r="H459" s="51" t="s">
        <v>2430</v>
      </c>
    </row>
    <row r="460" spans="1:8" x14ac:dyDescent="0.3">
      <c r="A460" s="51" t="s">
        <v>2431</v>
      </c>
      <c r="B460" s="51" t="s">
        <v>2432</v>
      </c>
      <c r="C460" s="52" t="s">
        <v>2433</v>
      </c>
      <c r="D460" s="53" t="s">
        <v>166</v>
      </c>
      <c r="E460" s="52" t="s">
        <v>167</v>
      </c>
      <c r="F460" s="53" t="s">
        <v>2434</v>
      </c>
      <c r="G460" s="52" t="s">
        <v>2433</v>
      </c>
      <c r="H460" s="51" t="s">
        <v>2435</v>
      </c>
    </row>
    <row r="461" spans="1:8" x14ac:dyDescent="0.3">
      <c r="A461" s="51" t="s">
        <v>2436</v>
      </c>
      <c r="B461" s="51" t="s">
        <v>2437</v>
      </c>
      <c r="C461" s="52" t="s">
        <v>2438</v>
      </c>
      <c r="D461" s="53" t="s">
        <v>166</v>
      </c>
      <c r="E461" s="52" t="s">
        <v>167</v>
      </c>
      <c r="F461" s="53" t="s">
        <v>2439</v>
      </c>
      <c r="G461" s="52" t="s">
        <v>2438</v>
      </c>
      <c r="H461" s="51" t="s">
        <v>2440</v>
      </c>
    </row>
    <row r="462" spans="1:8" x14ac:dyDescent="0.3">
      <c r="A462" s="51" t="s">
        <v>2441</v>
      </c>
      <c r="B462" s="51" t="s">
        <v>2442</v>
      </c>
      <c r="C462" s="52" t="s">
        <v>2443</v>
      </c>
      <c r="D462" s="53" t="s">
        <v>166</v>
      </c>
      <c r="E462" s="52" t="s">
        <v>167</v>
      </c>
      <c r="F462" s="53" t="s">
        <v>2444</v>
      </c>
      <c r="G462" s="52" t="s">
        <v>2443</v>
      </c>
      <c r="H462" s="51" t="s">
        <v>2445</v>
      </c>
    </row>
    <row r="463" spans="1:8" x14ac:dyDescent="0.3">
      <c r="A463" s="51" t="s">
        <v>2446</v>
      </c>
      <c r="B463" s="51" t="s">
        <v>2447</v>
      </c>
      <c r="C463" s="52" t="s">
        <v>2448</v>
      </c>
      <c r="D463" s="53" t="s">
        <v>166</v>
      </c>
      <c r="E463" s="52" t="s">
        <v>167</v>
      </c>
      <c r="F463" s="53" t="s">
        <v>2449</v>
      </c>
      <c r="G463" s="52" t="s">
        <v>2448</v>
      </c>
      <c r="H463" s="51" t="s">
        <v>2450</v>
      </c>
    </row>
    <row r="464" spans="1:8" x14ac:dyDescent="0.3">
      <c r="A464" s="51" t="s">
        <v>2451</v>
      </c>
      <c r="B464" s="51" t="s">
        <v>2452</v>
      </c>
      <c r="C464" s="52" t="s">
        <v>2453</v>
      </c>
      <c r="D464" s="53" t="s">
        <v>166</v>
      </c>
      <c r="E464" s="52" t="s">
        <v>167</v>
      </c>
      <c r="F464" s="53" t="s">
        <v>2454</v>
      </c>
      <c r="G464" s="52" t="s">
        <v>2453</v>
      </c>
      <c r="H464" s="51" t="s">
        <v>2455</v>
      </c>
    </row>
    <row r="465" spans="1:8" x14ac:dyDescent="0.3">
      <c r="A465" s="51" t="s">
        <v>2456</v>
      </c>
      <c r="B465" s="51" t="s">
        <v>2457</v>
      </c>
      <c r="C465" s="52" t="s">
        <v>2458</v>
      </c>
      <c r="D465" s="53" t="s">
        <v>166</v>
      </c>
      <c r="E465" s="52" t="s">
        <v>167</v>
      </c>
      <c r="F465" s="53" t="s">
        <v>2459</v>
      </c>
      <c r="G465" s="52" t="s">
        <v>2458</v>
      </c>
      <c r="H465" s="51" t="s">
        <v>2460</v>
      </c>
    </row>
    <row r="466" spans="1:8" x14ac:dyDescent="0.3">
      <c r="A466" s="51" t="s">
        <v>2461</v>
      </c>
      <c r="B466" s="51" t="s">
        <v>2462</v>
      </c>
      <c r="C466" s="52" t="s">
        <v>2463</v>
      </c>
      <c r="D466" s="53" t="s">
        <v>166</v>
      </c>
      <c r="E466" s="52" t="s">
        <v>167</v>
      </c>
      <c r="F466" s="53" t="s">
        <v>2464</v>
      </c>
      <c r="G466" s="52" t="s">
        <v>2463</v>
      </c>
      <c r="H466" s="51" t="s">
        <v>2465</v>
      </c>
    </row>
    <row r="467" spans="1:8" x14ac:dyDescent="0.3">
      <c r="A467" s="51" t="s">
        <v>2466</v>
      </c>
      <c r="B467" s="51" t="s">
        <v>2467</v>
      </c>
      <c r="C467" s="52" t="s">
        <v>2468</v>
      </c>
      <c r="D467" s="53" t="s">
        <v>166</v>
      </c>
      <c r="E467" s="52" t="s">
        <v>167</v>
      </c>
      <c r="F467" s="53" t="s">
        <v>2469</v>
      </c>
      <c r="G467" s="52" t="s">
        <v>2468</v>
      </c>
      <c r="H467" s="51" t="s">
        <v>2470</v>
      </c>
    </row>
    <row r="468" spans="1:8" x14ac:dyDescent="0.3">
      <c r="A468" s="51" t="s">
        <v>2471</v>
      </c>
      <c r="B468" s="51" t="s">
        <v>2472</v>
      </c>
      <c r="C468" s="52" t="s">
        <v>2473</v>
      </c>
      <c r="D468" s="53" t="s">
        <v>321</v>
      </c>
      <c r="E468" s="52" t="s">
        <v>322</v>
      </c>
      <c r="F468" s="53" t="s">
        <v>2474</v>
      </c>
      <c r="G468" s="52" t="s">
        <v>2473</v>
      </c>
      <c r="H468" s="51" t="s">
        <v>2475</v>
      </c>
    </row>
    <row r="469" spans="1:8" x14ac:dyDescent="0.3">
      <c r="A469" s="51" t="s">
        <v>2476</v>
      </c>
      <c r="B469" s="51" t="s">
        <v>2477</v>
      </c>
      <c r="C469" s="52" t="s">
        <v>2478</v>
      </c>
      <c r="D469" s="53" t="s">
        <v>166</v>
      </c>
      <c r="E469" s="52" t="s">
        <v>167</v>
      </c>
      <c r="F469" s="53" t="s">
        <v>2479</v>
      </c>
      <c r="G469" s="52" t="s">
        <v>2478</v>
      </c>
      <c r="H469" s="51" t="s">
        <v>2480</v>
      </c>
    </row>
    <row r="470" spans="1:8" x14ac:dyDescent="0.3">
      <c r="A470" s="51" t="s">
        <v>2481</v>
      </c>
      <c r="B470" s="51" t="s">
        <v>2482</v>
      </c>
      <c r="C470" s="52" t="s">
        <v>2483</v>
      </c>
      <c r="D470" s="53" t="s">
        <v>166</v>
      </c>
      <c r="E470" s="52" t="s">
        <v>167</v>
      </c>
      <c r="F470" s="53" t="s">
        <v>2484</v>
      </c>
      <c r="G470" s="52" t="s">
        <v>2483</v>
      </c>
      <c r="H470" s="51" t="s">
        <v>2485</v>
      </c>
    </row>
    <row r="471" spans="1:8" x14ac:dyDescent="0.3">
      <c r="A471" s="51" t="s">
        <v>2486</v>
      </c>
      <c r="B471" s="51" t="s">
        <v>2487</v>
      </c>
      <c r="C471" s="52" t="s">
        <v>2488</v>
      </c>
      <c r="D471" s="53" t="s">
        <v>166</v>
      </c>
      <c r="E471" s="52" t="s">
        <v>167</v>
      </c>
      <c r="F471" s="53" t="s">
        <v>2489</v>
      </c>
      <c r="G471" s="52" t="s">
        <v>2488</v>
      </c>
      <c r="H471" s="51" t="s">
        <v>2490</v>
      </c>
    </row>
    <row r="472" spans="1:8" x14ac:dyDescent="0.3">
      <c r="A472" s="51" t="s">
        <v>2491</v>
      </c>
      <c r="B472" s="51" t="s">
        <v>2492</v>
      </c>
      <c r="C472" s="52" t="s">
        <v>2493</v>
      </c>
      <c r="D472" s="53" t="s">
        <v>166</v>
      </c>
      <c r="E472" s="52" t="s">
        <v>167</v>
      </c>
      <c r="F472" s="53" t="s">
        <v>2494</v>
      </c>
      <c r="G472" s="52" t="s">
        <v>2493</v>
      </c>
      <c r="H472" s="51" t="s">
        <v>2495</v>
      </c>
    </row>
    <row r="473" spans="1:8" x14ac:dyDescent="0.3">
      <c r="A473" s="51" t="s">
        <v>2496</v>
      </c>
      <c r="B473" s="51" t="s">
        <v>2497</v>
      </c>
      <c r="C473" s="52" t="s">
        <v>2498</v>
      </c>
      <c r="D473" s="53" t="s">
        <v>166</v>
      </c>
      <c r="E473" s="52" t="s">
        <v>167</v>
      </c>
      <c r="F473" s="53" t="s">
        <v>2499</v>
      </c>
      <c r="G473" s="52" t="s">
        <v>2498</v>
      </c>
      <c r="H473" s="51" t="s">
        <v>2500</v>
      </c>
    </row>
    <row r="474" spans="1:8" x14ac:dyDescent="0.3">
      <c r="A474" s="51" t="s">
        <v>132</v>
      </c>
      <c r="B474" s="51" t="s">
        <v>2501</v>
      </c>
      <c r="C474" s="52" t="s">
        <v>133</v>
      </c>
      <c r="D474" s="53" t="s">
        <v>166</v>
      </c>
      <c r="E474" s="52" t="s">
        <v>167</v>
      </c>
      <c r="F474" s="53" t="s">
        <v>2502</v>
      </c>
      <c r="G474" s="52" t="s">
        <v>133</v>
      </c>
      <c r="H474" s="51" t="s">
        <v>2503</v>
      </c>
    </row>
    <row r="475" spans="1:8" x14ac:dyDescent="0.3">
      <c r="A475" s="51" t="s">
        <v>134</v>
      </c>
      <c r="B475" s="51" t="s">
        <v>2504</v>
      </c>
      <c r="C475" s="52" t="s">
        <v>135</v>
      </c>
      <c r="D475" s="53" t="s">
        <v>166</v>
      </c>
      <c r="E475" s="52" t="s">
        <v>167</v>
      </c>
      <c r="F475" s="53" t="s">
        <v>2505</v>
      </c>
      <c r="G475" s="52" t="s">
        <v>135</v>
      </c>
      <c r="H475" s="51" t="s">
        <v>2506</v>
      </c>
    </row>
    <row r="476" spans="1:8" x14ac:dyDescent="0.3">
      <c r="A476" s="51" t="s">
        <v>136</v>
      </c>
      <c r="B476" s="51" t="s">
        <v>2507</v>
      </c>
      <c r="C476" s="52" t="s">
        <v>137</v>
      </c>
      <c r="D476" s="53" t="s">
        <v>166</v>
      </c>
      <c r="E476" s="52" t="s">
        <v>167</v>
      </c>
      <c r="F476" s="53" t="s">
        <v>2508</v>
      </c>
      <c r="G476" s="52" t="s">
        <v>137</v>
      </c>
      <c r="H476" s="51" t="s">
        <v>2509</v>
      </c>
    </row>
    <row r="477" spans="1:8" x14ac:dyDescent="0.3">
      <c r="A477" s="51" t="s">
        <v>2510</v>
      </c>
      <c r="B477" s="51" t="s">
        <v>2511</v>
      </c>
      <c r="C477" s="52" t="s">
        <v>2512</v>
      </c>
      <c r="D477" s="53" t="s">
        <v>242</v>
      </c>
      <c r="E477" s="52" t="s">
        <v>243</v>
      </c>
      <c r="F477" s="53" t="s">
        <v>2513</v>
      </c>
      <c r="G477" s="52" t="s">
        <v>2512</v>
      </c>
      <c r="H477" s="51" t="s">
        <v>2514</v>
      </c>
    </row>
    <row r="478" spans="1:8" x14ac:dyDescent="0.3">
      <c r="A478" s="51" t="s">
        <v>2515</v>
      </c>
      <c r="B478" s="51" t="s">
        <v>2516</v>
      </c>
      <c r="C478" s="52" t="s">
        <v>2517</v>
      </c>
      <c r="D478" s="53" t="s">
        <v>523</v>
      </c>
      <c r="E478" s="52" t="s">
        <v>524</v>
      </c>
      <c r="F478" s="53" t="s">
        <v>2518</v>
      </c>
      <c r="G478" s="52" t="s">
        <v>2517</v>
      </c>
      <c r="H478" s="51" t="s">
        <v>2519</v>
      </c>
    </row>
    <row r="479" spans="1:8" x14ac:dyDescent="0.3">
      <c r="A479" s="51" t="s">
        <v>2520</v>
      </c>
      <c r="B479" s="51" t="s">
        <v>2521</v>
      </c>
      <c r="C479" s="52" t="s">
        <v>2522</v>
      </c>
      <c r="D479" s="53" t="s">
        <v>166</v>
      </c>
      <c r="E479" s="52" t="s">
        <v>167</v>
      </c>
      <c r="F479" s="53" t="s">
        <v>2523</v>
      </c>
      <c r="G479" s="52" t="s">
        <v>2522</v>
      </c>
      <c r="H479" s="51" t="s">
        <v>2524</v>
      </c>
    </row>
    <row r="480" spans="1:8" x14ac:dyDescent="0.3">
      <c r="A480" s="51" t="s">
        <v>2525</v>
      </c>
      <c r="B480" s="51" t="s">
        <v>2526</v>
      </c>
      <c r="C480" s="52" t="s">
        <v>2527</v>
      </c>
      <c r="D480" s="53" t="s">
        <v>242</v>
      </c>
      <c r="E480" s="52" t="s">
        <v>243</v>
      </c>
      <c r="F480" s="53" t="s">
        <v>2528</v>
      </c>
      <c r="G480" s="52" t="s">
        <v>2527</v>
      </c>
      <c r="H480" s="51" t="s">
        <v>2529</v>
      </c>
    </row>
    <row r="481" spans="1:8" x14ac:dyDescent="0.3">
      <c r="A481" s="51" t="s">
        <v>2530</v>
      </c>
      <c r="B481" s="51" t="s">
        <v>2531</v>
      </c>
      <c r="C481" s="52" t="s">
        <v>2532</v>
      </c>
      <c r="D481" s="53" t="s">
        <v>166</v>
      </c>
      <c r="E481" s="52" t="s">
        <v>167</v>
      </c>
      <c r="F481" s="53" t="s">
        <v>2533</v>
      </c>
      <c r="G481" s="52" t="s">
        <v>2532</v>
      </c>
      <c r="H481" s="51" t="s">
        <v>2534</v>
      </c>
    </row>
    <row r="482" spans="1:8" x14ac:dyDescent="0.3">
      <c r="A482" s="51" t="s">
        <v>2535</v>
      </c>
      <c r="B482" s="51" t="s">
        <v>2536</v>
      </c>
      <c r="C482" s="52" t="s">
        <v>2537</v>
      </c>
      <c r="D482" s="53" t="s">
        <v>523</v>
      </c>
      <c r="E482" s="52" t="s">
        <v>524</v>
      </c>
      <c r="F482" s="53" t="s">
        <v>2538</v>
      </c>
      <c r="G482" s="52" t="s">
        <v>2537</v>
      </c>
      <c r="H482" s="51" t="s">
        <v>2539</v>
      </c>
    </row>
    <row r="483" spans="1:8" x14ac:dyDescent="0.3">
      <c r="A483" s="51" t="s">
        <v>2540</v>
      </c>
      <c r="B483" s="51" t="s">
        <v>2541</v>
      </c>
      <c r="C483" s="52" t="s">
        <v>2542</v>
      </c>
      <c r="D483" s="53" t="s">
        <v>166</v>
      </c>
      <c r="E483" s="52" t="s">
        <v>167</v>
      </c>
      <c r="F483" s="53" t="s">
        <v>2543</v>
      </c>
      <c r="G483" s="52" t="s">
        <v>2542</v>
      </c>
      <c r="H483" s="51" t="s">
        <v>2544</v>
      </c>
    </row>
    <row r="484" spans="1:8" x14ac:dyDescent="0.3">
      <c r="A484" s="51" t="s">
        <v>2545</v>
      </c>
      <c r="B484" s="51" t="s">
        <v>2546</v>
      </c>
      <c r="C484" s="52" t="s">
        <v>2547</v>
      </c>
      <c r="D484" s="53" t="s">
        <v>309</v>
      </c>
      <c r="E484" s="52" t="s">
        <v>310</v>
      </c>
      <c r="F484" s="53" t="s">
        <v>2548</v>
      </c>
      <c r="G484" s="52" t="s">
        <v>2547</v>
      </c>
      <c r="H484" s="51" t="s">
        <v>2549</v>
      </c>
    </row>
    <row r="485" spans="1:8" x14ac:dyDescent="0.3">
      <c r="A485" s="51" t="s">
        <v>2550</v>
      </c>
      <c r="B485" s="51" t="s">
        <v>2551</v>
      </c>
      <c r="C485" s="52" t="s">
        <v>2552</v>
      </c>
      <c r="D485" s="53" t="s">
        <v>309</v>
      </c>
      <c r="E485" s="52" t="s">
        <v>310</v>
      </c>
      <c r="F485" s="53" t="s">
        <v>2553</v>
      </c>
      <c r="G485" s="52" t="s">
        <v>2552</v>
      </c>
      <c r="H485" s="51" t="s">
        <v>2554</v>
      </c>
    </row>
    <row r="486" spans="1:8" x14ac:dyDescent="0.3">
      <c r="A486" s="51" t="s">
        <v>2555</v>
      </c>
      <c r="B486" s="51" t="s">
        <v>2556</v>
      </c>
      <c r="C486" s="52" t="s">
        <v>2557</v>
      </c>
      <c r="D486" s="53" t="s">
        <v>242</v>
      </c>
      <c r="E486" s="52" t="s">
        <v>243</v>
      </c>
      <c r="F486" s="53" t="s">
        <v>2558</v>
      </c>
      <c r="G486" s="52" t="s">
        <v>2557</v>
      </c>
      <c r="H486" s="51" t="s">
        <v>2559</v>
      </c>
    </row>
    <row r="487" spans="1:8" x14ac:dyDescent="0.3">
      <c r="A487" s="51" t="s">
        <v>2560</v>
      </c>
      <c r="B487" s="51" t="s">
        <v>2561</v>
      </c>
      <c r="C487" s="52" t="s">
        <v>2562</v>
      </c>
      <c r="D487" s="53" t="s">
        <v>321</v>
      </c>
      <c r="E487" s="52" t="s">
        <v>322</v>
      </c>
      <c r="F487" s="53" t="s">
        <v>2563</v>
      </c>
      <c r="G487" s="52" t="s">
        <v>2562</v>
      </c>
      <c r="H487" s="51" t="s">
        <v>2564</v>
      </c>
    </row>
    <row r="488" spans="1:8" x14ac:dyDescent="0.3">
      <c r="A488" s="51" t="s">
        <v>2565</v>
      </c>
      <c r="B488" s="51" t="s">
        <v>2566</v>
      </c>
      <c r="C488" s="52" t="s">
        <v>2567</v>
      </c>
      <c r="D488" s="53" t="s">
        <v>166</v>
      </c>
      <c r="E488" s="52" t="s">
        <v>167</v>
      </c>
      <c r="F488" s="53" t="s">
        <v>2568</v>
      </c>
      <c r="G488" s="52" t="s">
        <v>2567</v>
      </c>
      <c r="H488" s="51" t="s">
        <v>2569</v>
      </c>
    </row>
    <row r="489" spans="1:8" x14ac:dyDescent="0.3">
      <c r="A489" s="51" t="s">
        <v>2570</v>
      </c>
      <c r="B489" s="51" t="s">
        <v>2571</v>
      </c>
      <c r="C489" s="52" t="s">
        <v>2572</v>
      </c>
      <c r="D489" s="53" t="s">
        <v>220</v>
      </c>
      <c r="E489" s="52" t="s">
        <v>221</v>
      </c>
      <c r="F489" s="53" t="s">
        <v>2573</v>
      </c>
      <c r="G489" s="52" t="s">
        <v>2572</v>
      </c>
      <c r="H489" s="51" t="s">
        <v>2574</v>
      </c>
    </row>
    <row r="490" spans="1:8" x14ac:dyDescent="0.3">
      <c r="A490" s="51" t="s">
        <v>138</v>
      </c>
      <c r="B490" s="51" t="s">
        <v>2575</v>
      </c>
      <c r="C490" s="52" t="s">
        <v>139</v>
      </c>
      <c r="D490" s="53" t="s">
        <v>166</v>
      </c>
      <c r="E490" s="52" t="s">
        <v>167</v>
      </c>
      <c r="F490" s="53" t="s">
        <v>2576</v>
      </c>
      <c r="G490" s="52" t="s">
        <v>139</v>
      </c>
      <c r="H490" s="51" t="s">
        <v>2577</v>
      </c>
    </row>
    <row r="491" spans="1:8" x14ac:dyDescent="0.3">
      <c r="A491" s="51" t="s">
        <v>2578</v>
      </c>
      <c r="B491" s="51" t="s">
        <v>2579</v>
      </c>
      <c r="C491" s="52" t="s">
        <v>2580</v>
      </c>
      <c r="D491" s="53" t="s">
        <v>242</v>
      </c>
      <c r="E491" s="52" t="s">
        <v>243</v>
      </c>
      <c r="F491" s="53" t="s">
        <v>2581</v>
      </c>
      <c r="G491" s="52" t="s">
        <v>2580</v>
      </c>
      <c r="H491" s="51" t="s">
        <v>2582</v>
      </c>
    </row>
    <row r="492" spans="1:8" x14ac:dyDescent="0.3">
      <c r="A492" s="51" t="s">
        <v>2583</v>
      </c>
      <c r="B492" s="51" t="s">
        <v>2584</v>
      </c>
      <c r="C492" s="52" t="s">
        <v>2585</v>
      </c>
      <c r="D492" s="53" t="s">
        <v>166</v>
      </c>
      <c r="E492" s="52" t="s">
        <v>167</v>
      </c>
      <c r="F492" s="53" t="s">
        <v>2586</v>
      </c>
      <c r="G492" s="52" t="s">
        <v>2585</v>
      </c>
      <c r="H492" s="51" t="s">
        <v>2587</v>
      </c>
    </row>
    <row r="493" spans="1:8" x14ac:dyDescent="0.3">
      <c r="A493" s="51" t="s">
        <v>2588</v>
      </c>
      <c r="B493" s="51" t="s">
        <v>2589</v>
      </c>
      <c r="C493" s="52" t="s">
        <v>2590</v>
      </c>
      <c r="D493" s="53" t="s">
        <v>321</v>
      </c>
      <c r="E493" s="52" t="s">
        <v>322</v>
      </c>
      <c r="F493" s="53" t="s">
        <v>2591</v>
      </c>
      <c r="G493" s="52" t="s">
        <v>2590</v>
      </c>
      <c r="H493" s="51" t="s">
        <v>2592</v>
      </c>
    </row>
    <row r="494" spans="1:8" x14ac:dyDescent="0.3">
      <c r="A494" s="51" t="s">
        <v>2593</v>
      </c>
      <c r="B494" s="51" t="s">
        <v>2594</v>
      </c>
      <c r="C494" s="52" t="s">
        <v>2595</v>
      </c>
      <c r="D494" s="53" t="s">
        <v>242</v>
      </c>
      <c r="E494" s="52" t="s">
        <v>243</v>
      </c>
      <c r="F494" s="53" t="s">
        <v>2596</v>
      </c>
      <c r="G494" s="52" t="s">
        <v>2595</v>
      </c>
      <c r="H494" s="51" t="s">
        <v>2597</v>
      </c>
    </row>
    <row r="495" spans="1:8" x14ac:dyDescent="0.3">
      <c r="A495" s="51" t="s">
        <v>2598</v>
      </c>
      <c r="B495" s="51" t="s">
        <v>2599</v>
      </c>
      <c r="C495" s="52" t="s">
        <v>2600</v>
      </c>
      <c r="D495" s="53" t="s">
        <v>166</v>
      </c>
      <c r="E495" s="52" t="s">
        <v>167</v>
      </c>
      <c r="F495" s="53" t="s">
        <v>2601</v>
      </c>
      <c r="G495" s="52" t="s">
        <v>2600</v>
      </c>
      <c r="H495" s="51" t="s">
        <v>2602</v>
      </c>
    </row>
    <row r="496" spans="1:8" x14ac:dyDescent="0.3">
      <c r="A496" s="51" t="s">
        <v>2603</v>
      </c>
      <c r="B496" s="51" t="s">
        <v>2604</v>
      </c>
      <c r="C496" s="52" t="s">
        <v>2605</v>
      </c>
      <c r="D496" s="53" t="s">
        <v>166</v>
      </c>
      <c r="E496" s="52" t="s">
        <v>167</v>
      </c>
      <c r="F496" s="53" t="s">
        <v>2606</v>
      </c>
      <c r="G496" s="52" t="s">
        <v>2605</v>
      </c>
      <c r="H496" s="51" t="s">
        <v>2607</v>
      </c>
    </row>
    <row r="497" spans="1:8" x14ac:dyDescent="0.3">
      <c r="A497" s="51" t="s">
        <v>2608</v>
      </c>
      <c r="B497" s="51" t="s">
        <v>2609</v>
      </c>
      <c r="C497" s="52" t="s">
        <v>2610</v>
      </c>
      <c r="D497" s="53" t="s">
        <v>166</v>
      </c>
      <c r="E497" s="52" t="s">
        <v>167</v>
      </c>
      <c r="F497" s="53" t="s">
        <v>2611</v>
      </c>
      <c r="G497" s="52" t="s">
        <v>2610</v>
      </c>
      <c r="H497" s="51" t="s">
        <v>2612</v>
      </c>
    </row>
    <row r="498" spans="1:8" x14ac:dyDescent="0.3">
      <c r="A498" s="51" t="s">
        <v>2613</v>
      </c>
      <c r="B498" s="51" t="s">
        <v>2614</v>
      </c>
      <c r="C498" s="52" t="s">
        <v>2615</v>
      </c>
      <c r="D498" s="53" t="s">
        <v>166</v>
      </c>
      <c r="E498" s="52" t="s">
        <v>167</v>
      </c>
      <c r="F498" s="53" t="s">
        <v>2616</v>
      </c>
      <c r="G498" s="52" t="s">
        <v>2615</v>
      </c>
      <c r="H498" s="51" t="s">
        <v>2617</v>
      </c>
    </row>
    <row r="499" spans="1:8" x14ac:dyDescent="0.3">
      <c r="A499" s="51" t="s">
        <v>2618</v>
      </c>
      <c r="B499" s="51" t="s">
        <v>2619</v>
      </c>
      <c r="C499" s="52" t="s">
        <v>2620</v>
      </c>
      <c r="D499" s="53" t="s">
        <v>523</v>
      </c>
      <c r="E499" s="52" t="s">
        <v>524</v>
      </c>
      <c r="F499" s="53" t="s">
        <v>2621</v>
      </c>
      <c r="G499" s="52" t="s">
        <v>2620</v>
      </c>
      <c r="H499" s="51" t="s">
        <v>2622</v>
      </c>
    </row>
    <row r="500" spans="1:8" x14ac:dyDescent="0.3">
      <c r="A500" s="51" t="s">
        <v>2623</v>
      </c>
      <c r="B500" s="51" t="s">
        <v>2624</v>
      </c>
      <c r="C500" s="52" t="s">
        <v>2625</v>
      </c>
      <c r="D500" s="53" t="s">
        <v>166</v>
      </c>
      <c r="E500" s="52" t="s">
        <v>167</v>
      </c>
      <c r="F500" s="53" t="s">
        <v>2626</v>
      </c>
      <c r="G500" s="52" t="s">
        <v>2625</v>
      </c>
      <c r="H500" s="51" t="s">
        <v>2627</v>
      </c>
    </row>
    <row r="501" spans="1:8" x14ac:dyDescent="0.3">
      <c r="A501" s="51" t="s">
        <v>2628</v>
      </c>
      <c r="B501" s="51" t="s">
        <v>2629</v>
      </c>
      <c r="C501" s="52" t="s">
        <v>2630</v>
      </c>
      <c r="D501" s="53" t="s">
        <v>166</v>
      </c>
      <c r="E501" s="52" t="s">
        <v>167</v>
      </c>
      <c r="F501" s="53" t="s">
        <v>2631</v>
      </c>
      <c r="G501" s="52" t="s">
        <v>2630</v>
      </c>
      <c r="H501" s="51" t="s">
        <v>2632</v>
      </c>
    </row>
    <row r="502" spans="1:8" x14ac:dyDescent="0.3">
      <c r="A502" s="51" t="s">
        <v>140</v>
      </c>
      <c r="B502" s="51" t="s">
        <v>2633</v>
      </c>
      <c r="C502" s="52" t="s">
        <v>141</v>
      </c>
      <c r="D502" s="53" t="s">
        <v>166</v>
      </c>
      <c r="E502" s="52" t="s">
        <v>167</v>
      </c>
      <c r="F502" s="53" t="s">
        <v>2634</v>
      </c>
      <c r="G502" s="52" t="s">
        <v>141</v>
      </c>
      <c r="H502" s="51" t="s">
        <v>2635</v>
      </c>
    </row>
    <row r="503" spans="1:8" x14ac:dyDescent="0.3">
      <c r="A503" s="51" t="s">
        <v>142</v>
      </c>
      <c r="B503" s="51" t="s">
        <v>2636</v>
      </c>
      <c r="C503" s="52" t="s">
        <v>143</v>
      </c>
      <c r="D503" s="53" t="s">
        <v>166</v>
      </c>
      <c r="E503" s="52" t="s">
        <v>167</v>
      </c>
      <c r="F503" s="53" t="s">
        <v>2637</v>
      </c>
      <c r="G503" s="52" t="s">
        <v>143</v>
      </c>
      <c r="H503" s="51" t="s">
        <v>2638</v>
      </c>
    </row>
    <row r="504" spans="1:8" x14ac:dyDescent="0.3">
      <c r="A504" s="51" t="s">
        <v>144</v>
      </c>
      <c r="B504" s="51" t="s">
        <v>2639</v>
      </c>
      <c r="C504" s="52" t="s">
        <v>145</v>
      </c>
      <c r="D504" s="53" t="s">
        <v>1678</v>
      </c>
      <c r="E504" s="52" t="s">
        <v>1679</v>
      </c>
      <c r="F504" s="53" t="s">
        <v>2640</v>
      </c>
      <c r="G504" s="52" t="s">
        <v>145</v>
      </c>
      <c r="H504" s="51" t="s">
        <v>2641</v>
      </c>
    </row>
    <row r="505" spans="1:8" x14ac:dyDescent="0.3">
      <c r="A505" s="51" t="s">
        <v>146</v>
      </c>
      <c r="B505" s="51" t="s">
        <v>2642</v>
      </c>
      <c r="C505" s="52" t="s">
        <v>147</v>
      </c>
      <c r="D505" s="53" t="s">
        <v>166</v>
      </c>
      <c r="E505" s="52" t="s">
        <v>167</v>
      </c>
      <c r="F505" s="53" t="s">
        <v>2643</v>
      </c>
      <c r="G505" s="52" t="s">
        <v>147</v>
      </c>
      <c r="H505" s="51" t="s">
        <v>2644</v>
      </c>
    </row>
    <row r="506" spans="1:8" x14ac:dyDescent="0.3">
      <c r="A506" s="51" t="s">
        <v>148</v>
      </c>
      <c r="B506" s="51" t="s">
        <v>2645</v>
      </c>
      <c r="C506" s="52" t="s">
        <v>149</v>
      </c>
      <c r="D506" s="53" t="s">
        <v>166</v>
      </c>
      <c r="E506" s="52" t="s">
        <v>167</v>
      </c>
      <c r="F506" s="53" t="s">
        <v>2646</v>
      </c>
      <c r="G506" s="52" t="s">
        <v>149</v>
      </c>
      <c r="H506" s="51" t="s">
        <v>2647</v>
      </c>
    </row>
    <row r="507" spans="1:8" x14ac:dyDescent="0.3">
      <c r="A507" s="51" t="s">
        <v>2648</v>
      </c>
      <c r="B507" s="51" t="s">
        <v>2649</v>
      </c>
      <c r="C507" s="52" t="s">
        <v>2650</v>
      </c>
      <c r="D507" s="53" t="s">
        <v>166</v>
      </c>
      <c r="E507" s="52" t="s">
        <v>167</v>
      </c>
      <c r="F507" s="53" t="s">
        <v>2651</v>
      </c>
      <c r="G507" s="52" t="s">
        <v>2650</v>
      </c>
      <c r="H507" s="51" t="s">
        <v>2652</v>
      </c>
    </row>
    <row r="508" spans="1:8" x14ac:dyDescent="0.3">
      <c r="A508" s="51" t="s">
        <v>2653</v>
      </c>
      <c r="B508" s="51" t="s">
        <v>2654</v>
      </c>
      <c r="C508" s="52" t="s">
        <v>2655</v>
      </c>
      <c r="D508" s="53" t="s">
        <v>957</v>
      </c>
      <c r="F508" s="53" t="s">
        <v>957</v>
      </c>
      <c r="H508" s="51" t="s">
        <v>2656</v>
      </c>
    </row>
    <row r="509" spans="1:8" x14ac:dyDescent="0.3">
      <c r="A509" s="51" t="s">
        <v>2657</v>
      </c>
      <c r="B509" s="51" t="s">
        <v>2658</v>
      </c>
      <c r="C509" s="52" t="s">
        <v>2659</v>
      </c>
      <c r="D509" s="53" t="s">
        <v>879</v>
      </c>
      <c r="E509" s="52" t="s">
        <v>880</v>
      </c>
      <c r="F509" s="53" t="s">
        <v>2660</v>
      </c>
      <c r="G509" s="52" t="s">
        <v>2659</v>
      </c>
      <c r="H509" s="51" t="s">
        <v>2661</v>
      </c>
    </row>
    <row r="510" spans="1:8" x14ac:dyDescent="0.3">
      <c r="A510" s="51" t="s">
        <v>2662</v>
      </c>
      <c r="B510" s="51" t="s">
        <v>2663</v>
      </c>
      <c r="C510" s="52" t="s">
        <v>2664</v>
      </c>
      <c r="D510" s="53" t="s">
        <v>321</v>
      </c>
      <c r="E510" s="52" t="s">
        <v>322</v>
      </c>
      <c r="F510" s="53" t="s">
        <v>2665</v>
      </c>
      <c r="G510" s="52" t="s">
        <v>2664</v>
      </c>
      <c r="H510" s="51" t="s">
        <v>2666</v>
      </c>
    </row>
    <row r="511" spans="1:8" x14ac:dyDescent="0.3">
      <c r="A511" s="51" t="s">
        <v>2667</v>
      </c>
      <c r="B511" s="51" t="s">
        <v>2668</v>
      </c>
      <c r="C511" s="52" t="s">
        <v>2669</v>
      </c>
      <c r="D511" s="53" t="s">
        <v>957</v>
      </c>
      <c r="F511" s="53" t="s">
        <v>957</v>
      </c>
      <c r="H511" s="51" t="s">
        <v>2670</v>
      </c>
    </row>
    <row r="512" spans="1:8" x14ac:dyDescent="0.3">
      <c r="A512" s="51" t="s">
        <v>2671</v>
      </c>
      <c r="B512" s="51" t="s">
        <v>2672</v>
      </c>
      <c r="C512" s="52" t="s">
        <v>2673</v>
      </c>
      <c r="D512" s="53" t="s">
        <v>213</v>
      </c>
      <c r="E512" s="52" t="s">
        <v>214</v>
      </c>
      <c r="F512" s="53" t="s">
        <v>2674</v>
      </c>
      <c r="G512" s="52" t="s">
        <v>2673</v>
      </c>
      <c r="H512" s="51" t="s">
        <v>2675</v>
      </c>
    </row>
    <row r="513" spans="1:8" x14ac:dyDescent="0.3">
      <c r="A513" s="51" t="s">
        <v>2676</v>
      </c>
      <c r="B513" s="51" t="s">
        <v>2677</v>
      </c>
      <c r="C513" s="52" t="s">
        <v>2678</v>
      </c>
      <c r="D513" s="53" t="s">
        <v>166</v>
      </c>
      <c r="E513" s="52" t="s">
        <v>167</v>
      </c>
      <c r="F513" s="53" t="s">
        <v>2679</v>
      </c>
      <c r="G513" s="52" t="s">
        <v>2678</v>
      </c>
      <c r="H513" s="51" t="s">
        <v>2680</v>
      </c>
    </row>
    <row r="514" spans="1:8" x14ac:dyDescent="0.3">
      <c r="A514" s="51" t="s">
        <v>2681</v>
      </c>
      <c r="B514" s="51" t="s">
        <v>2682</v>
      </c>
      <c r="C514" s="52" t="s">
        <v>2683</v>
      </c>
      <c r="D514" s="53" t="s">
        <v>220</v>
      </c>
      <c r="E514" s="52" t="s">
        <v>221</v>
      </c>
      <c r="F514" s="53" t="s">
        <v>2684</v>
      </c>
      <c r="G514" s="52" t="s">
        <v>2683</v>
      </c>
      <c r="H514" s="51" t="s">
        <v>2685</v>
      </c>
    </row>
    <row r="515" spans="1:8" x14ac:dyDescent="0.3">
      <c r="A515" s="51" t="s">
        <v>2686</v>
      </c>
      <c r="B515" s="51" t="s">
        <v>2687</v>
      </c>
      <c r="C515" s="52" t="s">
        <v>2688</v>
      </c>
      <c r="D515" s="53" t="s">
        <v>242</v>
      </c>
      <c r="E515" s="52" t="s">
        <v>243</v>
      </c>
      <c r="F515" s="53" t="s">
        <v>2689</v>
      </c>
      <c r="G515" s="52" t="s">
        <v>2688</v>
      </c>
      <c r="H515" s="51" t="s">
        <v>2690</v>
      </c>
    </row>
    <row r="516" spans="1:8" x14ac:dyDescent="0.3">
      <c r="A516" s="51" t="s">
        <v>2691</v>
      </c>
      <c r="B516" s="51" t="s">
        <v>2692</v>
      </c>
      <c r="C516" s="52" t="s">
        <v>2693</v>
      </c>
      <c r="D516" s="53" t="s">
        <v>523</v>
      </c>
      <c r="E516" s="52" t="s">
        <v>524</v>
      </c>
      <c r="F516" s="53" t="s">
        <v>2694</v>
      </c>
      <c r="G516" s="52" t="s">
        <v>2693</v>
      </c>
      <c r="H516" s="51" t="s">
        <v>2695</v>
      </c>
    </row>
    <row r="517" spans="1:8" x14ac:dyDescent="0.3">
      <c r="A517" s="51" t="s">
        <v>2696</v>
      </c>
      <c r="B517" s="51" t="s">
        <v>2697</v>
      </c>
      <c r="C517" s="52" t="s">
        <v>2698</v>
      </c>
      <c r="D517" s="53" t="s">
        <v>523</v>
      </c>
      <c r="E517" s="52" t="s">
        <v>524</v>
      </c>
      <c r="F517" s="53" t="s">
        <v>2699</v>
      </c>
      <c r="G517" s="52" t="s">
        <v>2698</v>
      </c>
      <c r="H517" s="51" t="s">
        <v>2700</v>
      </c>
    </row>
    <row r="518" spans="1:8" x14ac:dyDescent="0.3">
      <c r="A518" s="51" t="s">
        <v>2701</v>
      </c>
      <c r="B518" s="51" t="s">
        <v>2702</v>
      </c>
      <c r="C518" s="52" t="s">
        <v>2703</v>
      </c>
      <c r="D518" s="53" t="s">
        <v>321</v>
      </c>
      <c r="E518" s="52" t="s">
        <v>322</v>
      </c>
      <c r="F518" s="53" t="s">
        <v>2704</v>
      </c>
      <c r="G518" s="52" t="s">
        <v>2703</v>
      </c>
      <c r="H518" s="51" t="s">
        <v>2705</v>
      </c>
    </row>
    <row r="519" spans="1:8" x14ac:dyDescent="0.3">
      <c r="A519" s="51" t="s">
        <v>2706</v>
      </c>
      <c r="B519" s="51" t="s">
        <v>2707</v>
      </c>
      <c r="C519" s="52" t="s">
        <v>2708</v>
      </c>
      <c r="D519" s="53" t="s">
        <v>213</v>
      </c>
      <c r="E519" s="52" t="s">
        <v>214</v>
      </c>
      <c r="F519" s="53" t="s">
        <v>2709</v>
      </c>
      <c r="G519" s="52" t="s">
        <v>2708</v>
      </c>
      <c r="H519" s="51" t="s">
        <v>2710</v>
      </c>
    </row>
    <row r="520" spans="1:8" x14ac:dyDescent="0.3">
      <c r="A520" s="51" t="s">
        <v>2711</v>
      </c>
      <c r="B520" s="51" t="s">
        <v>2712</v>
      </c>
      <c r="C520" s="52" t="s">
        <v>2713</v>
      </c>
      <c r="D520" s="53" t="s">
        <v>166</v>
      </c>
      <c r="E520" s="52" t="s">
        <v>167</v>
      </c>
      <c r="F520" s="53" t="s">
        <v>2714</v>
      </c>
      <c r="G520" s="52" t="s">
        <v>2713</v>
      </c>
      <c r="H520" s="51" t="s">
        <v>2715</v>
      </c>
    </row>
    <row r="521" spans="1:8" x14ac:dyDescent="0.3">
      <c r="A521" s="51" t="s">
        <v>2716</v>
      </c>
      <c r="B521" s="51" t="s">
        <v>2717</v>
      </c>
      <c r="C521" s="52" t="s">
        <v>2718</v>
      </c>
      <c r="D521" s="53" t="s">
        <v>242</v>
      </c>
      <c r="E521" s="52" t="s">
        <v>243</v>
      </c>
      <c r="F521" s="53" t="s">
        <v>2719</v>
      </c>
      <c r="G521" s="52" t="s">
        <v>2718</v>
      </c>
      <c r="H521" s="51" t="s">
        <v>2720</v>
      </c>
    </row>
    <row r="522" spans="1:8" x14ac:dyDescent="0.3">
      <c r="A522" s="51" t="s">
        <v>2721</v>
      </c>
      <c r="B522" s="51" t="s">
        <v>2722</v>
      </c>
      <c r="C522" s="52" t="s">
        <v>2723</v>
      </c>
      <c r="D522" s="53" t="s">
        <v>166</v>
      </c>
      <c r="E522" s="52" t="s">
        <v>167</v>
      </c>
      <c r="F522" s="53" t="s">
        <v>2724</v>
      </c>
      <c r="G522" s="52" t="s">
        <v>2723</v>
      </c>
      <c r="H522" s="51" t="s">
        <v>2725</v>
      </c>
    </row>
    <row r="523" spans="1:8" x14ac:dyDescent="0.3">
      <c r="A523" s="51" t="s">
        <v>2726</v>
      </c>
      <c r="B523" s="51" t="s">
        <v>2727</v>
      </c>
      <c r="C523" s="52" t="s">
        <v>2728</v>
      </c>
      <c r="D523" s="53" t="s">
        <v>166</v>
      </c>
      <c r="E523" s="52" t="s">
        <v>167</v>
      </c>
      <c r="F523" s="53" t="s">
        <v>2729</v>
      </c>
      <c r="G523" s="52" t="s">
        <v>2728</v>
      </c>
      <c r="H523" s="51" t="s">
        <v>2730</v>
      </c>
    </row>
    <row r="524" spans="1:8" x14ac:dyDescent="0.3">
      <c r="A524" s="51" t="s">
        <v>2731</v>
      </c>
      <c r="B524" s="51" t="s">
        <v>2732</v>
      </c>
      <c r="C524" s="52" t="s">
        <v>2733</v>
      </c>
      <c r="D524" s="53" t="s">
        <v>321</v>
      </c>
      <c r="E524" s="52" t="s">
        <v>322</v>
      </c>
      <c r="F524" s="53" t="s">
        <v>2734</v>
      </c>
      <c r="G524" s="52" t="s">
        <v>2733</v>
      </c>
      <c r="H524" s="51" t="s">
        <v>2735</v>
      </c>
    </row>
    <row r="525" spans="1:8" x14ac:dyDescent="0.3">
      <c r="A525" s="51" t="s">
        <v>2736</v>
      </c>
      <c r="B525" s="51" t="s">
        <v>2737</v>
      </c>
      <c r="C525" s="52" t="s">
        <v>2738</v>
      </c>
      <c r="D525" s="53" t="s">
        <v>523</v>
      </c>
      <c r="E525" s="52" t="s">
        <v>524</v>
      </c>
      <c r="F525" s="53" t="s">
        <v>2739</v>
      </c>
      <c r="G525" s="52" t="s">
        <v>2738</v>
      </c>
      <c r="H525" s="51" t="s">
        <v>2740</v>
      </c>
    </row>
    <row r="526" spans="1:8" x14ac:dyDescent="0.3">
      <c r="A526" s="51" t="s">
        <v>2741</v>
      </c>
      <c r="B526" s="51" t="s">
        <v>2742</v>
      </c>
      <c r="C526" s="52" t="s">
        <v>2743</v>
      </c>
      <c r="D526" s="53" t="s">
        <v>166</v>
      </c>
      <c r="E526" s="52" t="s">
        <v>167</v>
      </c>
      <c r="F526" s="53" t="s">
        <v>2744</v>
      </c>
      <c r="G526" s="52" t="s">
        <v>2743</v>
      </c>
      <c r="H526" s="51" t="s">
        <v>2745</v>
      </c>
    </row>
    <row r="527" spans="1:8" x14ac:dyDescent="0.3">
      <c r="A527" s="51" t="s">
        <v>2746</v>
      </c>
      <c r="B527" s="51" t="s">
        <v>2747</v>
      </c>
      <c r="C527" s="52" t="s">
        <v>2748</v>
      </c>
      <c r="D527" s="53" t="s">
        <v>321</v>
      </c>
      <c r="E527" s="52" t="s">
        <v>322</v>
      </c>
      <c r="F527" s="53" t="s">
        <v>2749</v>
      </c>
      <c r="G527" s="52" t="s">
        <v>2748</v>
      </c>
      <c r="H527" s="51" t="s">
        <v>2750</v>
      </c>
    </row>
    <row r="528" spans="1:8" x14ac:dyDescent="0.3">
      <c r="A528" s="51" t="s">
        <v>2751</v>
      </c>
      <c r="B528" s="51" t="s">
        <v>2752</v>
      </c>
      <c r="C528" s="52" t="s">
        <v>2753</v>
      </c>
      <c r="D528" s="53" t="s">
        <v>166</v>
      </c>
      <c r="E528" s="52" t="s">
        <v>167</v>
      </c>
      <c r="F528" s="53" t="s">
        <v>2754</v>
      </c>
      <c r="G528" s="52" t="s">
        <v>2753</v>
      </c>
      <c r="H528" s="51" t="s">
        <v>2755</v>
      </c>
    </row>
    <row r="529" spans="1:8" x14ac:dyDescent="0.3">
      <c r="A529" s="51" t="s">
        <v>2756</v>
      </c>
      <c r="B529" s="51" t="s">
        <v>2757</v>
      </c>
      <c r="C529" s="52" t="s">
        <v>2758</v>
      </c>
      <c r="D529" s="53" t="s">
        <v>1653</v>
      </c>
      <c r="E529" s="52" t="s">
        <v>1654</v>
      </c>
      <c r="F529" s="53" t="s">
        <v>2759</v>
      </c>
      <c r="G529" s="52" t="s">
        <v>2758</v>
      </c>
      <c r="H529" s="51" t="s">
        <v>2760</v>
      </c>
    </row>
    <row r="530" spans="1:8" x14ac:dyDescent="0.3">
      <c r="A530" s="51" t="s">
        <v>2761</v>
      </c>
      <c r="B530" s="51" t="s">
        <v>2762</v>
      </c>
      <c r="C530" s="52" t="s">
        <v>2763</v>
      </c>
      <c r="D530" s="53" t="s">
        <v>321</v>
      </c>
      <c r="E530" s="52" t="s">
        <v>322</v>
      </c>
      <c r="F530" s="53" t="s">
        <v>2764</v>
      </c>
      <c r="G530" s="52" t="s">
        <v>2763</v>
      </c>
      <c r="H530" s="51" t="s">
        <v>2765</v>
      </c>
    </row>
    <row r="531" spans="1:8" x14ac:dyDescent="0.3">
      <c r="A531" s="51" t="s">
        <v>2766</v>
      </c>
      <c r="B531" s="51" t="s">
        <v>2767</v>
      </c>
      <c r="C531" s="52" t="s">
        <v>2768</v>
      </c>
      <c r="D531" s="53" t="s">
        <v>242</v>
      </c>
      <c r="E531" s="52" t="s">
        <v>243</v>
      </c>
      <c r="F531" s="53" t="s">
        <v>2769</v>
      </c>
      <c r="G531" s="52" t="s">
        <v>2768</v>
      </c>
      <c r="H531" s="51" t="s">
        <v>2770</v>
      </c>
    </row>
    <row r="532" spans="1:8" x14ac:dyDescent="0.3">
      <c r="A532" s="51" t="s">
        <v>2771</v>
      </c>
      <c r="B532" s="51" t="s">
        <v>2772</v>
      </c>
      <c r="C532" s="52" t="s">
        <v>2773</v>
      </c>
      <c r="D532" s="53" t="s">
        <v>166</v>
      </c>
      <c r="E532" s="52" t="s">
        <v>167</v>
      </c>
      <c r="F532" s="53" t="s">
        <v>2774</v>
      </c>
      <c r="G532" s="52" t="s">
        <v>2773</v>
      </c>
      <c r="H532" s="51" t="s">
        <v>2775</v>
      </c>
    </row>
    <row r="533" spans="1:8" x14ac:dyDescent="0.3">
      <c r="A533" s="51" t="s">
        <v>2776</v>
      </c>
      <c r="B533" s="51" t="s">
        <v>2777</v>
      </c>
      <c r="C533" s="52" t="s">
        <v>2778</v>
      </c>
      <c r="D533" s="53" t="s">
        <v>166</v>
      </c>
      <c r="E533" s="52" t="s">
        <v>167</v>
      </c>
      <c r="F533" s="53" t="s">
        <v>2779</v>
      </c>
      <c r="G533" s="52" t="s">
        <v>2778</v>
      </c>
      <c r="H533" s="51" t="s">
        <v>2780</v>
      </c>
    </row>
    <row r="534" spans="1:8" x14ac:dyDescent="0.3">
      <c r="A534" s="51" t="s">
        <v>2781</v>
      </c>
      <c r="B534" s="51" t="s">
        <v>2782</v>
      </c>
      <c r="C534" s="52" t="s">
        <v>2783</v>
      </c>
      <c r="D534" s="53" t="s">
        <v>220</v>
      </c>
      <c r="E534" s="52" t="s">
        <v>221</v>
      </c>
      <c r="F534" s="53" t="s">
        <v>2784</v>
      </c>
      <c r="G534" s="52" t="s">
        <v>2783</v>
      </c>
    </row>
    <row r="535" spans="1:8" x14ac:dyDescent="0.3">
      <c r="A535" s="51" t="s">
        <v>2785</v>
      </c>
      <c r="B535" s="51" t="s">
        <v>2786</v>
      </c>
      <c r="C535" s="52" t="s">
        <v>2787</v>
      </c>
      <c r="D535" s="53" t="s">
        <v>935</v>
      </c>
      <c r="E535" s="52" t="s">
        <v>936</v>
      </c>
      <c r="F535" s="53" t="s">
        <v>2788</v>
      </c>
      <c r="G535" s="52" t="s">
        <v>2787</v>
      </c>
      <c r="H535" s="51" t="s">
        <v>2789</v>
      </c>
    </row>
    <row r="536" spans="1:8" x14ac:dyDescent="0.3">
      <c r="A536" s="51" t="s">
        <v>2790</v>
      </c>
      <c r="B536" s="51" t="s">
        <v>2791</v>
      </c>
      <c r="C536" s="52" t="s">
        <v>2792</v>
      </c>
      <c r="D536" s="53" t="s">
        <v>166</v>
      </c>
      <c r="E536" s="52" t="s">
        <v>167</v>
      </c>
      <c r="F536" s="53" t="s">
        <v>2793</v>
      </c>
      <c r="G536" s="52" t="s">
        <v>2792</v>
      </c>
      <c r="H536" s="51" t="s">
        <v>2794</v>
      </c>
    </row>
    <row r="537" spans="1:8" x14ac:dyDescent="0.3">
      <c r="A537" s="51" t="s">
        <v>2795</v>
      </c>
      <c r="B537" s="51" t="s">
        <v>2796</v>
      </c>
      <c r="C537" s="52" t="s">
        <v>2797</v>
      </c>
      <c r="D537" s="53" t="s">
        <v>166</v>
      </c>
      <c r="E537" s="52" t="s">
        <v>167</v>
      </c>
      <c r="F537" s="53" t="s">
        <v>2798</v>
      </c>
      <c r="G537" s="52" t="s">
        <v>2797</v>
      </c>
      <c r="H537" s="51" t="s">
        <v>2799</v>
      </c>
    </row>
    <row r="538" spans="1:8" x14ac:dyDescent="0.3">
      <c r="A538" s="51" t="s">
        <v>2800</v>
      </c>
      <c r="B538" s="51" t="s">
        <v>2801</v>
      </c>
      <c r="C538" s="52" t="s">
        <v>2802</v>
      </c>
      <c r="D538" s="53" t="s">
        <v>213</v>
      </c>
      <c r="E538" s="52" t="s">
        <v>214</v>
      </c>
      <c r="F538" s="53" t="s">
        <v>2803</v>
      </c>
      <c r="G538" s="52" t="s">
        <v>2802</v>
      </c>
      <c r="H538" s="51" t="s">
        <v>2804</v>
      </c>
    </row>
    <row r="539" spans="1:8" x14ac:dyDescent="0.3">
      <c r="A539" s="51" t="s">
        <v>2805</v>
      </c>
      <c r="B539" s="51" t="s">
        <v>2806</v>
      </c>
      <c r="C539" s="52" t="s">
        <v>2807</v>
      </c>
      <c r="D539" s="53" t="s">
        <v>321</v>
      </c>
      <c r="E539" s="52" t="s">
        <v>322</v>
      </c>
      <c r="F539" s="53" t="s">
        <v>2808</v>
      </c>
      <c r="G539" s="52" t="s">
        <v>2807</v>
      </c>
      <c r="H539" s="51" t="s">
        <v>2809</v>
      </c>
    </row>
    <row r="540" spans="1:8" x14ac:dyDescent="0.3">
      <c r="A540" s="51" t="s">
        <v>2810</v>
      </c>
      <c r="B540" s="51" t="s">
        <v>2811</v>
      </c>
      <c r="C540" s="52" t="s">
        <v>2812</v>
      </c>
      <c r="D540" s="53" t="s">
        <v>321</v>
      </c>
      <c r="E540" s="52" t="s">
        <v>322</v>
      </c>
      <c r="F540" s="53" t="s">
        <v>2813</v>
      </c>
      <c r="G540" s="52" t="s">
        <v>2812</v>
      </c>
      <c r="H540" s="51" t="s">
        <v>2814</v>
      </c>
    </row>
    <row r="541" spans="1:8" x14ac:dyDescent="0.3">
      <c r="A541" s="51" t="s">
        <v>2815</v>
      </c>
      <c r="B541" s="51" t="s">
        <v>2816</v>
      </c>
      <c r="C541" s="52" t="s">
        <v>2817</v>
      </c>
      <c r="D541" s="53" t="s">
        <v>321</v>
      </c>
      <c r="E541" s="52" t="s">
        <v>322</v>
      </c>
      <c r="F541" s="53" t="s">
        <v>2818</v>
      </c>
      <c r="G541" s="52" t="s">
        <v>2817</v>
      </c>
      <c r="H541" s="51" t="s">
        <v>2819</v>
      </c>
    </row>
    <row r="542" spans="1:8" x14ac:dyDescent="0.3">
      <c r="A542" s="51" t="s">
        <v>2820</v>
      </c>
      <c r="B542" s="51" t="s">
        <v>2821</v>
      </c>
      <c r="C542" s="52" t="s">
        <v>2822</v>
      </c>
      <c r="D542" s="53" t="s">
        <v>213</v>
      </c>
      <c r="E542" s="52" t="s">
        <v>214</v>
      </c>
      <c r="F542" s="53" t="s">
        <v>2823</v>
      </c>
      <c r="G542" s="52" t="s">
        <v>2822</v>
      </c>
      <c r="H542" s="51" t="s">
        <v>2824</v>
      </c>
    </row>
    <row r="543" spans="1:8" x14ac:dyDescent="0.3">
      <c r="A543" s="51" t="s">
        <v>2825</v>
      </c>
      <c r="B543" s="51" t="s">
        <v>2826</v>
      </c>
      <c r="C543" s="52" t="s">
        <v>2827</v>
      </c>
      <c r="D543" s="53" t="s">
        <v>523</v>
      </c>
      <c r="E543" s="52" t="s">
        <v>524</v>
      </c>
      <c r="F543" s="53" t="s">
        <v>2828</v>
      </c>
      <c r="G543" s="52" t="s">
        <v>2827</v>
      </c>
      <c r="H543" s="51" t="s">
        <v>2829</v>
      </c>
    </row>
    <row r="544" spans="1:8" x14ac:dyDescent="0.3">
      <c r="A544" s="51" t="s">
        <v>2830</v>
      </c>
      <c r="B544" s="51" t="s">
        <v>2831</v>
      </c>
      <c r="C544" s="52" t="s">
        <v>2832</v>
      </c>
      <c r="D544" s="53" t="s">
        <v>242</v>
      </c>
      <c r="E544" s="52" t="s">
        <v>243</v>
      </c>
      <c r="F544" s="53" t="s">
        <v>2833</v>
      </c>
      <c r="G544" s="52" t="s">
        <v>2832</v>
      </c>
      <c r="H544" s="51" t="s">
        <v>2834</v>
      </c>
    </row>
    <row r="545" spans="1:8" x14ac:dyDescent="0.3">
      <c r="A545" s="51" t="s">
        <v>2835</v>
      </c>
      <c r="B545" s="51" t="s">
        <v>2836</v>
      </c>
      <c r="C545" s="52" t="s">
        <v>2837</v>
      </c>
      <c r="D545" s="53" t="s">
        <v>166</v>
      </c>
      <c r="E545" s="52" t="s">
        <v>167</v>
      </c>
      <c r="F545" s="53" t="s">
        <v>2838</v>
      </c>
      <c r="G545" s="52" t="s">
        <v>2837</v>
      </c>
      <c r="H545" s="51" t="s">
        <v>2839</v>
      </c>
    </row>
    <row r="546" spans="1:8" x14ac:dyDescent="0.3">
      <c r="A546" s="51" t="s">
        <v>2840</v>
      </c>
      <c r="B546" s="51" t="s">
        <v>2841</v>
      </c>
      <c r="C546" s="52" t="s">
        <v>2842</v>
      </c>
      <c r="D546" s="53" t="s">
        <v>166</v>
      </c>
      <c r="E546" s="52" t="s">
        <v>167</v>
      </c>
      <c r="F546" s="53" t="s">
        <v>2843</v>
      </c>
      <c r="G546" s="52" t="s">
        <v>2842</v>
      </c>
      <c r="H546" s="51" t="s">
        <v>2844</v>
      </c>
    </row>
    <row r="547" spans="1:8" x14ac:dyDescent="0.3">
      <c r="A547" s="51" t="s">
        <v>2845</v>
      </c>
      <c r="B547" s="51" t="s">
        <v>2846</v>
      </c>
      <c r="C547" s="52" t="s">
        <v>2847</v>
      </c>
      <c r="D547" s="53" t="s">
        <v>166</v>
      </c>
      <c r="E547" s="52" t="s">
        <v>167</v>
      </c>
      <c r="F547" s="53" t="s">
        <v>2848</v>
      </c>
      <c r="G547" s="52" t="s">
        <v>2847</v>
      </c>
      <c r="H547" s="51" t="s">
        <v>2849</v>
      </c>
    </row>
    <row r="548" spans="1:8" x14ac:dyDescent="0.3">
      <c r="A548" s="51" t="s">
        <v>2850</v>
      </c>
      <c r="B548" s="51" t="s">
        <v>2851</v>
      </c>
      <c r="C548" s="52" t="s">
        <v>2852</v>
      </c>
      <c r="D548" s="53" t="s">
        <v>166</v>
      </c>
      <c r="E548" s="52" t="s">
        <v>167</v>
      </c>
      <c r="F548" s="53" t="s">
        <v>2853</v>
      </c>
      <c r="G548" s="52" t="s">
        <v>2852</v>
      </c>
      <c r="H548" s="51" t="s">
        <v>2854</v>
      </c>
    </row>
    <row r="549" spans="1:8" x14ac:dyDescent="0.3">
      <c r="A549" s="51" t="s">
        <v>2855</v>
      </c>
      <c r="B549" s="51" t="s">
        <v>2856</v>
      </c>
      <c r="C549" s="52" t="s">
        <v>2857</v>
      </c>
      <c r="D549" s="53" t="s">
        <v>166</v>
      </c>
      <c r="E549" s="52" t="s">
        <v>167</v>
      </c>
      <c r="F549" s="53" t="s">
        <v>2858</v>
      </c>
      <c r="G549" s="52" t="s">
        <v>2857</v>
      </c>
      <c r="H549" s="51" t="s">
        <v>2859</v>
      </c>
    </row>
    <row r="550" spans="1:8" x14ac:dyDescent="0.3">
      <c r="A550" s="51" t="s">
        <v>2860</v>
      </c>
      <c r="B550" s="51" t="s">
        <v>2861</v>
      </c>
      <c r="C550" s="52" t="s">
        <v>2862</v>
      </c>
      <c r="D550" s="53" t="s">
        <v>166</v>
      </c>
      <c r="E550" s="52" t="s">
        <v>167</v>
      </c>
      <c r="F550" s="53" t="s">
        <v>2863</v>
      </c>
      <c r="G550" s="52" t="s">
        <v>2862</v>
      </c>
      <c r="H550" s="51" t="s">
        <v>2864</v>
      </c>
    </row>
    <row r="551" spans="1:8" x14ac:dyDescent="0.3">
      <c r="A551" s="51" t="s">
        <v>2865</v>
      </c>
      <c r="B551" s="51" t="s">
        <v>2866</v>
      </c>
      <c r="C551" s="52" t="s">
        <v>2867</v>
      </c>
      <c r="D551" s="53" t="s">
        <v>166</v>
      </c>
      <c r="E551" s="52" t="s">
        <v>167</v>
      </c>
      <c r="F551" s="53" t="s">
        <v>2868</v>
      </c>
      <c r="G551" s="52" t="s">
        <v>2867</v>
      </c>
      <c r="H551" s="51" t="s">
        <v>2869</v>
      </c>
    </row>
    <row r="552" spans="1:8" x14ac:dyDescent="0.3">
      <c r="A552" s="51" t="s">
        <v>2870</v>
      </c>
      <c r="B552" s="51" t="s">
        <v>2871</v>
      </c>
      <c r="C552" s="52" t="s">
        <v>2872</v>
      </c>
      <c r="D552" s="53" t="s">
        <v>166</v>
      </c>
      <c r="E552" s="52" t="s">
        <v>167</v>
      </c>
      <c r="F552" s="53" t="s">
        <v>2873</v>
      </c>
      <c r="G552" s="52" t="s">
        <v>2872</v>
      </c>
      <c r="H552" s="51" t="s">
        <v>2874</v>
      </c>
    </row>
    <row r="553" spans="1:8" x14ac:dyDescent="0.3">
      <c r="A553" s="51" t="s">
        <v>2875</v>
      </c>
      <c r="B553" s="51" t="s">
        <v>2876</v>
      </c>
      <c r="C553" s="52" t="s">
        <v>2877</v>
      </c>
      <c r="D553" s="53" t="s">
        <v>166</v>
      </c>
      <c r="E553" s="52" t="s">
        <v>167</v>
      </c>
      <c r="F553" s="53" t="s">
        <v>2878</v>
      </c>
      <c r="G553" s="52" t="s">
        <v>860</v>
      </c>
      <c r="H553" s="51" t="s">
        <v>2879</v>
      </c>
    </row>
    <row r="554" spans="1:8" x14ac:dyDescent="0.3">
      <c r="A554" s="51" t="s">
        <v>2880</v>
      </c>
      <c r="B554" s="51" t="s">
        <v>2881</v>
      </c>
      <c r="C554" s="52" t="s">
        <v>2882</v>
      </c>
      <c r="D554" s="53" t="s">
        <v>166</v>
      </c>
      <c r="E554" s="52" t="s">
        <v>167</v>
      </c>
      <c r="F554" s="53" t="s">
        <v>2883</v>
      </c>
      <c r="G554" s="52" t="s">
        <v>2882</v>
      </c>
      <c r="H554" s="51" t="s">
        <v>2884</v>
      </c>
    </row>
    <row r="555" spans="1:8" x14ac:dyDescent="0.3">
      <c r="A555" s="51" t="s">
        <v>2885</v>
      </c>
      <c r="B555" s="51" t="s">
        <v>2886</v>
      </c>
      <c r="C555" s="52" t="s">
        <v>2887</v>
      </c>
      <c r="D555" s="53" t="s">
        <v>166</v>
      </c>
      <c r="E555" s="52" t="s">
        <v>167</v>
      </c>
      <c r="F555" s="53" t="s">
        <v>2888</v>
      </c>
      <c r="G555" s="52" t="s">
        <v>2887</v>
      </c>
      <c r="H555" s="51" t="s">
        <v>2889</v>
      </c>
    </row>
    <row r="556" spans="1:8" x14ac:dyDescent="0.3">
      <c r="A556" s="51" t="s">
        <v>2890</v>
      </c>
      <c r="B556" s="51" t="s">
        <v>2891</v>
      </c>
      <c r="C556" s="52" t="s">
        <v>2552</v>
      </c>
      <c r="D556" s="53" t="s">
        <v>166</v>
      </c>
      <c r="E556" s="52" t="s">
        <v>167</v>
      </c>
      <c r="F556" s="53" t="s">
        <v>2892</v>
      </c>
      <c r="G556" s="52" t="s">
        <v>2552</v>
      </c>
      <c r="H556" s="51" t="s">
        <v>2893</v>
      </c>
    </row>
    <row r="557" spans="1:8" x14ac:dyDescent="0.3">
      <c r="A557" s="51" t="s">
        <v>2894</v>
      </c>
      <c r="B557" s="51" t="s">
        <v>2895</v>
      </c>
      <c r="C557" s="52" t="s">
        <v>2896</v>
      </c>
      <c r="D557" s="53" t="s">
        <v>166</v>
      </c>
      <c r="E557" s="52" t="s">
        <v>167</v>
      </c>
      <c r="F557" s="53" t="s">
        <v>2897</v>
      </c>
      <c r="G557" s="52" t="s">
        <v>2896</v>
      </c>
      <c r="H557" s="51" t="s">
        <v>2898</v>
      </c>
    </row>
    <row r="558" spans="1:8" x14ac:dyDescent="0.3">
      <c r="A558" s="51" t="s">
        <v>2899</v>
      </c>
      <c r="B558" s="51" t="s">
        <v>2900</v>
      </c>
      <c r="C558" s="52" t="s">
        <v>2901</v>
      </c>
      <c r="D558" s="53" t="s">
        <v>166</v>
      </c>
      <c r="E558" s="52" t="s">
        <v>167</v>
      </c>
      <c r="F558" s="53" t="s">
        <v>2902</v>
      </c>
      <c r="G558" s="52" t="s">
        <v>2901</v>
      </c>
      <c r="H558" s="51" t="s">
        <v>2903</v>
      </c>
    </row>
    <row r="559" spans="1:8" x14ac:dyDescent="0.3">
      <c r="A559" s="51" t="s">
        <v>2904</v>
      </c>
      <c r="B559" s="51" t="s">
        <v>2905</v>
      </c>
      <c r="C559" s="52" t="s">
        <v>2906</v>
      </c>
      <c r="D559" s="53" t="s">
        <v>213</v>
      </c>
      <c r="E559" s="52" t="s">
        <v>214</v>
      </c>
      <c r="F559" s="53" t="s">
        <v>2907</v>
      </c>
      <c r="G559" s="52" t="s">
        <v>2906</v>
      </c>
      <c r="H559" s="51" t="s">
        <v>2908</v>
      </c>
    </row>
    <row r="560" spans="1:8" x14ac:dyDescent="0.3">
      <c r="A560" s="51" t="s">
        <v>2909</v>
      </c>
      <c r="B560" s="51" t="s">
        <v>2910</v>
      </c>
      <c r="C560" s="52" t="s">
        <v>2911</v>
      </c>
      <c r="D560" s="53" t="s">
        <v>166</v>
      </c>
      <c r="E560" s="52" t="s">
        <v>167</v>
      </c>
      <c r="F560" s="53" t="s">
        <v>2912</v>
      </c>
      <c r="G560" s="52" t="s">
        <v>2911</v>
      </c>
      <c r="H560" s="51" t="s">
        <v>2913</v>
      </c>
    </row>
    <row r="561" spans="1:8" x14ac:dyDescent="0.3">
      <c r="A561" s="51" t="s">
        <v>2914</v>
      </c>
      <c r="B561" s="51" t="s">
        <v>2915</v>
      </c>
      <c r="C561" s="52" t="s">
        <v>2916</v>
      </c>
      <c r="D561" s="53" t="s">
        <v>166</v>
      </c>
      <c r="E561" s="52" t="s">
        <v>167</v>
      </c>
      <c r="F561" s="53" t="s">
        <v>2917</v>
      </c>
      <c r="G561" s="52" t="s">
        <v>2916</v>
      </c>
      <c r="H561" s="51" t="s">
        <v>2918</v>
      </c>
    </row>
    <row r="562" spans="1:8" x14ac:dyDescent="0.3">
      <c r="A562" s="51" t="s">
        <v>2919</v>
      </c>
      <c r="B562" s="51" t="s">
        <v>2920</v>
      </c>
      <c r="C562" s="52" t="s">
        <v>2921</v>
      </c>
      <c r="D562" s="53" t="s">
        <v>166</v>
      </c>
      <c r="E562" s="52" t="s">
        <v>167</v>
      </c>
      <c r="F562" s="53" t="s">
        <v>2922</v>
      </c>
      <c r="G562" s="52" t="s">
        <v>2921</v>
      </c>
      <c r="H562" s="51" t="s">
        <v>2923</v>
      </c>
    </row>
    <row r="563" spans="1:8" x14ac:dyDescent="0.3">
      <c r="A563" s="51" t="s">
        <v>2924</v>
      </c>
      <c r="B563" s="51" t="s">
        <v>2925</v>
      </c>
      <c r="C563" s="52" t="s">
        <v>1901</v>
      </c>
      <c r="D563" s="53" t="s">
        <v>166</v>
      </c>
      <c r="E563" s="52" t="s">
        <v>167</v>
      </c>
      <c r="F563" s="53" t="s">
        <v>2926</v>
      </c>
      <c r="G563" s="52" t="s">
        <v>1901</v>
      </c>
      <c r="H563" s="51" t="s">
        <v>2927</v>
      </c>
    </row>
    <row r="564" spans="1:8" x14ac:dyDescent="0.3">
      <c r="A564" s="51" t="s">
        <v>2928</v>
      </c>
      <c r="B564" s="51" t="s">
        <v>2929</v>
      </c>
      <c r="C564" s="52" t="s">
        <v>2930</v>
      </c>
      <c r="D564" s="53" t="s">
        <v>166</v>
      </c>
      <c r="E564" s="52" t="s">
        <v>167</v>
      </c>
      <c r="F564" s="53" t="s">
        <v>2931</v>
      </c>
      <c r="G564" s="52" t="s">
        <v>2930</v>
      </c>
      <c r="H564" s="51" t="s">
        <v>2932</v>
      </c>
    </row>
    <row r="565" spans="1:8" x14ac:dyDescent="0.3">
      <c r="A565" s="51" t="s">
        <v>2933</v>
      </c>
      <c r="B565" s="51" t="s">
        <v>2934</v>
      </c>
      <c r="C565" s="52" t="s">
        <v>2935</v>
      </c>
      <c r="D565" s="53" t="s">
        <v>166</v>
      </c>
      <c r="E565" s="52" t="s">
        <v>167</v>
      </c>
      <c r="F565" s="53" t="s">
        <v>2936</v>
      </c>
      <c r="G565" s="52" t="s">
        <v>2935</v>
      </c>
      <c r="H565" s="51" t="s">
        <v>2937</v>
      </c>
    </row>
    <row r="566" spans="1:8" x14ac:dyDescent="0.3">
      <c r="A566" s="51" t="s">
        <v>2938</v>
      </c>
      <c r="B566" s="51" t="s">
        <v>2939</v>
      </c>
      <c r="C566" s="52" t="s">
        <v>2940</v>
      </c>
      <c r="D566" s="53" t="s">
        <v>166</v>
      </c>
      <c r="E566" s="52" t="s">
        <v>167</v>
      </c>
      <c r="F566" s="53" t="s">
        <v>2941</v>
      </c>
      <c r="G566" s="52" t="s">
        <v>2940</v>
      </c>
      <c r="H566" s="51" t="s">
        <v>2942</v>
      </c>
    </row>
    <row r="567" spans="1:8" x14ac:dyDescent="0.3">
      <c r="A567" s="51" t="s">
        <v>2943</v>
      </c>
      <c r="B567" s="51" t="s">
        <v>2944</v>
      </c>
      <c r="C567" s="52" t="s">
        <v>2945</v>
      </c>
      <c r="D567" s="53" t="s">
        <v>166</v>
      </c>
      <c r="E567" s="52" t="s">
        <v>167</v>
      </c>
      <c r="F567" s="53" t="s">
        <v>2946</v>
      </c>
      <c r="G567" s="52" t="s">
        <v>2945</v>
      </c>
      <c r="H567" s="51" t="s">
        <v>2947</v>
      </c>
    </row>
    <row r="568" spans="1:8" x14ac:dyDescent="0.3">
      <c r="A568" s="51" t="s">
        <v>2948</v>
      </c>
      <c r="B568" s="51" t="s">
        <v>2949</v>
      </c>
      <c r="C568" s="52" t="s">
        <v>2950</v>
      </c>
      <c r="D568" s="53" t="s">
        <v>166</v>
      </c>
      <c r="E568" s="52" t="s">
        <v>167</v>
      </c>
      <c r="F568" s="53" t="s">
        <v>2951</v>
      </c>
      <c r="G568" s="52" t="s">
        <v>2950</v>
      </c>
      <c r="H568" s="51" t="s">
        <v>2952</v>
      </c>
    </row>
    <row r="569" spans="1:8" x14ac:dyDescent="0.3">
      <c r="A569" s="51" t="s">
        <v>2953</v>
      </c>
      <c r="B569" s="51" t="s">
        <v>2954</v>
      </c>
      <c r="C569" s="52" t="s">
        <v>2955</v>
      </c>
      <c r="D569" s="53" t="s">
        <v>166</v>
      </c>
      <c r="E569" s="52" t="s">
        <v>167</v>
      </c>
      <c r="F569" s="53" t="s">
        <v>2956</v>
      </c>
      <c r="G569" s="52" t="s">
        <v>2955</v>
      </c>
      <c r="H569" s="51" t="s">
        <v>2957</v>
      </c>
    </row>
    <row r="570" spans="1:8" x14ac:dyDescent="0.3">
      <c r="A570" s="51" t="s">
        <v>2958</v>
      </c>
      <c r="B570" s="51" t="s">
        <v>2959</v>
      </c>
      <c r="C570" s="52" t="s">
        <v>2960</v>
      </c>
      <c r="D570" s="53" t="s">
        <v>166</v>
      </c>
      <c r="E570" s="52" t="s">
        <v>167</v>
      </c>
      <c r="F570" s="53" t="s">
        <v>2961</v>
      </c>
      <c r="G570" s="52" t="s">
        <v>2960</v>
      </c>
      <c r="H570" s="51" t="s">
        <v>2962</v>
      </c>
    </row>
    <row r="571" spans="1:8" x14ac:dyDescent="0.3">
      <c r="A571" s="51" t="s">
        <v>2963</v>
      </c>
      <c r="B571" s="51" t="s">
        <v>2964</v>
      </c>
      <c r="C571" s="52" t="s">
        <v>2965</v>
      </c>
      <c r="D571" s="53" t="s">
        <v>166</v>
      </c>
      <c r="E571" s="52" t="s">
        <v>167</v>
      </c>
      <c r="F571" s="53" t="s">
        <v>2966</v>
      </c>
      <c r="G571" s="52" t="s">
        <v>2965</v>
      </c>
      <c r="H571" s="51" t="s">
        <v>2967</v>
      </c>
    </row>
    <row r="572" spans="1:8" x14ac:dyDescent="0.3">
      <c r="A572" s="51" t="s">
        <v>2968</v>
      </c>
      <c r="B572" s="51" t="s">
        <v>2969</v>
      </c>
      <c r="C572" s="52" t="s">
        <v>2970</v>
      </c>
      <c r="D572" s="53" t="s">
        <v>166</v>
      </c>
      <c r="E572" s="52" t="s">
        <v>167</v>
      </c>
      <c r="F572" s="53" t="s">
        <v>2971</v>
      </c>
      <c r="G572" s="52" t="s">
        <v>2970</v>
      </c>
      <c r="H572" s="51" t="s">
        <v>2972</v>
      </c>
    </row>
    <row r="573" spans="1:8" x14ac:dyDescent="0.3">
      <c r="A573" s="51" t="s">
        <v>2973</v>
      </c>
      <c r="B573" s="51" t="s">
        <v>2974</v>
      </c>
      <c r="C573" s="52" t="s">
        <v>2975</v>
      </c>
      <c r="D573" s="53" t="s">
        <v>166</v>
      </c>
      <c r="E573" s="52" t="s">
        <v>167</v>
      </c>
      <c r="F573" s="53" t="s">
        <v>2976</v>
      </c>
      <c r="G573" s="52" t="s">
        <v>2975</v>
      </c>
      <c r="H573" s="51" t="s">
        <v>2977</v>
      </c>
    </row>
    <row r="574" spans="1:8" x14ac:dyDescent="0.3">
      <c r="A574" s="51" t="s">
        <v>2978</v>
      </c>
      <c r="B574" s="51" t="s">
        <v>2979</v>
      </c>
      <c r="C574" s="52" t="s">
        <v>2980</v>
      </c>
      <c r="D574" s="53" t="s">
        <v>166</v>
      </c>
      <c r="E574" s="52" t="s">
        <v>167</v>
      </c>
      <c r="F574" s="53" t="s">
        <v>2981</v>
      </c>
      <c r="G574" s="52" t="s">
        <v>2980</v>
      </c>
      <c r="H574" s="51" t="s">
        <v>2982</v>
      </c>
    </row>
    <row r="575" spans="1:8" x14ac:dyDescent="0.3">
      <c r="A575" s="51" t="s">
        <v>2983</v>
      </c>
      <c r="B575" s="51" t="s">
        <v>2984</v>
      </c>
      <c r="C575" s="52" t="s">
        <v>2985</v>
      </c>
      <c r="D575" s="53" t="s">
        <v>166</v>
      </c>
      <c r="E575" s="52" t="s">
        <v>167</v>
      </c>
      <c r="F575" s="53" t="s">
        <v>2986</v>
      </c>
      <c r="G575" s="52" t="s">
        <v>2985</v>
      </c>
      <c r="H575" s="51" t="s">
        <v>2987</v>
      </c>
    </row>
    <row r="576" spans="1:8" x14ac:dyDescent="0.3">
      <c r="A576" s="51" t="s">
        <v>2988</v>
      </c>
      <c r="B576" s="51" t="s">
        <v>2989</v>
      </c>
      <c r="C576" s="52" t="s">
        <v>2059</v>
      </c>
      <c r="D576" s="53" t="s">
        <v>166</v>
      </c>
      <c r="E576" s="52" t="s">
        <v>167</v>
      </c>
      <c r="F576" s="53" t="s">
        <v>2990</v>
      </c>
      <c r="G576" s="52" t="s">
        <v>2059</v>
      </c>
      <c r="H576" s="51" t="s">
        <v>2991</v>
      </c>
    </row>
    <row r="577" spans="1:8" x14ac:dyDescent="0.3">
      <c r="A577" s="51" t="s">
        <v>2992</v>
      </c>
      <c r="B577" s="51" t="s">
        <v>2993</v>
      </c>
      <c r="C577" s="52" t="s">
        <v>2994</v>
      </c>
      <c r="D577" s="53" t="s">
        <v>321</v>
      </c>
      <c r="E577" s="52" t="s">
        <v>322</v>
      </c>
      <c r="F577" s="53" t="s">
        <v>2995</v>
      </c>
      <c r="G577" s="52" t="s">
        <v>2994</v>
      </c>
      <c r="H577" s="51" t="s">
        <v>2996</v>
      </c>
    </row>
    <row r="578" spans="1:8" x14ac:dyDescent="0.3">
      <c r="A578" s="51" t="s">
        <v>2997</v>
      </c>
      <c r="B578" s="51" t="s">
        <v>2998</v>
      </c>
      <c r="C578" s="52" t="s">
        <v>2999</v>
      </c>
      <c r="D578" s="53" t="s">
        <v>166</v>
      </c>
      <c r="E578" s="52" t="s">
        <v>167</v>
      </c>
      <c r="F578" s="53" t="s">
        <v>3000</v>
      </c>
      <c r="G578" s="52" t="s">
        <v>2999</v>
      </c>
      <c r="H578" s="51" t="s">
        <v>3001</v>
      </c>
    </row>
    <row r="579" spans="1:8" x14ac:dyDescent="0.3">
      <c r="A579" s="51" t="s">
        <v>89</v>
      </c>
      <c r="B579" s="51" t="s">
        <v>3002</v>
      </c>
      <c r="C579" s="52" t="s">
        <v>150</v>
      </c>
      <c r="D579" s="53" t="s">
        <v>166</v>
      </c>
      <c r="E579" s="52" t="s">
        <v>167</v>
      </c>
      <c r="F579" s="53" t="s">
        <v>3003</v>
      </c>
      <c r="G579" s="52" t="s">
        <v>150</v>
      </c>
      <c r="H579" s="51" t="s">
        <v>3004</v>
      </c>
    </row>
    <row r="580" spans="1:8" x14ac:dyDescent="0.3">
      <c r="A580" s="51" t="s">
        <v>3005</v>
      </c>
      <c r="B580" s="51" t="s">
        <v>3006</v>
      </c>
      <c r="C580" s="52" t="s">
        <v>3007</v>
      </c>
      <c r="D580" s="53" t="s">
        <v>166</v>
      </c>
      <c r="E580" s="52" t="s">
        <v>167</v>
      </c>
      <c r="F580" s="53" t="s">
        <v>3008</v>
      </c>
      <c r="G580" s="52" t="s">
        <v>3007</v>
      </c>
      <c r="H580" s="51" t="s">
        <v>3009</v>
      </c>
    </row>
    <row r="581" spans="1:8" x14ac:dyDescent="0.3">
      <c r="A581" s="51" t="s">
        <v>3010</v>
      </c>
      <c r="B581" s="51" t="s">
        <v>3011</v>
      </c>
      <c r="C581" s="52" t="s">
        <v>3012</v>
      </c>
      <c r="D581" s="53" t="s">
        <v>166</v>
      </c>
      <c r="E581" s="52" t="s">
        <v>167</v>
      </c>
      <c r="F581" s="53" t="s">
        <v>3013</v>
      </c>
      <c r="G581" s="52" t="s">
        <v>3012</v>
      </c>
      <c r="H581" s="51" t="s">
        <v>3014</v>
      </c>
    </row>
    <row r="582" spans="1:8" x14ac:dyDescent="0.3">
      <c r="A582" s="51" t="s">
        <v>3015</v>
      </c>
      <c r="B582" s="51" t="s">
        <v>3016</v>
      </c>
      <c r="C582" s="52" t="s">
        <v>3017</v>
      </c>
      <c r="D582" s="53" t="s">
        <v>166</v>
      </c>
      <c r="E582" s="52" t="s">
        <v>167</v>
      </c>
      <c r="F582" s="53" t="s">
        <v>3018</v>
      </c>
      <c r="G582" s="52" t="s">
        <v>3017</v>
      </c>
      <c r="H582" s="51" t="s">
        <v>861</v>
      </c>
    </row>
    <row r="583" spans="1:8" x14ac:dyDescent="0.3">
      <c r="A583" s="51" t="s">
        <v>3019</v>
      </c>
      <c r="B583" s="51" t="s">
        <v>3020</v>
      </c>
      <c r="C583" s="52" t="s">
        <v>3021</v>
      </c>
      <c r="D583" s="53" t="s">
        <v>166</v>
      </c>
      <c r="E583" s="52" t="s">
        <v>167</v>
      </c>
      <c r="F583" s="53" t="s">
        <v>3022</v>
      </c>
      <c r="G583" s="52" t="s">
        <v>3021</v>
      </c>
      <c r="H583" s="51" t="s">
        <v>861</v>
      </c>
    </row>
    <row r="584" spans="1:8" x14ac:dyDescent="0.3">
      <c r="A584" s="51" t="s">
        <v>3023</v>
      </c>
      <c r="B584" s="51" t="s">
        <v>3024</v>
      </c>
      <c r="C584" s="52" t="s">
        <v>3025</v>
      </c>
      <c r="D584" s="53" t="s">
        <v>166</v>
      </c>
      <c r="E584" s="52" t="s">
        <v>167</v>
      </c>
      <c r="F584" s="53" t="s">
        <v>3026</v>
      </c>
      <c r="G584" s="52" t="s">
        <v>3025</v>
      </c>
      <c r="H584" s="51" t="s">
        <v>3027</v>
      </c>
    </row>
    <row r="585" spans="1:8" x14ac:dyDescent="0.3">
      <c r="A585" s="51" t="s">
        <v>3028</v>
      </c>
      <c r="B585" s="51" t="s">
        <v>3029</v>
      </c>
      <c r="C585" s="52" t="s">
        <v>3030</v>
      </c>
      <c r="D585" s="53" t="s">
        <v>166</v>
      </c>
      <c r="E585" s="52" t="s">
        <v>167</v>
      </c>
      <c r="F585" s="53" t="s">
        <v>3031</v>
      </c>
      <c r="G585" s="52" t="s">
        <v>3030</v>
      </c>
      <c r="H585" s="51" t="s">
        <v>3032</v>
      </c>
    </row>
    <row r="586" spans="1:8" x14ac:dyDescent="0.3">
      <c r="A586" s="51" t="s">
        <v>3033</v>
      </c>
      <c r="B586" s="51" t="s">
        <v>3034</v>
      </c>
      <c r="C586" s="52" t="s">
        <v>3035</v>
      </c>
      <c r="D586" s="53" t="s">
        <v>166</v>
      </c>
      <c r="E586" s="52" t="s">
        <v>167</v>
      </c>
      <c r="F586" s="53" t="s">
        <v>3036</v>
      </c>
      <c r="G586" s="52" t="s">
        <v>3035</v>
      </c>
      <c r="H586" s="51" t="s">
        <v>3037</v>
      </c>
    </row>
    <row r="587" spans="1:8" x14ac:dyDescent="0.3">
      <c r="A587" s="51" t="s">
        <v>3038</v>
      </c>
      <c r="B587" s="51" t="s">
        <v>3039</v>
      </c>
      <c r="C587" s="52" t="s">
        <v>3040</v>
      </c>
      <c r="D587" s="53" t="s">
        <v>166</v>
      </c>
      <c r="E587" s="52" t="s">
        <v>167</v>
      </c>
      <c r="F587" s="53" t="s">
        <v>3041</v>
      </c>
      <c r="G587" s="52" t="s">
        <v>3040</v>
      </c>
      <c r="H587" s="51" t="s">
        <v>3042</v>
      </c>
    </row>
    <row r="588" spans="1:8" x14ac:dyDescent="0.3">
      <c r="A588" s="51" t="s">
        <v>3043</v>
      </c>
      <c r="B588" s="51" t="s">
        <v>3044</v>
      </c>
      <c r="C588" s="52" t="s">
        <v>3045</v>
      </c>
      <c r="D588" s="53" t="s">
        <v>166</v>
      </c>
      <c r="E588" s="52" t="s">
        <v>167</v>
      </c>
      <c r="F588" s="53" t="s">
        <v>3046</v>
      </c>
      <c r="G588" s="52" t="s">
        <v>3045</v>
      </c>
      <c r="H588" s="51" t="s">
        <v>3047</v>
      </c>
    </row>
    <row r="589" spans="1:8" x14ac:dyDescent="0.3">
      <c r="A589" s="51" t="s">
        <v>3048</v>
      </c>
      <c r="B589" s="51" t="s">
        <v>3049</v>
      </c>
      <c r="C589" s="52" t="s">
        <v>3050</v>
      </c>
      <c r="D589" s="53" t="s">
        <v>166</v>
      </c>
      <c r="E589" s="52" t="s">
        <v>167</v>
      </c>
      <c r="F589" s="53" t="s">
        <v>3051</v>
      </c>
      <c r="G589" s="52" t="s">
        <v>3050</v>
      </c>
      <c r="H589" s="51" t="s">
        <v>3052</v>
      </c>
    </row>
    <row r="590" spans="1:8" x14ac:dyDescent="0.3">
      <c r="A590" s="51" t="s">
        <v>3053</v>
      </c>
      <c r="B590" s="51" t="s">
        <v>3054</v>
      </c>
      <c r="C590" s="52" t="s">
        <v>3055</v>
      </c>
      <c r="D590" s="53" t="s">
        <v>935</v>
      </c>
      <c r="E590" s="52" t="s">
        <v>936</v>
      </c>
      <c r="F590" s="53" t="s">
        <v>3056</v>
      </c>
      <c r="G590" s="52" t="s">
        <v>3055</v>
      </c>
      <c r="H590" s="51" t="s">
        <v>3057</v>
      </c>
    </row>
    <row r="591" spans="1:8" x14ac:dyDescent="0.3">
      <c r="A591" s="51" t="s">
        <v>3058</v>
      </c>
      <c r="B591" s="51" t="s">
        <v>3059</v>
      </c>
      <c r="C591" s="52" t="s">
        <v>3060</v>
      </c>
      <c r="D591" s="53" t="s">
        <v>166</v>
      </c>
      <c r="E591" s="52" t="s">
        <v>167</v>
      </c>
      <c r="F591" s="53" t="s">
        <v>3061</v>
      </c>
      <c r="G591" s="52" t="s">
        <v>3060</v>
      </c>
      <c r="H591" s="51" t="s">
        <v>3062</v>
      </c>
    </row>
    <row r="592" spans="1:8" x14ac:dyDescent="0.3">
      <c r="A592" s="51" t="s">
        <v>3063</v>
      </c>
      <c r="B592" s="51" t="s">
        <v>3064</v>
      </c>
      <c r="C592" s="52" t="s">
        <v>3065</v>
      </c>
      <c r="D592" s="53" t="s">
        <v>166</v>
      </c>
      <c r="E592" s="52" t="s">
        <v>167</v>
      </c>
      <c r="F592" s="53" t="s">
        <v>3066</v>
      </c>
      <c r="G592" s="52" t="s">
        <v>3065</v>
      </c>
      <c r="H592" s="51" t="s">
        <v>3067</v>
      </c>
    </row>
    <row r="593" spans="1:8" x14ac:dyDescent="0.3">
      <c r="A593" s="51" t="s">
        <v>3068</v>
      </c>
      <c r="B593" s="51" t="s">
        <v>3069</v>
      </c>
      <c r="C593" s="52" t="s">
        <v>3070</v>
      </c>
      <c r="D593" s="53" t="s">
        <v>166</v>
      </c>
      <c r="E593" s="52" t="s">
        <v>167</v>
      </c>
      <c r="F593" s="53" t="s">
        <v>3071</v>
      </c>
      <c r="G593" s="52" t="s">
        <v>3070</v>
      </c>
      <c r="H593" s="51" t="s">
        <v>3072</v>
      </c>
    </row>
    <row r="594" spans="1:8" x14ac:dyDescent="0.3">
      <c r="A594" s="51" t="s">
        <v>3073</v>
      </c>
      <c r="B594" s="51" t="s">
        <v>3074</v>
      </c>
      <c r="C594" s="52" t="s">
        <v>3075</v>
      </c>
      <c r="D594" s="53" t="s">
        <v>166</v>
      </c>
      <c r="E594" s="52" t="s">
        <v>167</v>
      </c>
      <c r="F594" s="53" t="s">
        <v>3076</v>
      </c>
      <c r="G594" s="52" t="s">
        <v>3075</v>
      </c>
      <c r="H594" s="51" t="s">
        <v>3077</v>
      </c>
    </row>
    <row r="595" spans="1:8" x14ac:dyDescent="0.3">
      <c r="A595" s="51" t="s">
        <v>3078</v>
      </c>
      <c r="B595" s="51" t="s">
        <v>3079</v>
      </c>
      <c r="C595" s="52" t="s">
        <v>3080</v>
      </c>
      <c r="D595" s="53" t="s">
        <v>166</v>
      </c>
      <c r="E595" s="52" t="s">
        <v>167</v>
      </c>
      <c r="F595" s="53" t="s">
        <v>3081</v>
      </c>
      <c r="G595" s="52" t="s">
        <v>3080</v>
      </c>
      <c r="H595" s="51" t="s">
        <v>3082</v>
      </c>
    </row>
    <row r="596" spans="1:8" x14ac:dyDescent="0.3">
      <c r="A596" s="51" t="s">
        <v>3083</v>
      </c>
      <c r="B596" s="51" t="s">
        <v>3084</v>
      </c>
      <c r="C596" s="52" t="s">
        <v>3085</v>
      </c>
      <c r="D596" s="53" t="s">
        <v>166</v>
      </c>
      <c r="E596" s="52" t="s">
        <v>167</v>
      </c>
      <c r="F596" s="53" t="s">
        <v>3086</v>
      </c>
      <c r="G596" s="52" t="s">
        <v>3085</v>
      </c>
      <c r="H596" s="51" t="s">
        <v>3087</v>
      </c>
    </row>
    <row r="597" spans="1:8" x14ac:dyDescent="0.3">
      <c r="A597" s="51" t="s">
        <v>3088</v>
      </c>
      <c r="B597" s="51" t="s">
        <v>3089</v>
      </c>
      <c r="C597" s="52" t="s">
        <v>3090</v>
      </c>
      <c r="D597" s="53" t="s">
        <v>220</v>
      </c>
      <c r="E597" s="52" t="s">
        <v>221</v>
      </c>
      <c r="F597" s="53" t="s">
        <v>3091</v>
      </c>
      <c r="G597" s="52" t="s">
        <v>3090</v>
      </c>
      <c r="H597" s="51" t="s">
        <v>3092</v>
      </c>
    </row>
    <row r="598" spans="1:8" x14ac:dyDescent="0.3">
      <c r="A598" s="51" t="s">
        <v>3093</v>
      </c>
      <c r="B598" s="51" t="s">
        <v>3094</v>
      </c>
      <c r="C598" s="52" t="s">
        <v>3095</v>
      </c>
      <c r="D598" s="53" t="s">
        <v>1653</v>
      </c>
      <c r="E598" s="52" t="s">
        <v>1654</v>
      </c>
      <c r="F598" s="53" t="s">
        <v>3096</v>
      </c>
      <c r="G598" s="52" t="s">
        <v>3095</v>
      </c>
      <c r="H598" s="51" t="s">
        <v>3097</v>
      </c>
    </row>
    <row r="599" spans="1:8" x14ac:dyDescent="0.3">
      <c r="A599" s="51" t="s">
        <v>3098</v>
      </c>
      <c r="B599" s="51" t="s">
        <v>3099</v>
      </c>
      <c r="C599" s="52" t="s">
        <v>3100</v>
      </c>
      <c r="D599" s="53" t="s">
        <v>166</v>
      </c>
      <c r="E599" s="52" t="s">
        <v>167</v>
      </c>
      <c r="F599" s="53" t="s">
        <v>3101</v>
      </c>
      <c r="G599" s="52" t="s">
        <v>3100</v>
      </c>
      <c r="H599" s="51" t="s">
        <v>3102</v>
      </c>
    </row>
    <row r="600" spans="1:8" x14ac:dyDescent="0.3">
      <c r="A600" s="51" t="s">
        <v>3103</v>
      </c>
      <c r="B600" s="51" t="s">
        <v>3104</v>
      </c>
      <c r="C600" s="52" t="s">
        <v>3105</v>
      </c>
      <c r="D600" s="53" t="s">
        <v>166</v>
      </c>
      <c r="E600" s="52" t="s">
        <v>167</v>
      </c>
      <c r="F600" s="53" t="s">
        <v>3106</v>
      </c>
      <c r="G600" s="52" t="s">
        <v>3105</v>
      </c>
      <c r="H600" s="51" t="s">
        <v>3107</v>
      </c>
    </row>
    <row r="601" spans="1:8" x14ac:dyDescent="0.3">
      <c r="A601" s="51" t="s">
        <v>3108</v>
      </c>
      <c r="B601" s="51" t="s">
        <v>3109</v>
      </c>
      <c r="C601" s="52" t="s">
        <v>3110</v>
      </c>
      <c r="D601" s="53" t="s">
        <v>166</v>
      </c>
      <c r="E601" s="52" t="s">
        <v>167</v>
      </c>
      <c r="F601" s="53" t="s">
        <v>3111</v>
      </c>
      <c r="G601" s="52" t="s">
        <v>3110</v>
      </c>
      <c r="H601" s="51" t="s">
        <v>3112</v>
      </c>
    </row>
    <row r="602" spans="1:8" x14ac:dyDescent="0.3">
      <c r="A602" s="51" t="s">
        <v>3113</v>
      </c>
      <c r="B602" s="51" t="s">
        <v>3114</v>
      </c>
      <c r="C602" s="52" t="s">
        <v>3115</v>
      </c>
      <c r="D602" s="53" t="s">
        <v>166</v>
      </c>
      <c r="E602" s="52" t="s">
        <v>167</v>
      </c>
      <c r="F602" s="53" t="s">
        <v>3116</v>
      </c>
      <c r="G602" s="52" t="s">
        <v>3115</v>
      </c>
      <c r="H602" s="51" t="s">
        <v>3117</v>
      </c>
    </row>
    <row r="603" spans="1:8" x14ac:dyDescent="0.3">
      <c r="A603" s="51" t="s">
        <v>3118</v>
      </c>
      <c r="B603" s="51" t="s">
        <v>3119</v>
      </c>
      <c r="C603" s="52" t="s">
        <v>3120</v>
      </c>
      <c r="D603" s="53" t="s">
        <v>166</v>
      </c>
      <c r="E603" s="52" t="s">
        <v>167</v>
      </c>
      <c r="F603" s="53" t="s">
        <v>3121</v>
      </c>
      <c r="G603" s="52" t="s">
        <v>3120</v>
      </c>
      <c r="H603" s="51" t="s">
        <v>3122</v>
      </c>
    </row>
    <row r="604" spans="1:8" x14ac:dyDescent="0.3">
      <c r="A604" s="51" t="s">
        <v>3123</v>
      </c>
      <c r="B604" s="51" t="s">
        <v>3124</v>
      </c>
      <c r="C604" s="52" t="s">
        <v>3125</v>
      </c>
      <c r="D604" s="53" t="s">
        <v>523</v>
      </c>
      <c r="E604" s="52" t="s">
        <v>524</v>
      </c>
      <c r="F604" s="53" t="s">
        <v>3126</v>
      </c>
      <c r="G604" s="52" t="s">
        <v>3125</v>
      </c>
      <c r="H604" s="51" t="s">
        <v>3127</v>
      </c>
    </row>
    <row r="605" spans="1:8" x14ac:dyDescent="0.3">
      <c r="A605" s="51" t="s">
        <v>3128</v>
      </c>
      <c r="B605" s="51" t="s">
        <v>3129</v>
      </c>
      <c r="C605" s="52" t="s">
        <v>3130</v>
      </c>
      <c r="D605" s="53" t="s">
        <v>879</v>
      </c>
      <c r="E605" s="52" t="s">
        <v>880</v>
      </c>
      <c r="F605" s="53" t="s">
        <v>3131</v>
      </c>
      <c r="G605" s="52" t="s">
        <v>3130</v>
      </c>
      <c r="H605" s="51" t="s">
        <v>3132</v>
      </c>
    </row>
    <row r="606" spans="1:8" x14ac:dyDescent="0.3">
      <c r="A606" s="51" t="s">
        <v>3133</v>
      </c>
      <c r="B606" s="51" t="s">
        <v>3134</v>
      </c>
      <c r="C606" s="52" t="s">
        <v>3135</v>
      </c>
      <c r="D606" s="53" t="s">
        <v>220</v>
      </c>
      <c r="E606" s="52" t="s">
        <v>221</v>
      </c>
      <c r="F606" s="53" t="s">
        <v>3136</v>
      </c>
      <c r="G606" s="52" t="s">
        <v>3135</v>
      </c>
      <c r="H606" s="51" t="s">
        <v>3137</v>
      </c>
    </row>
    <row r="607" spans="1:8" x14ac:dyDescent="0.3">
      <c r="A607" s="51" t="s">
        <v>3138</v>
      </c>
      <c r="B607" s="51" t="s">
        <v>3139</v>
      </c>
      <c r="C607" s="52" t="s">
        <v>3140</v>
      </c>
      <c r="D607" s="53" t="s">
        <v>523</v>
      </c>
      <c r="E607" s="52" t="s">
        <v>524</v>
      </c>
      <c r="F607" s="53" t="s">
        <v>3141</v>
      </c>
      <c r="G607" s="52" t="s">
        <v>3140</v>
      </c>
      <c r="H607" s="51" t="s">
        <v>3142</v>
      </c>
    </row>
    <row r="608" spans="1:8" x14ac:dyDescent="0.3">
      <c r="A608" s="51" t="s">
        <v>3143</v>
      </c>
      <c r="B608" s="51" t="s">
        <v>3144</v>
      </c>
      <c r="C608" s="52" t="s">
        <v>3145</v>
      </c>
      <c r="D608" s="53" t="s">
        <v>166</v>
      </c>
      <c r="E608" s="52" t="s">
        <v>167</v>
      </c>
      <c r="F608" s="53" t="s">
        <v>3146</v>
      </c>
      <c r="G608" s="52" t="s">
        <v>3145</v>
      </c>
      <c r="H608" s="51" t="s">
        <v>3147</v>
      </c>
    </row>
    <row r="609" spans="1:8" x14ac:dyDescent="0.3">
      <c r="A609" s="51" t="s">
        <v>3148</v>
      </c>
      <c r="B609" s="51" t="s">
        <v>3149</v>
      </c>
      <c r="C609" s="52" t="s">
        <v>3150</v>
      </c>
      <c r="D609" s="53" t="s">
        <v>242</v>
      </c>
      <c r="E609" s="52" t="s">
        <v>243</v>
      </c>
      <c r="F609" s="53" t="s">
        <v>3151</v>
      </c>
      <c r="G609" s="52" t="s">
        <v>3150</v>
      </c>
      <c r="H609" s="51" t="s">
        <v>3152</v>
      </c>
    </row>
    <row r="610" spans="1:8" x14ac:dyDescent="0.3">
      <c r="A610" s="51" t="s">
        <v>3153</v>
      </c>
      <c r="B610" s="51" t="s">
        <v>3154</v>
      </c>
      <c r="C610" s="52" t="s">
        <v>3155</v>
      </c>
      <c r="D610" s="53" t="s">
        <v>321</v>
      </c>
      <c r="E610" s="52" t="s">
        <v>322</v>
      </c>
      <c r="F610" s="53" t="s">
        <v>3156</v>
      </c>
      <c r="G610" s="52" t="s">
        <v>3155</v>
      </c>
      <c r="H610" s="51" t="s">
        <v>3157</v>
      </c>
    </row>
    <row r="611" spans="1:8" x14ac:dyDescent="0.3">
      <c r="A611" s="51" t="s">
        <v>3158</v>
      </c>
      <c r="B611" s="51" t="s">
        <v>3159</v>
      </c>
      <c r="C611" s="52" t="s">
        <v>3160</v>
      </c>
      <c r="D611" s="53" t="s">
        <v>166</v>
      </c>
      <c r="E611" s="52" t="s">
        <v>167</v>
      </c>
      <c r="F611" s="53" t="s">
        <v>3161</v>
      </c>
      <c r="G611" s="52" t="s">
        <v>3160</v>
      </c>
      <c r="H611" s="51" t="s">
        <v>3162</v>
      </c>
    </row>
    <row r="612" spans="1:8" x14ac:dyDescent="0.3">
      <c r="A612" s="51" t="s">
        <v>3163</v>
      </c>
      <c r="B612" s="51" t="s">
        <v>3164</v>
      </c>
      <c r="C612" s="52" t="s">
        <v>3165</v>
      </c>
      <c r="D612" s="53" t="s">
        <v>166</v>
      </c>
      <c r="E612" s="52" t="s">
        <v>167</v>
      </c>
      <c r="F612" s="53" t="s">
        <v>3166</v>
      </c>
      <c r="G612" s="52" t="s">
        <v>3165</v>
      </c>
      <c r="H612" s="51" t="s">
        <v>3167</v>
      </c>
    </row>
    <row r="613" spans="1:8" x14ac:dyDescent="0.3">
      <c r="A613" s="51" t="s">
        <v>3168</v>
      </c>
      <c r="B613" s="51" t="s">
        <v>3169</v>
      </c>
      <c r="C613" s="52" t="s">
        <v>3170</v>
      </c>
      <c r="D613" s="53" t="s">
        <v>321</v>
      </c>
      <c r="E613" s="52" t="s">
        <v>322</v>
      </c>
      <c r="F613" s="53" t="s">
        <v>3171</v>
      </c>
      <c r="G613" s="52" t="s">
        <v>3170</v>
      </c>
      <c r="H613" s="51" t="s">
        <v>3172</v>
      </c>
    </row>
    <row r="614" spans="1:8" x14ac:dyDescent="0.3">
      <c r="A614" s="51" t="s">
        <v>3173</v>
      </c>
      <c r="B614" s="51" t="s">
        <v>3174</v>
      </c>
      <c r="C614" s="52" t="s">
        <v>3175</v>
      </c>
      <c r="D614" s="53" t="s">
        <v>166</v>
      </c>
      <c r="E614" s="52" t="s">
        <v>167</v>
      </c>
      <c r="F614" s="53" t="s">
        <v>3176</v>
      </c>
      <c r="G614" s="52" t="s">
        <v>3175</v>
      </c>
      <c r="H614" s="51" t="s">
        <v>3177</v>
      </c>
    </row>
    <row r="615" spans="1:8" x14ac:dyDescent="0.3">
      <c r="A615" s="51" t="s">
        <v>3178</v>
      </c>
      <c r="B615" s="51" t="s">
        <v>3179</v>
      </c>
      <c r="C615" s="52" t="s">
        <v>3180</v>
      </c>
      <c r="D615" s="53" t="s">
        <v>213</v>
      </c>
      <c r="E615" s="52" t="s">
        <v>214</v>
      </c>
      <c r="F615" s="53" t="s">
        <v>3181</v>
      </c>
      <c r="G615" s="52" t="s">
        <v>3180</v>
      </c>
      <c r="H615" s="51" t="s">
        <v>3182</v>
      </c>
    </row>
    <row r="616" spans="1:8" x14ac:dyDescent="0.3">
      <c r="A616" s="51" t="s">
        <v>3183</v>
      </c>
      <c r="B616" s="51" t="s">
        <v>3184</v>
      </c>
      <c r="C616" s="52" t="s">
        <v>3185</v>
      </c>
      <c r="D616" s="53" t="s">
        <v>166</v>
      </c>
      <c r="E616" s="52" t="s">
        <v>167</v>
      </c>
      <c r="F616" s="53" t="s">
        <v>3186</v>
      </c>
      <c r="G616" s="52" t="s">
        <v>3185</v>
      </c>
      <c r="H616" s="51" t="s">
        <v>3187</v>
      </c>
    </row>
    <row r="617" spans="1:8" x14ac:dyDescent="0.3">
      <c r="A617" s="51" t="s">
        <v>3188</v>
      </c>
      <c r="B617" s="51" t="s">
        <v>3189</v>
      </c>
      <c r="C617" s="52" t="s">
        <v>3190</v>
      </c>
      <c r="D617" s="53" t="s">
        <v>166</v>
      </c>
      <c r="E617" s="52" t="s">
        <v>167</v>
      </c>
      <c r="F617" s="53" t="s">
        <v>3191</v>
      </c>
      <c r="G617" s="52" t="s">
        <v>3190</v>
      </c>
      <c r="H617" s="51" t="s">
        <v>3192</v>
      </c>
    </row>
    <row r="618" spans="1:8" x14ac:dyDescent="0.3">
      <c r="A618" s="51" t="s">
        <v>3193</v>
      </c>
      <c r="B618" s="51" t="s">
        <v>3194</v>
      </c>
      <c r="C618" s="52" t="s">
        <v>3195</v>
      </c>
      <c r="D618" s="53" t="s">
        <v>166</v>
      </c>
      <c r="E618" s="52" t="s">
        <v>167</v>
      </c>
      <c r="F618" s="53" t="s">
        <v>3196</v>
      </c>
      <c r="G618" s="52" t="s">
        <v>3195</v>
      </c>
      <c r="H618" s="51" t="s">
        <v>3197</v>
      </c>
    </row>
    <row r="619" spans="1:8" x14ac:dyDescent="0.3">
      <c r="A619" s="51" t="s">
        <v>3198</v>
      </c>
      <c r="B619" s="51" t="s">
        <v>3199</v>
      </c>
      <c r="C619" s="52" t="s">
        <v>3200</v>
      </c>
      <c r="D619" s="53" t="s">
        <v>242</v>
      </c>
      <c r="E619" s="52" t="s">
        <v>243</v>
      </c>
      <c r="F619" s="53" t="s">
        <v>3201</v>
      </c>
      <c r="G619" s="52" t="s">
        <v>3200</v>
      </c>
      <c r="H619" s="51" t="s">
        <v>3202</v>
      </c>
    </row>
    <row r="620" spans="1:8" x14ac:dyDescent="0.3">
      <c r="A620" s="51" t="s">
        <v>3203</v>
      </c>
      <c r="B620" s="51" t="s">
        <v>3204</v>
      </c>
      <c r="C620" s="52" t="s">
        <v>3205</v>
      </c>
      <c r="D620" s="53" t="s">
        <v>213</v>
      </c>
      <c r="E620" s="52" t="s">
        <v>214</v>
      </c>
      <c r="F620" s="53" t="s">
        <v>3206</v>
      </c>
      <c r="G620" s="52" t="s">
        <v>3205</v>
      </c>
      <c r="H620" s="51" t="s">
        <v>3207</v>
      </c>
    </row>
    <row r="621" spans="1:8" x14ac:dyDescent="0.3">
      <c r="A621" s="51" t="s">
        <v>3208</v>
      </c>
      <c r="B621" s="51" t="s">
        <v>3209</v>
      </c>
      <c r="C621" s="52" t="s">
        <v>3210</v>
      </c>
      <c r="D621" s="53" t="s">
        <v>321</v>
      </c>
      <c r="E621" s="52" t="s">
        <v>322</v>
      </c>
      <c r="F621" s="53" t="s">
        <v>3211</v>
      </c>
      <c r="G621" s="52" t="s">
        <v>3210</v>
      </c>
      <c r="H621" s="51" t="s">
        <v>3212</v>
      </c>
    </row>
    <row r="622" spans="1:8" x14ac:dyDescent="0.3">
      <c r="A622" s="51" t="s">
        <v>3213</v>
      </c>
      <c r="B622" s="51" t="s">
        <v>3214</v>
      </c>
      <c r="C622" s="52" t="s">
        <v>3215</v>
      </c>
      <c r="D622" s="53" t="s">
        <v>166</v>
      </c>
      <c r="E622" s="52" t="s">
        <v>167</v>
      </c>
      <c r="F622" s="53" t="s">
        <v>3216</v>
      </c>
      <c r="G622" s="52" t="s">
        <v>3215</v>
      </c>
      <c r="H622" s="51" t="s">
        <v>3217</v>
      </c>
    </row>
    <row r="623" spans="1:8" x14ac:dyDescent="0.3">
      <c r="A623" s="51" t="s">
        <v>3218</v>
      </c>
      <c r="B623" s="51" t="s">
        <v>3219</v>
      </c>
      <c r="C623" s="52" t="s">
        <v>3220</v>
      </c>
      <c r="D623" s="53" t="s">
        <v>166</v>
      </c>
      <c r="E623" s="52" t="s">
        <v>167</v>
      </c>
      <c r="F623" s="53" t="s">
        <v>3221</v>
      </c>
      <c r="G623" s="52" t="s">
        <v>3220</v>
      </c>
      <c r="H623" s="51" t="s">
        <v>3222</v>
      </c>
    </row>
    <row r="624" spans="1:8" x14ac:dyDescent="0.3">
      <c r="A624" s="51" t="s">
        <v>3223</v>
      </c>
      <c r="B624" s="51" t="s">
        <v>3224</v>
      </c>
      <c r="C624" s="52" t="s">
        <v>3225</v>
      </c>
      <c r="D624" s="53" t="s">
        <v>166</v>
      </c>
      <c r="E624" s="52" t="s">
        <v>167</v>
      </c>
      <c r="F624" s="53" t="s">
        <v>3226</v>
      </c>
      <c r="G624" s="52" t="s">
        <v>3225</v>
      </c>
      <c r="H624" s="51" t="s">
        <v>3227</v>
      </c>
    </row>
    <row r="625" spans="1:8" x14ac:dyDescent="0.3">
      <c r="A625" s="51" t="s">
        <v>3228</v>
      </c>
      <c r="B625" s="51" t="s">
        <v>3229</v>
      </c>
      <c r="C625" s="52" t="s">
        <v>3230</v>
      </c>
      <c r="D625" s="53" t="s">
        <v>166</v>
      </c>
      <c r="E625" s="52" t="s">
        <v>167</v>
      </c>
      <c r="F625" s="53" t="s">
        <v>3231</v>
      </c>
      <c r="G625" s="52" t="s">
        <v>3230</v>
      </c>
      <c r="H625" s="51" t="s">
        <v>3232</v>
      </c>
    </row>
    <row r="626" spans="1:8" x14ac:dyDescent="0.3">
      <c r="A626" s="51" t="s">
        <v>3233</v>
      </c>
      <c r="B626" s="51" t="s">
        <v>3234</v>
      </c>
      <c r="C626" s="52" t="s">
        <v>3235</v>
      </c>
      <c r="D626" s="53" t="s">
        <v>166</v>
      </c>
      <c r="E626" s="52" t="s">
        <v>167</v>
      </c>
      <c r="F626" s="53" t="s">
        <v>3236</v>
      </c>
      <c r="G626" s="52" t="s">
        <v>3235</v>
      </c>
      <c r="H626" s="51" t="s">
        <v>3237</v>
      </c>
    </row>
    <row r="627" spans="1:8" x14ac:dyDescent="0.3">
      <c r="A627" s="51" t="s">
        <v>3238</v>
      </c>
      <c r="B627" s="51" t="s">
        <v>3239</v>
      </c>
      <c r="C627" s="52" t="s">
        <v>3240</v>
      </c>
      <c r="D627" s="53" t="s">
        <v>523</v>
      </c>
      <c r="E627" s="52" t="s">
        <v>524</v>
      </c>
      <c r="F627" s="53" t="s">
        <v>3241</v>
      </c>
      <c r="G627" s="52" t="s">
        <v>3240</v>
      </c>
      <c r="H627" s="51" t="s">
        <v>3242</v>
      </c>
    </row>
    <row r="628" spans="1:8" x14ac:dyDescent="0.3">
      <c r="A628" s="51" t="s">
        <v>3243</v>
      </c>
      <c r="B628" s="51" t="s">
        <v>3244</v>
      </c>
      <c r="C628" s="52" t="s">
        <v>3245</v>
      </c>
      <c r="D628" s="53" t="s">
        <v>166</v>
      </c>
      <c r="E628" s="52" t="s">
        <v>167</v>
      </c>
      <c r="F628" s="53" t="s">
        <v>3246</v>
      </c>
      <c r="G628" s="52" t="s">
        <v>3245</v>
      </c>
      <c r="H628" s="51" t="s">
        <v>3247</v>
      </c>
    </row>
    <row r="629" spans="1:8" x14ac:dyDescent="0.3">
      <c r="A629" s="51" t="s">
        <v>3248</v>
      </c>
      <c r="B629" s="51" t="s">
        <v>3249</v>
      </c>
      <c r="C629" s="52" t="s">
        <v>3250</v>
      </c>
      <c r="D629" s="53" t="s">
        <v>166</v>
      </c>
      <c r="E629" s="52" t="s">
        <v>167</v>
      </c>
      <c r="F629" s="53" t="s">
        <v>3251</v>
      </c>
      <c r="G629" s="52" t="s">
        <v>3250</v>
      </c>
      <c r="H629" s="51" t="s">
        <v>3252</v>
      </c>
    </row>
    <row r="630" spans="1:8" x14ac:dyDescent="0.3">
      <c r="A630" s="51" t="s">
        <v>3253</v>
      </c>
      <c r="B630" s="51" t="s">
        <v>3254</v>
      </c>
      <c r="C630" s="52" t="s">
        <v>3255</v>
      </c>
      <c r="D630" s="53" t="s">
        <v>166</v>
      </c>
      <c r="E630" s="52" t="s">
        <v>167</v>
      </c>
      <c r="F630" s="53" t="s">
        <v>3256</v>
      </c>
      <c r="G630" s="52" t="s">
        <v>3255</v>
      </c>
      <c r="H630" s="51" t="s">
        <v>3257</v>
      </c>
    </row>
    <row r="631" spans="1:8" x14ac:dyDescent="0.3">
      <c r="A631" s="51" t="s">
        <v>3258</v>
      </c>
      <c r="B631" s="51" t="s">
        <v>3259</v>
      </c>
      <c r="C631" s="52" t="s">
        <v>3260</v>
      </c>
      <c r="D631" s="53" t="s">
        <v>166</v>
      </c>
      <c r="E631" s="52" t="s">
        <v>167</v>
      </c>
      <c r="F631" s="53" t="s">
        <v>3261</v>
      </c>
      <c r="G631" s="52" t="s">
        <v>3260</v>
      </c>
      <c r="H631" s="51" t="s">
        <v>3262</v>
      </c>
    </row>
    <row r="632" spans="1:8" x14ac:dyDescent="0.3">
      <c r="A632" s="51" t="s">
        <v>3263</v>
      </c>
      <c r="B632" s="51" t="s">
        <v>3264</v>
      </c>
      <c r="C632" s="52" t="s">
        <v>3265</v>
      </c>
      <c r="D632" s="53" t="s">
        <v>166</v>
      </c>
      <c r="E632" s="52" t="s">
        <v>167</v>
      </c>
      <c r="F632" s="53" t="s">
        <v>3266</v>
      </c>
      <c r="G632" s="52" t="s">
        <v>3265</v>
      </c>
      <c r="H632" s="51" t="s">
        <v>3267</v>
      </c>
    </row>
    <row r="633" spans="1:8" x14ac:dyDescent="0.3">
      <c r="A633" s="51" t="s">
        <v>3268</v>
      </c>
      <c r="B633" s="51" t="s">
        <v>3269</v>
      </c>
      <c r="C633" s="52" t="s">
        <v>3270</v>
      </c>
      <c r="D633" s="53" t="s">
        <v>166</v>
      </c>
      <c r="E633" s="52" t="s">
        <v>167</v>
      </c>
      <c r="F633" s="53" t="s">
        <v>3271</v>
      </c>
      <c r="G633" s="52" t="s">
        <v>3270</v>
      </c>
      <c r="H633" s="51" t="s">
        <v>3272</v>
      </c>
    </row>
    <row r="634" spans="1:8" x14ac:dyDescent="0.3">
      <c r="A634" s="51" t="s">
        <v>3273</v>
      </c>
      <c r="B634" s="51" t="s">
        <v>3274</v>
      </c>
      <c r="C634" s="52" t="s">
        <v>3275</v>
      </c>
      <c r="D634" s="53" t="s">
        <v>166</v>
      </c>
      <c r="E634" s="52" t="s">
        <v>167</v>
      </c>
      <c r="F634" s="53" t="s">
        <v>3276</v>
      </c>
      <c r="G634" s="52" t="s">
        <v>3275</v>
      </c>
      <c r="H634" s="51" t="s">
        <v>3277</v>
      </c>
    </row>
    <row r="635" spans="1:8" x14ac:dyDescent="0.3">
      <c r="A635" s="51" t="s">
        <v>3278</v>
      </c>
      <c r="B635" s="51" t="s">
        <v>3279</v>
      </c>
      <c r="C635" s="52" t="s">
        <v>3280</v>
      </c>
      <c r="D635" s="53" t="s">
        <v>523</v>
      </c>
      <c r="E635" s="52" t="s">
        <v>524</v>
      </c>
      <c r="F635" s="53" t="s">
        <v>3281</v>
      </c>
      <c r="G635" s="52" t="s">
        <v>3280</v>
      </c>
      <c r="H635" s="51" t="s">
        <v>3282</v>
      </c>
    </row>
    <row r="636" spans="1:8" x14ac:dyDescent="0.3">
      <c r="A636" s="51" t="s">
        <v>3283</v>
      </c>
      <c r="B636" s="51" t="s">
        <v>3284</v>
      </c>
      <c r="C636" s="52" t="s">
        <v>3285</v>
      </c>
      <c r="D636" s="53" t="s">
        <v>166</v>
      </c>
      <c r="E636" s="52" t="s">
        <v>167</v>
      </c>
      <c r="F636" s="53" t="s">
        <v>3286</v>
      </c>
      <c r="G636" s="52" t="s">
        <v>3285</v>
      </c>
      <c r="H636" s="51" t="s">
        <v>3287</v>
      </c>
    </row>
    <row r="637" spans="1:8" x14ac:dyDescent="0.3">
      <c r="A637" s="51" t="s">
        <v>3288</v>
      </c>
      <c r="B637" s="51" t="s">
        <v>3289</v>
      </c>
      <c r="C637" s="52" t="s">
        <v>3290</v>
      </c>
      <c r="D637" s="53" t="s">
        <v>166</v>
      </c>
      <c r="E637" s="52" t="s">
        <v>167</v>
      </c>
      <c r="F637" s="53" t="s">
        <v>3291</v>
      </c>
      <c r="G637" s="52" t="s">
        <v>3290</v>
      </c>
      <c r="H637" s="51" t="s">
        <v>3292</v>
      </c>
    </row>
    <row r="638" spans="1:8" x14ac:dyDescent="0.3">
      <c r="A638" s="51" t="s">
        <v>3293</v>
      </c>
      <c r="B638" s="51" t="s">
        <v>3294</v>
      </c>
      <c r="C638" s="52" t="s">
        <v>3295</v>
      </c>
      <c r="D638" s="53" t="s">
        <v>166</v>
      </c>
      <c r="E638" s="52" t="s">
        <v>167</v>
      </c>
      <c r="F638" s="53" t="s">
        <v>3296</v>
      </c>
      <c r="G638" s="52" t="s">
        <v>3295</v>
      </c>
      <c r="H638" s="51" t="s">
        <v>3297</v>
      </c>
    </row>
    <row r="639" spans="1:8" x14ac:dyDescent="0.3">
      <c r="A639" s="51" t="s">
        <v>3298</v>
      </c>
      <c r="B639" s="51" t="s">
        <v>3299</v>
      </c>
      <c r="C639" s="52" t="s">
        <v>3300</v>
      </c>
      <c r="D639" s="53" t="s">
        <v>166</v>
      </c>
      <c r="E639" s="52" t="s">
        <v>167</v>
      </c>
      <c r="F639" s="53" t="s">
        <v>3301</v>
      </c>
      <c r="G639" s="52" t="s">
        <v>3300</v>
      </c>
      <c r="H639" s="51" t="s">
        <v>3302</v>
      </c>
    </row>
    <row r="640" spans="1:8" x14ac:dyDescent="0.3">
      <c r="A640" s="51" t="s">
        <v>3303</v>
      </c>
      <c r="B640" s="51" t="s">
        <v>3304</v>
      </c>
      <c r="C640" s="52" t="s">
        <v>3305</v>
      </c>
      <c r="D640" s="53" t="s">
        <v>309</v>
      </c>
      <c r="E640" s="52" t="s">
        <v>310</v>
      </c>
      <c r="F640" s="53" t="s">
        <v>3306</v>
      </c>
      <c r="G640" s="52" t="s">
        <v>3305</v>
      </c>
      <c r="H640" s="51" t="s">
        <v>3307</v>
      </c>
    </row>
    <row r="641" spans="1:8" x14ac:dyDescent="0.3">
      <c r="A641" s="51" t="s">
        <v>3308</v>
      </c>
      <c r="B641" s="51" t="s">
        <v>3309</v>
      </c>
      <c r="C641" s="52" t="s">
        <v>3310</v>
      </c>
      <c r="D641" s="53" t="s">
        <v>166</v>
      </c>
      <c r="E641" s="52" t="s">
        <v>167</v>
      </c>
      <c r="F641" s="53" t="s">
        <v>3311</v>
      </c>
      <c r="G641" s="52" t="s">
        <v>3310</v>
      </c>
      <c r="H641" s="51" t="s">
        <v>3312</v>
      </c>
    </row>
    <row r="642" spans="1:8" x14ac:dyDescent="0.3">
      <c r="A642" s="51" t="s">
        <v>3313</v>
      </c>
      <c r="B642" s="51" t="s">
        <v>3314</v>
      </c>
      <c r="C642" s="52" t="s">
        <v>387</v>
      </c>
      <c r="D642" s="53" t="s">
        <v>166</v>
      </c>
      <c r="E642" s="52" t="s">
        <v>167</v>
      </c>
      <c r="F642" s="53" t="s">
        <v>3315</v>
      </c>
      <c r="G642" s="52" t="s">
        <v>387</v>
      </c>
      <c r="H642" s="51" t="s">
        <v>3316</v>
      </c>
    </row>
    <row r="643" spans="1:8" x14ac:dyDescent="0.3">
      <c r="A643" s="51" t="s">
        <v>3317</v>
      </c>
      <c r="B643" s="51" t="s">
        <v>3318</v>
      </c>
      <c r="C643" s="52" t="s">
        <v>3319</v>
      </c>
      <c r="D643" s="53" t="s">
        <v>166</v>
      </c>
      <c r="E643" s="52" t="s">
        <v>167</v>
      </c>
      <c r="F643" s="53" t="s">
        <v>3320</v>
      </c>
      <c r="G643" s="52" t="s">
        <v>3319</v>
      </c>
      <c r="H643" s="51" t="s">
        <v>3321</v>
      </c>
    </row>
    <row r="644" spans="1:8" x14ac:dyDescent="0.3">
      <c r="A644" s="51" t="s">
        <v>3322</v>
      </c>
      <c r="B644" s="51" t="s">
        <v>3323</v>
      </c>
      <c r="C644" s="52" t="s">
        <v>3324</v>
      </c>
      <c r="D644" s="53" t="s">
        <v>166</v>
      </c>
      <c r="E644" s="52" t="s">
        <v>167</v>
      </c>
      <c r="F644" s="53" t="s">
        <v>3325</v>
      </c>
      <c r="G644" s="52" t="s">
        <v>3324</v>
      </c>
      <c r="H644" s="51" t="s">
        <v>3326</v>
      </c>
    </row>
    <row r="645" spans="1:8" x14ac:dyDescent="0.3">
      <c r="A645" s="51" t="s">
        <v>3327</v>
      </c>
      <c r="B645" s="51" t="s">
        <v>3328</v>
      </c>
      <c r="C645" s="52" t="s">
        <v>3329</v>
      </c>
      <c r="D645" s="53" t="s">
        <v>166</v>
      </c>
      <c r="E645" s="52" t="s">
        <v>167</v>
      </c>
      <c r="F645" s="53" t="s">
        <v>3330</v>
      </c>
      <c r="G645" s="52" t="s">
        <v>3329</v>
      </c>
      <c r="H645" s="51" t="s">
        <v>3331</v>
      </c>
    </row>
    <row r="646" spans="1:8" x14ac:dyDescent="0.3">
      <c r="A646" s="51" t="s">
        <v>3332</v>
      </c>
      <c r="B646" s="51" t="s">
        <v>3333</v>
      </c>
      <c r="C646" s="52" t="s">
        <v>3334</v>
      </c>
      <c r="D646" s="53" t="s">
        <v>242</v>
      </c>
      <c r="E646" s="52" t="s">
        <v>243</v>
      </c>
      <c r="F646" s="53" t="s">
        <v>3335</v>
      </c>
      <c r="G646" s="52" t="s">
        <v>3334</v>
      </c>
      <c r="H646" s="51" t="s">
        <v>3336</v>
      </c>
    </row>
    <row r="647" spans="1:8" x14ac:dyDescent="0.3">
      <c r="A647" s="51" t="s">
        <v>3337</v>
      </c>
      <c r="B647" s="51" t="s">
        <v>3338</v>
      </c>
      <c r="C647" s="52" t="s">
        <v>3339</v>
      </c>
      <c r="D647" s="53" t="s">
        <v>166</v>
      </c>
      <c r="E647" s="52" t="s">
        <v>167</v>
      </c>
      <c r="F647" s="53" t="s">
        <v>3340</v>
      </c>
      <c r="G647" s="52" t="s">
        <v>3339</v>
      </c>
      <c r="H647" s="51" t="s">
        <v>3341</v>
      </c>
    </row>
    <row r="648" spans="1:8" x14ac:dyDescent="0.3">
      <c r="A648" s="51" t="s">
        <v>3342</v>
      </c>
      <c r="B648" s="51" t="s">
        <v>3343</v>
      </c>
      <c r="C648" s="52" t="s">
        <v>1294</v>
      </c>
      <c r="D648" s="53" t="s">
        <v>166</v>
      </c>
      <c r="E648" s="52" t="s">
        <v>167</v>
      </c>
      <c r="F648" s="53" t="s">
        <v>3344</v>
      </c>
      <c r="G648" s="52" t="s">
        <v>1294</v>
      </c>
      <c r="H648" s="51" t="s">
        <v>3345</v>
      </c>
    </row>
    <row r="649" spans="1:8" x14ac:dyDescent="0.3">
      <c r="A649" s="51" t="s">
        <v>3346</v>
      </c>
      <c r="B649" s="51" t="s">
        <v>3347</v>
      </c>
      <c r="C649" s="52" t="s">
        <v>3348</v>
      </c>
      <c r="D649" s="53" t="s">
        <v>166</v>
      </c>
      <c r="E649" s="52" t="s">
        <v>167</v>
      </c>
      <c r="F649" s="53" t="s">
        <v>3349</v>
      </c>
      <c r="G649" s="52" t="s">
        <v>3348</v>
      </c>
      <c r="H649" s="51" t="s">
        <v>3350</v>
      </c>
    </row>
    <row r="650" spans="1:8" x14ac:dyDescent="0.3">
      <c r="A650" s="51" t="s">
        <v>3351</v>
      </c>
      <c r="B650" s="51" t="s">
        <v>3352</v>
      </c>
      <c r="C650" s="52" t="s">
        <v>3353</v>
      </c>
      <c r="D650" s="53" t="s">
        <v>166</v>
      </c>
      <c r="E650" s="52" t="s">
        <v>167</v>
      </c>
      <c r="F650" s="53" t="s">
        <v>3354</v>
      </c>
      <c r="G650" s="52" t="s">
        <v>3353</v>
      </c>
      <c r="H650" s="51" t="s">
        <v>3355</v>
      </c>
    </row>
    <row r="651" spans="1:8" x14ac:dyDescent="0.3">
      <c r="A651" s="51" t="s">
        <v>3356</v>
      </c>
      <c r="B651" s="51" t="s">
        <v>3357</v>
      </c>
      <c r="C651" s="52" t="s">
        <v>3358</v>
      </c>
      <c r="D651" s="53" t="s">
        <v>166</v>
      </c>
      <c r="E651" s="52" t="s">
        <v>167</v>
      </c>
      <c r="F651" s="53" t="s">
        <v>3359</v>
      </c>
      <c r="G651" s="52" t="s">
        <v>3358</v>
      </c>
      <c r="H651" s="51" t="s">
        <v>3360</v>
      </c>
    </row>
    <row r="652" spans="1:8" x14ac:dyDescent="0.3">
      <c r="A652" s="51" t="s">
        <v>3361</v>
      </c>
      <c r="B652" s="51" t="s">
        <v>3362</v>
      </c>
      <c r="C652" s="52" t="s">
        <v>3363</v>
      </c>
      <c r="D652" s="53" t="s">
        <v>166</v>
      </c>
      <c r="E652" s="52" t="s">
        <v>167</v>
      </c>
      <c r="F652" s="53" t="s">
        <v>3364</v>
      </c>
      <c r="G652" s="52" t="s">
        <v>3363</v>
      </c>
      <c r="H652" s="51" t="s">
        <v>3365</v>
      </c>
    </row>
    <row r="653" spans="1:8" x14ac:dyDescent="0.3">
      <c r="A653" s="51" t="s">
        <v>3366</v>
      </c>
      <c r="B653" s="51" t="s">
        <v>3367</v>
      </c>
      <c r="C653" s="52" t="s">
        <v>3368</v>
      </c>
      <c r="D653" s="53" t="s">
        <v>242</v>
      </c>
      <c r="E653" s="52" t="s">
        <v>243</v>
      </c>
      <c r="F653" s="53" t="s">
        <v>3369</v>
      </c>
      <c r="G653" s="52" t="s">
        <v>3368</v>
      </c>
      <c r="H653" s="51" t="s">
        <v>3370</v>
      </c>
    </row>
    <row r="654" spans="1:8" x14ac:dyDescent="0.3">
      <c r="A654" s="51" t="s">
        <v>3371</v>
      </c>
      <c r="B654" s="51" t="s">
        <v>3372</v>
      </c>
      <c r="C654" s="52" t="s">
        <v>2512</v>
      </c>
      <c r="D654" s="53" t="s">
        <v>166</v>
      </c>
      <c r="E654" s="52" t="s">
        <v>167</v>
      </c>
      <c r="F654" s="53" t="s">
        <v>3373</v>
      </c>
      <c r="G654" s="52" t="s">
        <v>2512</v>
      </c>
      <c r="H654" s="51" t="s">
        <v>3374</v>
      </c>
    </row>
    <row r="655" spans="1:8" x14ac:dyDescent="0.3">
      <c r="A655" s="51" t="s">
        <v>3375</v>
      </c>
      <c r="B655" s="51" t="s">
        <v>3376</v>
      </c>
      <c r="C655" s="52" t="s">
        <v>3377</v>
      </c>
      <c r="D655" s="53" t="s">
        <v>166</v>
      </c>
      <c r="E655" s="52" t="s">
        <v>167</v>
      </c>
      <c r="F655" s="53" t="s">
        <v>3378</v>
      </c>
      <c r="G655" s="52" t="s">
        <v>3377</v>
      </c>
      <c r="H655" s="51" t="s">
        <v>3379</v>
      </c>
    </row>
    <row r="656" spans="1:8" x14ac:dyDescent="0.3">
      <c r="A656" s="51" t="s">
        <v>3380</v>
      </c>
      <c r="B656" s="51" t="s">
        <v>3381</v>
      </c>
      <c r="C656" s="52" t="s">
        <v>3382</v>
      </c>
      <c r="D656" s="53" t="s">
        <v>166</v>
      </c>
      <c r="E656" s="52" t="s">
        <v>167</v>
      </c>
      <c r="F656" s="53" t="s">
        <v>3383</v>
      </c>
      <c r="G656" s="52" t="s">
        <v>3382</v>
      </c>
      <c r="H656" s="51" t="s">
        <v>3384</v>
      </c>
    </row>
    <row r="657" spans="1:8" x14ac:dyDescent="0.3">
      <c r="A657" s="51" t="s">
        <v>3385</v>
      </c>
      <c r="B657" s="51" t="s">
        <v>3386</v>
      </c>
      <c r="C657" s="52" t="s">
        <v>3387</v>
      </c>
      <c r="D657" s="53" t="s">
        <v>242</v>
      </c>
      <c r="E657" s="52" t="s">
        <v>243</v>
      </c>
      <c r="F657" s="53" t="s">
        <v>3388</v>
      </c>
      <c r="G657" s="52" t="s">
        <v>3387</v>
      </c>
      <c r="H657" s="51" t="s">
        <v>3389</v>
      </c>
    </row>
    <row r="658" spans="1:8" x14ac:dyDescent="0.3">
      <c r="A658" s="51" t="s">
        <v>3390</v>
      </c>
      <c r="B658" s="51" t="s">
        <v>3391</v>
      </c>
      <c r="C658" s="52" t="s">
        <v>3392</v>
      </c>
      <c r="D658" s="53" t="s">
        <v>166</v>
      </c>
      <c r="E658" s="52" t="s">
        <v>167</v>
      </c>
      <c r="F658" s="53" t="s">
        <v>3393</v>
      </c>
      <c r="G658" s="52" t="s">
        <v>3392</v>
      </c>
      <c r="H658" s="51" t="s">
        <v>3394</v>
      </c>
    </row>
    <row r="659" spans="1:8" x14ac:dyDescent="0.3">
      <c r="A659" s="51" t="s">
        <v>3395</v>
      </c>
      <c r="B659" s="51" t="s">
        <v>3396</v>
      </c>
      <c r="C659" s="52" t="s">
        <v>3397</v>
      </c>
      <c r="D659" s="53" t="s">
        <v>166</v>
      </c>
      <c r="E659" s="52" t="s">
        <v>167</v>
      </c>
      <c r="F659" s="53" t="s">
        <v>3398</v>
      </c>
      <c r="G659" s="52" t="s">
        <v>3397</v>
      </c>
      <c r="H659" s="51" t="s">
        <v>3399</v>
      </c>
    </row>
    <row r="660" spans="1:8" x14ac:dyDescent="0.3">
      <c r="A660" s="51" t="s">
        <v>3400</v>
      </c>
      <c r="B660" s="51" t="s">
        <v>3401</v>
      </c>
      <c r="C660" s="52" t="s">
        <v>3402</v>
      </c>
      <c r="D660" s="53" t="s">
        <v>166</v>
      </c>
      <c r="E660" s="52" t="s">
        <v>167</v>
      </c>
      <c r="F660" s="53" t="s">
        <v>860</v>
      </c>
      <c r="G660" s="52" t="s">
        <v>860</v>
      </c>
      <c r="H660" s="51" t="s">
        <v>3403</v>
      </c>
    </row>
    <row r="661" spans="1:8" x14ac:dyDescent="0.3">
      <c r="A661" s="51" t="s">
        <v>3404</v>
      </c>
      <c r="B661" s="51" t="s">
        <v>3405</v>
      </c>
      <c r="C661" s="52" t="s">
        <v>3406</v>
      </c>
      <c r="D661" s="53" t="s">
        <v>166</v>
      </c>
      <c r="E661" s="52" t="s">
        <v>167</v>
      </c>
      <c r="F661" s="53" t="s">
        <v>3407</v>
      </c>
      <c r="G661" s="52" t="s">
        <v>3406</v>
      </c>
      <c r="H661" s="51" t="s">
        <v>3408</v>
      </c>
    </row>
    <row r="662" spans="1:8" x14ac:dyDescent="0.3">
      <c r="A662" s="51" t="s">
        <v>3409</v>
      </c>
      <c r="B662" s="51" t="s">
        <v>3410</v>
      </c>
      <c r="C662" s="52" t="s">
        <v>3411</v>
      </c>
      <c r="D662" s="53" t="s">
        <v>166</v>
      </c>
      <c r="E662" s="52" t="s">
        <v>167</v>
      </c>
      <c r="F662" s="53" t="s">
        <v>3412</v>
      </c>
      <c r="G662" s="52" t="s">
        <v>3411</v>
      </c>
      <c r="H662" s="51" t="s">
        <v>3413</v>
      </c>
    </row>
    <row r="663" spans="1:8" x14ac:dyDescent="0.3">
      <c r="A663" s="51" t="s">
        <v>3414</v>
      </c>
      <c r="B663" s="51" t="s">
        <v>3415</v>
      </c>
      <c r="C663" s="52" t="s">
        <v>3416</v>
      </c>
      <c r="D663" s="53" t="s">
        <v>242</v>
      </c>
      <c r="E663" s="52" t="s">
        <v>243</v>
      </c>
      <c r="F663" s="53" t="s">
        <v>3417</v>
      </c>
      <c r="G663" s="52" t="s">
        <v>3416</v>
      </c>
      <c r="H663" s="51" t="s">
        <v>3418</v>
      </c>
    </row>
    <row r="664" spans="1:8" x14ac:dyDescent="0.3">
      <c r="A664" s="51" t="s">
        <v>3419</v>
      </c>
      <c r="B664" s="51" t="s">
        <v>3420</v>
      </c>
      <c r="C664" s="52" t="s">
        <v>161</v>
      </c>
      <c r="D664" s="53" t="s">
        <v>166</v>
      </c>
      <c r="E664" s="52" t="s">
        <v>167</v>
      </c>
      <c r="F664" s="53" t="s">
        <v>3421</v>
      </c>
      <c r="G664" s="52" t="s">
        <v>161</v>
      </c>
      <c r="H664" s="51" t="s">
        <v>3422</v>
      </c>
    </row>
    <row r="665" spans="1:8" x14ac:dyDescent="0.3">
      <c r="A665" s="51" t="s">
        <v>3423</v>
      </c>
      <c r="B665" s="51" t="s">
        <v>3424</v>
      </c>
      <c r="C665" s="52" t="s">
        <v>3425</v>
      </c>
      <c r="D665" s="53" t="s">
        <v>166</v>
      </c>
      <c r="E665" s="52" t="s">
        <v>167</v>
      </c>
      <c r="F665" s="53" t="s">
        <v>3426</v>
      </c>
      <c r="G665" s="52" t="s">
        <v>3425</v>
      </c>
      <c r="H665" s="51" t="s">
        <v>3427</v>
      </c>
    </row>
    <row r="666" spans="1:8" x14ac:dyDescent="0.3">
      <c r="A666" s="51" t="s">
        <v>3428</v>
      </c>
      <c r="B666" s="51" t="s">
        <v>3429</v>
      </c>
      <c r="C666" s="52" t="s">
        <v>3430</v>
      </c>
      <c r="D666" s="53" t="s">
        <v>166</v>
      </c>
      <c r="E666" s="52" t="s">
        <v>167</v>
      </c>
      <c r="F666" s="53" t="s">
        <v>3431</v>
      </c>
      <c r="G666" s="52" t="s">
        <v>3430</v>
      </c>
      <c r="H666" s="51" t="s">
        <v>3432</v>
      </c>
    </row>
    <row r="667" spans="1:8" x14ac:dyDescent="0.3">
      <c r="A667" s="51" t="s">
        <v>3433</v>
      </c>
      <c r="B667" s="51" t="s">
        <v>3434</v>
      </c>
      <c r="C667" s="52" t="s">
        <v>3435</v>
      </c>
      <c r="D667" s="53" t="s">
        <v>166</v>
      </c>
      <c r="E667" s="52" t="s">
        <v>167</v>
      </c>
      <c r="F667" s="53" t="s">
        <v>3436</v>
      </c>
      <c r="G667" s="52" t="s">
        <v>3435</v>
      </c>
      <c r="H667" s="51" t="s">
        <v>3437</v>
      </c>
    </row>
    <row r="668" spans="1:8" x14ac:dyDescent="0.3">
      <c r="A668" s="51" t="s">
        <v>3438</v>
      </c>
      <c r="B668" s="51" t="s">
        <v>3439</v>
      </c>
      <c r="C668" s="52" t="s">
        <v>3440</v>
      </c>
      <c r="D668" s="53" t="s">
        <v>166</v>
      </c>
      <c r="E668" s="52" t="s">
        <v>167</v>
      </c>
      <c r="F668" s="53" t="s">
        <v>3441</v>
      </c>
      <c r="G668" s="52" t="s">
        <v>3440</v>
      </c>
      <c r="H668" s="51" t="s">
        <v>3442</v>
      </c>
    </row>
    <row r="669" spans="1:8" x14ac:dyDescent="0.3">
      <c r="A669" s="51" t="s">
        <v>3443</v>
      </c>
      <c r="B669" s="51" t="s">
        <v>3444</v>
      </c>
      <c r="C669" s="52" t="s">
        <v>3445</v>
      </c>
      <c r="D669" s="53" t="s">
        <v>166</v>
      </c>
      <c r="E669" s="52" t="s">
        <v>167</v>
      </c>
      <c r="F669" s="53" t="s">
        <v>3446</v>
      </c>
      <c r="G669" s="52" t="s">
        <v>3445</v>
      </c>
      <c r="H669" s="51" t="s">
        <v>3447</v>
      </c>
    </row>
    <row r="670" spans="1:8" x14ac:dyDescent="0.3">
      <c r="A670" s="51" t="s">
        <v>3448</v>
      </c>
      <c r="B670" s="51" t="s">
        <v>3449</v>
      </c>
      <c r="C670" s="52" t="s">
        <v>3450</v>
      </c>
      <c r="D670" s="53" t="s">
        <v>166</v>
      </c>
      <c r="E670" s="52" t="s">
        <v>167</v>
      </c>
      <c r="F670" s="53" t="s">
        <v>3451</v>
      </c>
      <c r="G670" s="52" t="s">
        <v>3450</v>
      </c>
      <c r="H670" s="51" t="s">
        <v>3452</v>
      </c>
    </row>
    <row r="671" spans="1:8" x14ac:dyDescent="0.3">
      <c r="A671" s="51" t="s">
        <v>3453</v>
      </c>
      <c r="B671" s="51" t="s">
        <v>3454</v>
      </c>
      <c r="C671" s="52" t="s">
        <v>3455</v>
      </c>
      <c r="D671" s="53" t="s">
        <v>3456</v>
      </c>
      <c r="E671" s="52" t="s">
        <v>3457</v>
      </c>
      <c r="F671" s="53" t="s">
        <v>3458</v>
      </c>
      <c r="G671" s="52" t="s">
        <v>3455</v>
      </c>
      <c r="H671" s="51" t="s">
        <v>3459</v>
      </c>
    </row>
    <row r="672" spans="1:8" x14ac:dyDescent="0.3">
      <c r="A672" s="51" t="s">
        <v>3460</v>
      </c>
      <c r="B672" s="51" t="s">
        <v>3461</v>
      </c>
      <c r="C672" s="52" t="s">
        <v>3462</v>
      </c>
      <c r="D672" s="53" t="s">
        <v>166</v>
      </c>
      <c r="E672" s="52" t="s">
        <v>167</v>
      </c>
      <c r="F672" s="53" t="s">
        <v>3463</v>
      </c>
      <c r="G672" s="52" t="s">
        <v>3462</v>
      </c>
      <c r="H672" s="51" t="s">
        <v>3464</v>
      </c>
    </row>
    <row r="673" spans="1:8" x14ac:dyDescent="0.3">
      <c r="A673" s="51" t="s">
        <v>3465</v>
      </c>
      <c r="B673" s="51" t="s">
        <v>3466</v>
      </c>
      <c r="C673" s="52" t="s">
        <v>3467</v>
      </c>
      <c r="D673" s="53" t="s">
        <v>166</v>
      </c>
      <c r="E673" s="52" t="s">
        <v>167</v>
      </c>
      <c r="F673" s="53" t="s">
        <v>3468</v>
      </c>
      <c r="G673" s="52" t="s">
        <v>3467</v>
      </c>
      <c r="H673" s="51" t="s">
        <v>3469</v>
      </c>
    </row>
    <row r="674" spans="1:8" x14ac:dyDescent="0.3">
      <c r="A674" s="51" t="s">
        <v>3470</v>
      </c>
      <c r="B674" s="51" t="s">
        <v>3471</v>
      </c>
      <c r="C674" s="52" t="s">
        <v>3472</v>
      </c>
      <c r="D674" s="53" t="s">
        <v>166</v>
      </c>
      <c r="E674" s="52" t="s">
        <v>167</v>
      </c>
      <c r="F674" s="53" t="s">
        <v>3473</v>
      </c>
      <c r="G674" s="52" t="s">
        <v>3472</v>
      </c>
      <c r="H674" s="51" t="s">
        <v>3474</v>
      </c>
    </row>
    <row r="675" spans="1:8" x14ac:dyDescent="0.3">
      <c r="A675" s="51" t="s">
        <v>3475</v>
      </c>
      <c r="B675" s="51" t="s">
        <v>3476</v>
      </c>
      <c r="C675" s="52" t="s">
        <v>3477</v>
      </c>
      <c r="D675" s="53" t="s">
        <v>166</v>
      </c>
      <c r="E675" s="52" t="s">
        <v>167</v>
      </c>
      <c r="F675" s="53" t="s">
        <v>3478</v>
      </c>
      <c r="G675" s="52" t="s">
        <v>3477</v>
      </c>
      <c r="H675" s="51" t="s">
        <v>3479</v>
      </c>
    </row>
    <row r="676" spans="1:8" x14ac:dyDescent="0.3">
      <c r="A676" s="51" t="s">
        <v>3480</v>
      </c>
      <c r="B676" s="51" t="s">
        <v>3481</v>
      </c>
      <c r="C676" s="52" t="s">
        <v>3482</v>
      </c>
      <c r="D676" s="53" t="s">
        <v>166</v>
      </c>
      <c r="E676" s="52" t="s">
        <v>167</v>
      </c>
      <c r="F676" s="53" t="s">
        <v>3483</v>
      </c>
      <c r="G676" s="52" t="s">
        <v>3482</v>
      </c>
      <c r="H676" s="51" t="s">
        <v>3484</v>
      </c>
    </row>
    <row r="677" spans="1:8" x14ac:dyDescent="0.3">
      <c r="A677" s="51" t="s">
        <v>3485</v>
      </c>
      <c r="B677" s="51" t="s">
        <v>3486</v>
      </c>
      <c r="C677" s="52" t="s">
        <v>3487</v>
      </c>
      <c r="D677" s="53" t="s">
        <v>166</v>
      </c>
      <c r="E677" s="52" t="s">
        <v>167</v>
      </c>
      <c r="F677" s="53" t="s">
        <v>3488</v>
      </c>
      <c r="G677" s="52" t="s">
        <v>3487</v>
      </c>
      <c r="H677" s="51" t="s">
        <v>3489</v>
      </c>
    </row>
    <row r="678" spans="1:8" x14ac:dyDescent="0.3">
      <c r="A678" s="51" t="s">
        <v>3490</v>
      </c>
      <c r="B678" s="51" t="s">
        <v>3491</v>
      </c>
      <c r="C678" s="52" t="s">
        <v>3492</v>
      </c>
      <c r="D678" s="53" t="s">
        <v>166</v>
      </c>
      <c r="E678" s="52" t="s">
        <v>167</v>
      </c>
      <c r="F678" s="53" t="s">
        <v>3493</v>
      </c>
      <c r="G678" s="52" t="s">
        <v>3492</v>
      </c>
      <c r="H678" s="51" t="s">
        <v>3494</v>
      </c>
    </row>
    <row r="679" spans="1:8" x14ac:dyDescent="0.3">
      <c r="A679" s="51" t="s">
        <v>3495</v>
      </c>
      <c r="B679" s="51" t="s">
        <v>3496</v>
      </c>
      <c r="C679" s="52" t="s">
        <v>3497</v>
      </c>
      <c r="D679" s="53" t="s">
        <v>3456</v>
      </c>
      <c r="E679" s="52" t="s">
        <v>3457</v>
      </c>
      <c r="F679" s="53" t="s">
        <v>3498</v>
      </c>
      <c r="G679" s="52" t="s">
        <v>3497</v>
      </c>
      <c r="H679" s="51" t="s">
        <v>3499</v>
      </c>
    </row>
    <row r="680" spans="1:8" x14ac:dyDescent="0.3">
      <c r="A680" s="51" t="s">
        <v>3500</v>
      </c>
      <c r="B680" s="51" t="s">
        <v>3501</v>
      </c>
      <c r="C680" s="52" t="s">
        <v>3502</v>
      </c>
      <c r="D680" s="53" t="s">
        <v>321</v>
      </c>
      <c r="E680" s="52" t="s">
        <v>322</v>
      </c>
      <c r="F680" s="53" t="s">
        <v>3503</v>
      </c>
      <c r="G680" s="52" t="s">
        <v>3502</v>
      </c>
      <c r="H680" s="51" t="s">
        <v>3504</v>
      </c>
    </row>
    <row r="681" spans="1:8" x14ac:dyDescent="0.3">
      <c r="A681" s="51" t="s">
        <v>3505</v>
      </c>
      <c r="B681" s="51" t="s">
        <v>3506</v>
      </c>
      <c r="C681" s="52" t="s">
        <v>3507</v>
      </c>
      <c r="D681" s="53" t="s">
        <v>166</v>
      </c>
      <c r="E681" s="52" t="s">
        <v>167</v>
      </c>
      <c r="F681" s="53" t="s">
        <v>3508</v>
      </c>
      <c r="G681" s="52" t="s">
        <v>3507</v>
      </c>
      <c r="H681" s="51" t="s">
        <v>3509</v>
      </c>
    </row>
    <row r="682" spans="1:8" x14ac:dyDescent="0.3">
      <c r="A682" s="51" t="s">
        <v>3510</v>
      </c>
      <c r="B682" s="51" t="s">
        <v>3511</v>
      </c>
      <c r="C682" s="52" t="s">
        <v>3512</v>
      </c>
      <c r="D682" s="53" t="s">
        <v>166</v>
      </c>
      <c r="E682" s="52" t="s">
        <v>167</v>
      </c>
      <c r="F682" s="53" t="s">
        <v>3513</v>
      </c>
      <c r="G682" s="52" t="s">
        <v>3512</v>
      </c>
      <c r="H682" s="51" t="s">
        <v>3514</v>
      </c>
    </row>
    <row r="683" spans="1:8" x14ac:dyDescent="0.3">
      <c r="A683" s="51" t="s">
        <v>3515</v>
      </c>
      <c r="B683" s="51" t="s">
        <v>3516</v>
      </c>
      <c r="C683" s="52" t="s">
        <v>3517</v>
      </c>
      <c r="D683" s="53" t="s">
        <v>166</v>
      </c>
      <c r="E683" s="52" t="s">
        <v>167</v>
      </c>
      <c r="F683" s="53" t="s">
        <v>3518</v>
      </c>
      <c r="G683" s="52" t="s">
        <v>3517</v>
      </c>
      <c r="H683" s="51" t="s">
        <v>3519</v>
      </c>
    </row>
    <row r="684" spans="1:8" x14ac:dyDescent="0.3">
      <c r="A684" s="51" t="s">
        <v>3520</v>
      </c>
      <c r="B684" s="51" t="s">
        <v>3521</v>
      </c>
      <c r="C684" s="52" t="s">
        <v>155</v>
      </c>
      <c r="D684" s="53" t="s">
        <v>166</v>
      </c>
      <c r="E684" s="52" t="s">
        <v>167</v>
      </c>
      <c r="F684" s="53" t="s">
        <v>3522</v>
      </c>
      <c r="G684" s="52" t="s">
        <v>155</v>
      </c>
      <c r="H684" s="51" t="s">
        <v>3523</v>
      </c>
    </row>
    <row r="685" spans="1:8" x14ac:dyDescent="0.3">
      <c r="A685" s="51" t="s">
        <v>3524</v>
      </c>
      <c r="B685" s="51" t="s">
        <v>3525</v>
      </c>
      <c r="C685" s="52" t="s">
        <v>3526</v>
      </c>
      <c r="D685" s="53" t="s">
        <v>166</v>
      </c>
      <c r="E685" s="52" t="s">
        <v>167</v>
      </c>
      <c r="F685" s="53" t="s">
        <v>3527</v>
      </c>
      <c r="G685" s="52" t="s">
        <v>3526</v>
      </c>
      <c r="H685" s="51" t="s">
        <v>3528</v>
      </c>
    </row>
    <row r="686" spans="1:8" x14ac:dyDescent="0.3">
      <c r="A686" s="51" t="s">
        <v>3529</v>
      </c>
      <c r="B686" s="51" t="s">
        <v>3530</v>
      </c>
      <c r="C686" s="52" t="s">
        <v>3531</v>
      </c>
      <c r="D686" s="53" t="s">
        <v>166</v>
      </c>
      <c r="E686" s="52" t="s">
        <v>167</v>
      </c>
      <c r="F686" s="53" t="s">
        <v>3532</v>
      </c>
      <c r="G686" s="52" t="s">
        <v>3531</v>
      </c>
      <c r="H686" s="51" t="s">
        <v>3533</v>
      </c>
    </row>
    <row r="687" spans="1:8" x14ac:dyDescent="0.3">
      <c r="A687" s="51" t="s">
        <v>3534</v>
      </c>
      <c r="B687" s="51" t="s">
        <v>3535</v>
      </c>
      <c r="C687" s="52" t="s">
        <v>3536</v>
      </c>
      <c r="D687" s="53" t="s">
        <v>166</v>
      </c>
      <c r="E687" s="52" t="s">
        <v>167</v>
      </c>
      <c r="F687" s="53" t="s">
        <v>3537</v>
      </c>
      <c r="G687" s="52" t="s">
        <v>3536</v>
      </c>
      <c r="H687" s="51" t="s">
        <v>3538</v>
      </c>
    </row>
    <row r="688" spans="1:8" x14ac:dyDescent="0.3">
      <c r="A688" s="51" t="s">
        <v>3539</v>
      </c>
      <c r="B688" s="51" t="s">
        <v>3540</v>
      </c>
      <c r="C688" s="52" t="s">
        <v>3541</v>
      </c>
      <c r="D688" s="53" t="s">
        <v>166</v>
      </c>
      <c r="E688" s="52" t="s">
        <v>167</v>
      </c>
      <c r="F688" s="53" t="s">
        <v>3542</v>
      </c>
      <c r="G688" s="52" t="s">
        <v>3541</v>
      </c>
      <c r="H688" s="51" t="s">
        <v>3543</v>
      </c>
    </row>
    <row r="689" spans="1:8" x14ac:dyDescent="0.3">
      <c r="A689" s="51" t="s">
        <v>3544</v>
      </c>
      <c r="B689" s="51" t="s">
        <v>3545</v>
      </c>
      <c r="C689" s="52" t="s">
        <v>3546</v>
      </c>
      <c r="D689" s="53" t="s">
        <v>166</v>
      </c>
      <c r="E689" s="52" t="s">
        <v>167</v>
      </c>
      <c r="F689" s="53" t="s">
        <v>3547</v>
      </c>
      <c r="G689" s="52" t="s">
        <v>3546</v>
      </c>
      <c r="H689" s="51" t="s">
        <v>3548</v>
      </c>
    </row>
    <row r="690" spans="1:8" x14ac:dyDescent="0.3">
      <c r="A690" s="51" t="s">
        <v>3549</v>
      </c>
      <c r="B690" s="51" t="s">
        <v>3550</v>
      </c>
      <c r="C690" s="52" t="s">
        <v>3551</v>
      </c>
      <c r="D690" s="53" t="s">
        <v>220</v>
      </c>
      <c r="E690" s="52" t="s">
        <v>221</v>
      </c>
      <c r="F690" s="53" t="s">
        <v>3552</v>
      </c>
      <c r="G690" s="52" t="s">
        <v>3551</v>
      </c>
      <c r="H690" s="51" t="s">
        <v>3553</v>
      </c>
    </row>
    <row r="691" spans="1:8" x14ac:dyDescent="0.3">
      <c r="A691" s="51" t="s">
        <v>3554</v>
      </c>
      <c r="B691" s="51" t="s">
        <v>3555</v>
      </c>
      <c r="C691" s="52" t="s">
        <v>3556</v>
      </c>
      <c r="D691" s="53" t="s">
        <v>166</v>
      </c>
      <c r="E691" s="52" t="s">
        <v>167</v>
      </c>
      <c r="F691" s="53" t="s">
        <v>3557</v>
      </c>
      <c r="G691" s="52" t="s">
        <v>3556</v>
      </c>
      <c r="H691" s="51" t="s">
        <v>3558</v>
      </c>
    </row>
    <row r="692" spans="1:8" x14ac:dyDescent="0.3">
      <c r="A692" s="51" t="s">
        <v>3559</v>
      </c>
      <c r="B692" s="51" t="s">
        <v>3560</v>
      </c>
      <c r="C692" s="52" t="s">
        <v>3561</v>
      </c>
      <c r="D692" s="53" t="s">
        <v>879</v>
      </c>
      <c r="E692" s="52" t="s">
        <v>880</v>
      </c>
      <c r="F692" s="53" t="s">
        <v>3562</v>
      </c>
      <c r="G692" s="52" t="s">
        <v>3561</v>
      </c>
      <c r="H692" s="51" t="s">
        <v>3563</v>
      </c>
    </row>
    <row r="693" spans="1:8" x14ac:dyDescent="0.3">
      <c r="A693" s="51" t="s">
        <v>3564</v>
      </c>
      <c r="B693" s="51" t="s">
        <v>3565</v>
      </c>
      <c r="C693" s="52" t="s">
        <v>3566</v>
      </c>
      <c r="D693" s="53" t="s">
        <v>166</v>
      </c>
      <c r="E693" s="52" t="s">
        <v>167</v>
      </c>
      <c r="F693" s="53" t="s">
        <v>3567</v>
      </c>
      <c r="G693" s="52" t="s">
        <v>3566</v>
      </c>
      <c r="H693" s="51" t="s">
        <v>3568</v>
      </c>
    </row>
    <row r="694" spans="1:8" x14ac:dyDescent="0.3">
      <c r="A694" s="51" t="s">
        <v>3569</v>
      </c>
      <c r="B694" s="51" t="s">
        <v>3570</v>
      </c>
      <c r="C694" s="52" t="s">
        <v>3571</v>
      </c>
      <c r="D694" s="53" t="s">
        <v>166</v>
      </c>
      <c r="E694" s="52" t="s">
        <v>167</v>
      </c>
      <c r="F694" s="53" t="s">
        <v>3572</v>
      </c>
      <c r="G694" s="52" t="s">
        <v>3571</v>
      </c>
      <c r="H694" s="51" t="s">
        <v>3573</v>
      </c>
    </row>
    <row r="695" spans="1:8" x14ac:dyDescent="0.3">
      <c r="A695" s="51" t="s">
        <v>3574</v>
      </c>
      <c r="B695" s="51" t="s">
        <v>3575</v>
      </c>
      <c r="C695" s="52" t="s">
        <v>3576</v>
      </c>
      <c r="D695" s="53" t="s">
        <v>166</v>
      </c>
      <c r="E695" s="52" t="s">
        <v>167</v>
      </c>
      <c r="F695" s="53" t="s">
        <v>3577</v>
      </c>
      <c r="G695" s="52" t="s">
        <v>3576</v>
      </c>
      <c r="H695" s="51" t="s">
        <v>3578</v>
      </c>
    </row>
    <row r="696" spans="1:8" x14ac:dyDescent="0.3">
      <c r="A696" s="51" t="s">
        <v>3579</v>
      </c>
      <c r="B696" s="51" t="s">
        <v>3580</v>
      </c>
      <c r="C696" s="52" t="s">
        <v>3581</v>
      </c>
      <c r="D696" s="53" t="s">
        <v>166</v>
      </c>
      <c r="E696" s="52" t="s">
        <v>167</v>
      </c>
      <c r="F696" s="53" t="s">
        <v>3582</v>
      </c>
      <c r="G696" s="52" t="s">
        <v>3581</v>
      </c>
      <c r="H696" s="51" t="s">
        <v>3583</v>
      </c>
    </row>
    <row r="697" spans="1:8" x14ac:dyDescent="0.3">
      <c r="A697" s="51" t="s">
        <v>3584</v>
      </c>
      <c r="B697" s="51" t="s">
        <v>3585</v>
      </c>
      <c r="C697" s="52" t="s">
        <v>3215</v>
      </c>
      <c r="D697" s="53" t="s">
        <v>166</v>
      </c>
      <c r="E697" s="52" t="s">
        <v>167</v>
      </c>
      <c r="F697" s="53" t="s">
        <v>3586</v>
      </c>
      <c r="G697" s="52" t="s">
        <v>3215</v>
      </c>
      <c r="H697" s="51" t="s">
        <v>3587</v>
      </c>
    </row>
    <row r="698" spans="1:8" x14ac:dyDescent="0.3">
      <c r="A698" s="51" t="s">
        <v>3588</v>
      </c>
      <c r="B698" s="51" t="s">
        <v>3589</v>
      </c>
      <c r="C698" s="52" t="s">
        <v>3590</v>
      </c>
      <c r="D698" s="53" t="s">
        <v>166</v>
      </c>
      <c r="E698" s="52" t="s">
        <v>167</v>
      </c>
      <c r="F698" s="53" t="s">
        <v>3591</v>
      </c>
      <c r="G698" s="52" t="s">
        <v>3590</v>
      </c>
      <c r="H698" s="51" t="s">
        <v>3592</v>
      </c>
    </row>
    <row r="699" spans="1:8" x14ac:dyDescent="0.3">
      <c r="A699" s="51" t="s">
        <v>3593</v>
      </c>
      <c r="B699" s="51" t="s">
        <v>3594</v>
      </c>
      <c r="C699" s="52" t="s">
        <v>1170</v>
      </c>
      <c r="D699" s="53" t="s">
        <v>166</v>
      </c>
      <c r="E699" s="52" t="s">
        <v>167</v>
      </c>
      <c r="F699" s="53" t="s">
        <v>3595</v>
      </c>
      <c r="G699" s="52" t="s">
        <v>1170</v>
      </c>
      <c r="H699" s="51" t="s">
        <v>3596</v>
      </c>
    </row>
    <row r="700" spans="1:8" x14ac:dyDescent="0.3">
      <c r="A700" s="51" t="s">
        <v>3597</v>
      </c>
      <c r="B700" s="51" t="s">
        <v>3598</v>
      </c>
      <c r="C700" s="52" t="s">
        <v>3599</v>
      </c>
      <c r="D700" s="53" t="s">
        <v>166</v>
      </c>
      <c r="E700" s="52" t="s">
        <v>167</v>
      </c>
      <c r="F700" s="53" t="s">
        <v>3600</v>
      </c>
      <c r="G700" s="52" t="s">
        <v>3599</v>
      </c>
      <c r="H700" s="51" t="s">
        <v>3601</v>
      </c>
    </row>
    <row r="701" spans="1:8" x14ac:dyDescent="0.3">
      <c r="A701" s="51" t="s">
        <v>3602</v>
      </c>
      <c r="B701" s="51" t="s">
        <v>3603</v>
      </c>
      <c r="C701" s="52" t="s">
        <v>3604</v>
      </c>
      <c r="D701" s="53" t="s">
        <v>321</v>
      </c>
      <c r="E701" s="52" t="s">
        <v>322</v>
      </c>
      <c r="F701" s="53" t="s">
        <v>3605</v>
      </c>
      <c r="G701" s="52" t="s">
        <v>3604</v>
      </c>
      <c r="H701" s="51" t="s">
        <v>3606</v>
      </c>
    </row>
    <row r="702" spans="1:8" x14ac:dyDescent="0.3">
      <c r="A702" s="51" t="s">
        <v>3607</v>
      </c>
      <c r="B702" s="51" t="s">
        <v>3608</v>
      </c>
      <c r="C702" s="52" t="s">
        <v>3609</v>
      </c>
      <c r="D702" s="53" t="s">
        <v>523</v>
      </c>
      <c r="E702" s="52" t="s">
        <v>524</v>
      </c>
      <c r="F702" s="53" t="s">
        <v>3610</v>
      </c>
      <c r="G702" s="52" t="s">
        <v>3609</v>
      </c>
      <c r="H702" s="51" t="s">
        <v>3611</v>
      </c>
    </row>
    <row r="703" spans="1:8" x14ac:dyDescent="0.3">
      <c r="A703" s="51" t="s">
        <v>3612</v>
      </c>
      <c r="B703" s="51" t="s">
        <v>3613</v>
      </c>
      <c r="C703" s="52" t="s">
        <v>3614</v>
      </c>
      <c r="D703" s="53" t="s">
        <v>1653</v>
      </c>
      <c r="E703" s="52" t="s">
        <v>1654</v>
      </c>
      <c r="F703" s="53" t="s">
        <v>3615</v>
      </c>
      <c r="G703" s="52" t="s">
        <v>3614</v>
      </c>
      <c r="H703" s="51" t="s">
        <v>3616</v>
      </c>
    </row>
    <row r="704" spans="1:8" x14ac:dyDescent="0.3">
      <c r="A704" s="51" t="s">
        <v>3617</v>
      </c>
      <c r="B704" s="51" t="s">
        <v>3618</v>
      </c>
      <c r="C704" s="52" t="s">
        <v>3619</v>
      </c>
      <c r="D704" s="53" t="s">
        <v>321</v>
      </c>
      <c r="E704" s="52" t="s">
        <v>322</v>
      </c>
      <c r="F704" s="53" t="s">
        <v>3620</v>
      </c>
      <c r="G704" s="52" t="s">
        <v>3619</v>
      </c>
      <c r="H704" s="51" t="s">
        <v>3621</v>
      </c>
    </row>
    <row r="705" spans="1:8" x14ac:dyDescent="0.3">
      <c r="A705" s="51" t="s">
        <v>3622</v>
      </c>
      <c r="B705" s="51" t="s">
        <v>3623</v>
      </c>
      <c r="C705" s="52" t="s">
        <v>1403</v>
      </c>
      <c r="D705" s="53" t="s">
        <v>1653</v>
      </c>
      <c r="E705" s="52" t="s">
        <v>1654</v>
      </c>
      <c r="F705" s="53" t="s">
        <v>3624</v>
      </c>
      <c r="G705" s="52" t="s">
        <v>1403</v>
      </c>
      <c r="H705" s="51" t="s">
        <v>3625</v>
      </c>
    </row>
    <row r="706" spans="1:8" x14ac:dyDescent="0.3">
      <c r="A706" s="51" t="s">
        <v>3626</v>
      </c>
      <c r="B706" s="51" t="s">
        <v>3627</v>
      </c>
      <c r="C706" s="52" t="s">
        <v>3628</v>
      </c>
      <c r="D706" s="53" t="s">
        <v>166</v>
      </c>
      <c r="E706" s="52" t="s">
        <v>167</v>
      </c>
      <c r="F706" s="53" t="s">
        <v>3629</v>
      </c>
      <c r="G706" s="52" t="s">
        <v>3628</v>
      </c>
      <c r="H706" s="51" t="s">
        <v>3630</v>
      </c>
    </row>
    <row r="707" spans="1:8" x14ac:dyDescent="0.3">
      <c r="A707" s="51" t="s">
        <v>3631</v>
      </c>
      <c r="B707" s="51" t="s">
        <v>3632</v>
      </c>
      <c r="C707" s="52" t="s">
        <v>3633</v>
      </c>
      <c r="D707" s="53" t="s">
        <v>166</v>
      </c>
      <c r="E707" s="52" t="s">
        <v>167</v>
      </c>
      <c r="F707" s="53" t="s">
        <v>3634</v>
      </c>
      <c r="G707" s="52" t="s">
        <v>3633</v>
      </c>
      <c r="H707" s="51" t="s">
        <v>3635</v>
      </c>
    </row>
    <row r="708" spans="1:8" x14ac:dyDescent="0.3">
      <c r="A708" s="51" t="s">
        <v>3636</v>
      </c>
      <c r="B708" s="51" t="s">
        <v>3637</v>
      </c>
      <c r="C708" s="52" t="s">
        <v>3638</v>
      </c>
      <c r="D708" s="53" t="s">
        <v>166</v>
      </c>
      <c r="E708" s="52" t="s">
        <v>167</v>
      </c>
      <c r="F708" s="53" t="s">
        <v>3639</v>
      </c>
      <c r="G708" s="52" t="s">
        <v>3638</v>
      </c>
      <c r="H708" s="51" t="s">
        <v>3640</v>
      </c>
    </row>
    <row r="709" spans="1:8" x14ac:dyDescent="0.3">
      <c r="A709" s="51" t="s">
        <v>3641</v>
      </c>
      <c r="B709" s="51" t="s">
        <v>3642</v>
      </c>
      <c r="C709" s="52" t="s">
        <v>3643</v>
      </c>
      <c r="D709" s="53" t="s">
        <v>166</v>
      </c>
      <c r="E709" s="52" t="s">
        <v>167</v>
      </c>
      <c r="F709" s="53" t="s">
        <v>3644</v>
      </c>
      <c r="G709" s="52" t="s">
        <v>3643</v>
      </c>
      <c r="H709" s="51" t="s">
        <v>3645</v>
      </c>
    </row>
    <row r="710" spans="1:8" x14ac:dyDescent="0.3">
      <c r="A710" s="51" t="s">
        <v>3646</v>
      </c>
      <c r="B710" s="51" t="s">
        <v>3647</v>
      </c>
      <c r="C710" s="52" t="s">
        <v>3648</v>
      </c>
      <c r="D710" s="53" t="s">
        <v>166</v>
      </c>
      <c r="E710" s="52" t="s">
        <v>167</v>
      </c>
      <c r="F710" s="53" t="s">
        <v>3649</v>
      </c>
      <c r="G710" s="52" t="s">
        <v>3648</v>
      </c>
      <c r="H710" s="51" t="s">
        <v>3650</v>
      </c>
    </row>
    <row r="711" spans="1:8" x14ac:dyDescent="0.3">
      <c r="A711" s="51" t="s">
        <v>3651</v>
      </c>
      <c r="B711" s="51" t="s">
        <v>3652</v>
      </c>
      <c r="C711" s="52" t="s">
        <v>3653</v>
      </c>
      <c r="D711" s="53" t="s">
        <v>166</v>
      </c>
      <c r="E711" s="52" t="s">
        <v>167</v>
      </c>
      <c r="F711" s="53" t="s">
        <v>3654</v>
      </c>
      <c r="G711" s="52" t="s">
        <v>3653</v>
      </c>
      <c r="H711" s="51" t="s">
        <v>3655</v>
      </c>
    </row>
    <row r="712" spans="1:8" x14ac:dyDescent="0.3">
      <c r="A712" s="51" t="s">
        <v>3656</v>
      </c>
      <c r="B712" s="51" t="s">
        <v>3657</v>
      </c>
      <c r="C712" s="52" t="s">
        <v>3658</v>
      </c>
      <c r="D712" s="53" t="s">
        <v>523</v>
      </c>
      <c r="E712" s="52" t="s">
        <v>524</v>
      </c>
      <c r="F712" s="53" t="s">
        <v>3659</v>
      </c>
      <c r="G712" s="52" t="s">
        <v>3658</v>
      </c>
      <c r="H712" s="51" t="s">
        <v>3660</v>
      </c>
    </row>
    <row r="713" spans="1:8" x14ac:dyDescent="0.3">
      <c r="A713" s="51" t="s">
        <v>3661</v>
      </c>
      <c r="B713" s="51" t="s">
        <v>3662</v>
      </c>
      <c r="C713" s="52" t="s">
        <v>3663</v>
      </c>
      <c r="D713" s="53" t="s">
        <v>166</v>
      </c>
      <c r="E713" s="52" t="s">
        <v>167</v>
      </c>
      <c r="F713" s="53" t="s">
        <v>3664</v>
      </c>
      <c r="G713" s="52" t="s">
        <v>3663</v>
      </c>
      <c r="H713" s="51" t="s">
        <v>3665</v>
      </c>
    </row>
    <row r="714" spans="1:8" x14ac:dyDescent="0.3">
      <c r="A714" s="51" t="s">
        <v>3666</v>
      </c>
      <c r="B714" s="51" t="s">
        <v>3667</v>
      </c>
      <c r="C714" s="52" t="s">
        <v>3668</v>
      </c>
      <c r="D714" s="53" t="s">
        <v>166</v>
      </c>
      <c r="E714" s="52" t="s">
        <v>167</v>
      </c>
      <c r="F714" s="53" t="s">
        <v>3669</v>
      </c>
      <c r="G714" s="52" t="s">
        <v>3668</v>
      </c>
      <c r="H714" s="51" t="s">
        <v>3670</v>
      </c>
    </row>
    <row r="715" spans="1:8" x14ac:dyDescent="0.3">
      <c r="A715" s="51" t="s">
        <v>3671</v>
      </c>
      <c r="B715" s="51" t="s">
        <v>3672</v>
      </c>
      <c r="C715" s="52" t="s">
        <v>3673</v>
      </c>
      <c r="D715" s="53" t="s">
        <v>166</v>
      </c>
      <c r="E715" s="52" t="s">
        <v>167</v>
      </c>
      <c r="F715" s="53" t="s">
        <v>3674</v>
      </c>
      <c r="G715" s="52" t="s">
        <v>3673</v>
      </c>
      <c r="H715" s="51" t="s">
        <v>3675</v>
      </c>
    </row>
    <row r="716" spans="1:8" x14ac:dyDescent="0.3">
      <c r="A716" s="51" t="s">
        <v>3676</v>
      </c>
      <c r="B716" s="51" t="s">
        <v>3677</v>
      </c>
      <c r="C716" s="52" t="s">
        <v>3678</v>
      </c>
      <c r="D716" s="53" t="s">
        <v>321</v>
      </c>
      <c r="E716" s="52" t="s">
        <v>322</v>
      </c>
      <c r="F716" s="53" t="s">
        <v>3679</v>
      </c>
      <c r="G716" s="52" t="s">
        <v>3678</v>
      </c>
      <c r="H716" s="51" t="s">
        <v>3680</v>
      </c>
    </row>
    <row r="717" spans="1:8" x14ac:dyDescent="0.3">
      <c r="A717" s="51" t="s">
        <v>3681</v>
      </c>
      <c r="B717" s="51" t="s">
        <v>3682</v>
      </c>
      <c r="C717" s="52" t="s">
        <v>3683</v>
      </c>
      <c r="D717" s="53" t="s">
        <v>166</v>
      </c>
      <c r="E717" s="52" t="s">
        <v>167</v>
      </c>
      <c r="F717" s="53" t="s">
        <v>3684</v>
      </c>
      <c r="G717" s="52" t="s">
        <v>3683</v>
      </c>
      <c r="H717" s="51" t="s">
        <v>3685</v>
      </c>
    </row>
    <row r="718" spans="1:8" x14ac:dyDescent="0.3">
      <c r="A718" s="51" t="s">
        <v>3686</v>
      </c>
      <c r="B718" s="51" t="s">
        <v>3687</v>
      </c>
      <c r="C718" s="52" t="s">
        <v>3688</v>
      </c>
      <c r="D718" s="53" t="s">
        <v>213</v>
      </c>
      <c r="E718" s="52" t="s">
        <v>214</v>
      </c>
      <c r="F718" s="53" t="s">
        <v>3689</v>
      </c>
      <c r="G718" s="52" t="s">
        <v>3688</v>
      </c>
      <c r="H718" s="51" t="s">
        <v>3690</v>
      </c>
    </row>
    <row r="719" spans="1:8" x14ac:dyDescent="0.3">
      <c r="A719" s="51" t="s">
        <v>3691</v>
      </c>
      <c r="B719" s="51" t="s">
        <v>3692</v>
      </c>
      <c r="C719" s="52" t="s">
        <v>1528</v>
      </c>
      <c r="D719" s="53" t="s">
        <v>3456</v>
      </c>
      <c r="E719" s="52" t="s">
        <v>3457</v>
      </c>
      <c r="F719" s="53" t="s">
        <v>3693</v>
      </c>
      <c r="G719" s="52" t="s">
        <v>1528</v>
      </c>
      <c r="H719" s="51" t="s">
        <v>3694</v>
      </c>
    </row>
    <row r="720" spans="1:8" x14ac:dyDescent="0.3">
      <c r="A720" s="51" t="s">
        <v>3695</v>
      </c>
      <c r="B720" s="51" t="s">
        <v>3696</v>
      </c>
      <c r="C720" s="52" t="s">
        <v>3697</v>
      </c>
      <c r="D720" s="53" t="s">
        <v>166</v>
      </c>
      <c r="E720" s="52" t="s">
        <v>167</v>
      </c>
      <c r="F720" s="53" t="s">
        <v>3698</v>
      </c>
      <c r="G720" s="52" t="s">
        <v>3697</v>
      </c>
      <c r="H720" s="51" t="s">
        <v>3699</v>
      </c>
    </row>
    <row r="721" spans="1:8" x14ac:dyDescent="0.3">
      <c r="A721" s="51" t="s">
        <v>3700</v>
      </c>
      <c r="B721" s="51" t="s">
        <v>3701</v>
      </c>
      <c r="C721" s="52" t="s">
        <v>3702</v>
      </c>
      <c r="D721" s="53" t="s">
        <v>166</v>
      </c>
      <c r="E721" s="52" t="s">
        <v>167</v>
      </c>
      <c r="F721" s="53" t="s">
        <v>3703</v>
      </c>
      <c r="G721" s="52" t="s">
        <v>3702</v>
      </c>
      <c r="H721" s="51" t="s">
        <v>3704</v>
      </c>
    </row>
    <row r="722" spans="1:8" x14ac:dyDescent="0.3">
      <c r="A722" s="51" t="s">
        <v>3705</v>
      </c>
      <c r="B722" s="51" t="s">
        <v>3706</v>
      </c>
      <c r="C722" s="52" t="s">
        <v>3707</v>
      </c>
      <c r="D722" s="53" t="s">
        <v>166</v>
      </c>
      <c r="E722" s="52" t="s">
        <v>167</v>
      </c>
      <c r="F722" s="53" t="s">
        <v>3708</v>
      </c>
      <c r="G722" s="52" t="s">
        <v>3707</v>
      </c>
      <c r="H722" s="51" t="s">
        <v>3709</v>
      </c>
    </row>
    <row r="723" spans="1:8" x14ac:dyDescent="0.3">
      <c r="A723" s="51" t="s">
        <v>3710</v>
      </c>
      <c r="B723" s="51" t="s">
        <v>3711</v>
      </c>
      <c r="C723" s="52" t="s">
        <v>3712</v>
      </c>
      <c r="D723" s="53" t="s">
        <v>166</v>
      </c>
      <c r="E723" s="52" t="s">
        <v>167</v>
      </c>
      <c r="F723" s="53" t="s">
        <v>1553</v>
      </c>
      <c r="G723" s="52" t="s">
        <v>3712</v>
      </c>
      <c r="H723" s="51" t="s">
        <v>3713</v>
      </c>
    </row>
    <row r="724" spans="1:8" x14ac:dyDescent="0.3">
      <c r="A724" s="51" t="s">
        <v>3714</v>
      </c>
      <c r="B724" s="51" t="s">
        <v>3715</v>
      </c>
      <c r="C724" s="52" t="s">
        <v>3716</v>
      </c>
      <c r="D724" s="53" t="s">
        <v>166</v>
      </c>
      <c r="E724" s="52" t="s">
        <v>167</v>
      </c>
      <c r="F724" s="53" t="s">
        <v>3717</v>
      </c>
      <c r="G724" s="52" t="s">
        <v>3716</v>
      </c>
      <c r="H724" s="51" t="s">
        <v>3718</v>
      </c>
    </row>
    <row r="725" spans="1:8" x14ac:dyDescent="0.3">
      <c r="A725" s="51" t="s">
        <v>3719</v>
      </c>
      <c r="B725" s="51" t="s">
        <v>3720</v>
      </c>
      <c r="C725" s="52" t="s">
        <v>3721</v>
      </c>
      <c r="D725" s="53" t="s">
        <v>242</v>
      </c>
      <c r="E725" s="52" t="s">
        <v>243</v>
      </c>
      <c r="F725" s="53" t="s">
        <v>3722</v>
      </c>
      <c r="G725" s="52" t="s">
        <v>3721</v>
      </c>
      <c r="H725" s="51" t="s">
        <v>3723</v>
      </c>
    </row>
    <row r="726" spans="1:8" x14ac:dyDescent="0.3">
      <c r="A726" s="51" t="s">
        <v>3724</v>
      </c>
      <c r="B726" s="51" t="s">
        <v>3725</v>
      </c>
      <c r="C726" s="52" t="s">
        <v>3726</v>
      </c>
      <c r="D726" s="53" t="s">
        <v>166</v>
      </c>
      <c r="E726" s="52" t="s">
        <v>167</v>
      </c>
      <c r="F726" s="53" t="s">
        <v>3727</v>
      </c>
      <c r="G726" s="52" t="s">
        <v>3726</v>
      </c>
      <c r="H726" s="51" t="s">
        <v>3728</v>
      </c>
    </row>
    <row r="727" spans="1:8" x14ac:dyDescent="0.3">
      <c r="A727" s="51" t="s">
        <v>3729</v>
      </c>
      <c r="B727" s="51" t="s">
        <v>3730</v>
      </c>
      <c r="C727" s="52" t="s">
        <v>1806</v>
      </c>
      <c r="D727" s="53" t="s">
        <v>166</v>
      </c>
      <c r="E727" s="52" t="s">
        <v>167</v>
      </c>
      <c r="F727" s="53" t="s">
        <v>3731</v>
      </c>
      <c r="G727" s="52" t="s">
        <v>1806</v>
      </c>
      <c r="H727" s="51" t="s">
        <v>3732</v>
      </c>
    </row>
    <row r="728" spans="1:8" x14ac:dyDescent="0.3">
      <c r="A728" s="51" t="s">
        <v>3733</v>
      </c>
      <c r="B728" s="51" t="s">
        <v>3734</v>
      </c>
      <c r="C728" s="52" t="s">
        <v>3735</v>
      </c>
      <c r="D728" s="53" t="s">
        <v>166</v>
      </c>
      <c r="E728" s="52" t="s">
        <v>167</v>
      </c>
      <c r="F728" s="53" t="s">
        <v>3736</v>
      </c>
      <c r="G728" s="52" t="s">
        <v>3735</v>
      </c>
      <c r="H728" s="51" t="s">
        <v>3737</v>
      </c>
    </row>
    <row r="729" spans="1:8" x14ac:dyDescent="0.3">
      <c r="A729" s="51" t="s">
        <v>3738</v>
      </c>
      <c r="B729" s="51" t="s">
        <v>3739</v>
      </c>
      <c r="C729" s="52" t="s">
        <v>3740</v>
      </c>
      <c r="D729" s="53" t="s">
        <v>166</v>
      </c>
      <c r="E729" s="52" t="s">
        <v>167</v>
      </c>
      <c r="F729" s="53" t="s">
        <v>3741</v>
      </c>
      <c r="G729" s="52" t="s">
        <v>3740</v>
      </c>
      <c r="H729" s="51" t="s">
        <v>3742</v>
      </c>
    </row>
    <row r="730" spans="1:8" x14ac:dyDescent="0.3">
      <c r="A730" s="51" t="s">
        <v>3743</v>
      </c>
      <c r="B730" s="51" t="s">
        <v>3744</v>
      </c>
      <c r="C730" s="52" t="s">
        <v>3745</v>
      </c>
      <c r="D730" s="53" t="s">
        <v>166</v>
      </c>
      <c r="E730" s="52" t="s">
        <v>167</v>
      </c>
      <c r="F730" s="53" t="s">
        <v>789</v>
      </c>
      <c r="G730" s="52" t="s">
        <v>3745</v>
      </c>
      <c r="H730" s="51" t="s">
        <v>3746</v>
      </c>
    </row>
    <row r="731" spans="1:8" x14ac:dyDescent="0.3">
      <c r="A731" s="51" t="s">
        <v>3747</v>
      </c>
      <c r="B731" s="51" t="s">
        <v>3748</v>
      </c>
      <c r="C731" s="52" t="s">
        <v>3749</v>
      </c>
      <c r="D731" s="53" t="s">
        <v>166</v>
      </c>
      <c r="E731" s="52" t="s">
        <v>167</v>
      </c>
      <c r="F731" s="53" t="s">
        <v>3750</v>
      </c>
      <c r="G731" s="52" t="s">
        <v>3749</v>
      </c>
      <c r="H731" s="51" t="s">
        <v>3751</v>
      </c>
    </row>
    <row r="732" spans="1:8" x14ac:dyDescent="0.3">
      <c r="A732" s="51" t="s">
        <v>3752</v>
      </c>
      <c r="B732" s="51" t="s">
        <v>3753</v>
      </c>
      <c r="C732" s="52" t="s">
        <v>3754</v>
      </c>
      <c r="D732" s="53" t="s">
        <v>523</v>
      </c>
      <c r="E732" s="52" t="s">
        <v>524</v>
      </c>
      <c r="F732" s="53" t="s">
        <v>3755</v>
      </c>
      <c r="G732" s="52" t="s">
        <v>3754</v>
      </c>
      <c r="H732" s="51" t="s">
        <v>3756</v>
      </c>
    </row>
    <row r="733" spans="1:8" x14ac:dyDescent="0.3">
      <c r="A733" s="51" t="s">
        <v>3757</v>
      </c>
      <c r="B733" s="51" t="s">
        <v>3758</v>
      </c>
      <c r="C733" s="52" t="s">
        <v>3759</v>
      </c>
      <c r="D733" s="53" t="s">
        <v>166</v>
      </c>
      <c r="E733" s="52" t="s">
        <v>167</v>
      </c>
      <c r="F733" s="53" t="s">
        <v>3760</v>
      </c>
      <c r="G733" s="52" t="s">
        <v>3759</v>
      </c>
      <c r="H733" s="51" t="s">
        <v>3761</v>
      </c>
    </row>
    <row r="734" spans="1:8" x14ac:dyDescent="0.3">
      <c r="A734" s="51" t="s">
        <v>3762</v>
      </c>
      <c r="B734" s="51" t="s">
        <v>3763</v>
      </c>
      <c r="C734" s="52" t="s">
        <v>3764</v>
      </c>
      <c r="D734" s="53" t="s">
        <v>166</v>
      </c>
      <c r="E734" s="52" t="s">
        <v>167</v>
      </c>
      <c r="F734" s="53" t="s">
        <v>3765</v>
      </c>
      <c r="G734" s="52" t="s">
        <v>3764</v>
      </c>
      <c r="H734" s="51" t="s">
        <v>3766</v>
      </c>
    </row>
    <row r="735" spans="1:8" x14ac:dyDescent="0.3">
      <c r="A735" s="51" t="s">
        <v>3767</v>
      </c>
      <c r="B735" s="51" t="s">
        <v>3768</v>
      </c>
      <c r="C735" s="52" t="s">
        <v>1269</v>
      </c>
      <c r="D735" s="53" t="s">
        <v>166</v>
      </c>
      <c r="E735" s="52" t="s">
        <v>167</v>
      </c>
      <c r="F735" s="53" t="s">
        <v>3769</v>
      </c>
      <c r="G735" s="52" t="s">
        <v>1269</v>
      </c>
      <c r="H735" s="51" t="s">
        <v>3770</v>
      </c>
    </row>
    <row r="736" spans="1:8" x14ac:dyDescent="0.3">
      <c r="A736" s="51" t="s">
        <v>3771</v>
      </c>
      <c r="B736" s="51" t="s">
        <v>3772</v>
      </c>
      <c r="C736" s="52" t="s">
        <v>3773</v>
      </c>
      <c r="D736" s="53" t="s">
        <v>166</v>
      </c>
      <c r="E736" s="52" t="s">
        <v>167</v>
      </c>
      <c r="F736" s="53" t="s">
        <v>3774</v>
      </c>
      <c r="G736" s="52" t="s">
        <v>3773</v>
      </c>
      <c r="H736" s="51" t="s">
        <v>3775</v>
      </c>
    </row>
    <row r="737" spans="1:8" x14ac:dyDescent="0.3">
      <c r="A737" s="51" t="s">
        <v>3776</v>
      </c>
      <c r="B737" s="51" t="s">
        <v>3777</v>
      </c>
      <c r="C737" s="52" t="s">
        <v>3778</v>
      </c>
      <c r="D737" s="53" t="s">
        <v>166</v>
      </c>
      <c r="E737" s="52" t="s">
        <v>167</v>
      </c>
      <c r="F737" s="53" t="s">
        <v>789</v>
      </c>
      <c r="G737" s="52" t="s">
        <v>3778</v>
      </c>
      <c r="H737" s="51" t="s">
        <v>3779</v>
      </c>
    </row>
    <row r="738" spans="1:8" x14ac:dyDescent="0.3">
      <c r="A738" s="51" t="s">
        <v>3780</v>
      </c>
      <c r="B738" s="51" t="s">
        <v>3781</v>
      </c>
      <c r="C738" s="52" t="s">
        <v>3782</v>
      </c>
      <c r="D738" s="53" t="s">
        <v>166</v>
      </c>
      <c r="E738" s="52" t="s">
        <v>167</v>
      </c>
      <c r="F738" s="53" t="s">
        <v>3783</v>
      </c>
      <c r="G738" s="52" t="s">
        <v>3782</v>
      </c>
      <c r="H738" s="51" t="s">
        <v>3784</v>
      </c>
    </row>
    <row r="739" spans="1:8" x14ac:dyDescent="0.3">
      <c r="A739" s="51" t="s">
        <v>3785</v>
      </c>
      <c r="B739" s="51" t="s">
        <v>3786</v>
      </c>
      <c r="C739" s="52" t="s">
        <v>3787</v>
      </c>
      <c r="D739" s="53" t="s">
        <v>166</v>
      </c>
      <c r="E739" s="52" t="s">
        <v>167</v>
      </c>
      <c r="F739" s="53" t="s">
        <v>3788</v>
      </c>
      <c r="G739" s="52" t="s">
        <v>3787</v>
      </c>
      <c r="H739" s="51" t="s">
        <v>3789</v>
      </c>
    </row>
    <row r="740" spans="1:8" x14ac:dyDescent="0.3">
      <c r="A740" s="51" t="s">
        <v>3790</v>
      </c>
      <c r="B740" s="51" t="s">
        <v>3791</v>
      </c>
      <c r="C740" s="52" t="s">
        <v>3792</v>
      </c>
      <c r="D740" s="53" t="s">
        <v>523</v>
      </c>
      <c r="E740" s="52" t="s">
        <v>524</v>
      </c>
      <c r="F740" s="53" t="s">
        <v>3793</v>
      </c>
      <c r="G740" s="52" t="s">
        <v>3792</v>
      </c>
      <c r="H740" s="51" t="s">
        <v>3794</v>
      </c>
    </row>
    <row r="741" spans="1:8" x14ac:dyDescent="0.3">
      <c r="A741" s="51" t="s">
        <v>3795</v>
      </c>
      <c r="B741" s="51" t="s">
        <v>3796</v>
      </c>
      <c r="C741" s="52" t="s">
        <v>3797</v>
      </c>
      <c r="D741" s="53" t="s">
        <v>166</v>
      </c>
      <c r="E741" s="52" t="s">
        <v>167</v>
      </c>
      <c r="F741" s="53" t="s">
        <v>3798</v>
      </c>
      <c r="G741" s="52" t="s">
        <v>3797</v>
      </c>
      <c r="H741" s="51" t="s">
        <v>3799</v>
      </c>
    </row>
    <row r="742" spans="1:8" x14ac:dyDescent="0.3">
      <c r="A742" s="51" t="s">
        <v>3800</v>
      </c>
      <c r="B742" s="51" t="s">
        <v>3801</v>
      </c>
      <c r="C742" s="52" t="s">
        <v>3802</v>
      </c>
      <c r="D742" s="53" t="s">
        <v>2267</v>
      </c>
      <c r="E742" s="52" t="s">
        <v>2268</v>
      </c>
      <c r="F742" s="53" t="s">
        <v>3803</v>
      </c>
      <c r="G742" s="52" t="s">
        <v>3802</v>
      </c>
      <c r="H742" s="51" t="s">
        <v>3804</v>
      </c>
    </row>
    <row r="743" spans="1:8" x14ac:dyDescent="0.3">
      <c r="A743" s="51" t="s">
        <v>3805</v>
      </c>
      <c r="B743" s="51" t="s">
        <v>3806</v>
      </c>
      <c r="C743" s="52" t="s">
        <v>3807</v>
      </c>
      <c r="D743" s="53" t="s">
        <v>523</v>
      </c>
      <c r="E743" s="52" t="s">
        <v>524</v>
      </c>
      <c r="F743" s="53" t="s">
        <v>3808</v>
      </c>
      <c r="G743" s="52" t="s">
        <v>3807</v>
      </c>
      <c r="H743" s="51" t="s">
        <v>3809</v>
      </c>
    </row>
    <row r="744" spans="1:8" x14ac:dyDescent="0.3">
      <c r="A744" s="51" t="s">
        <v>3810</v>
      </c>
      <c r="B744" s="51" t="s">
        <v>3811</v>
      </c>
      <c r="C744" s="52" t="s">
        <v>3812</v>
      </c>
      <c r="D744" s="53" t="s">
        <v>166</v>
      </c>
      <c r="E744" s="52" t="s">
        <v>167</v>
      </c>
      <c r="F744" s="53" t="s">
        <v>3813</v>
      </c>
      <c r="G744" s="52" t="s">
        <v>3812</v>
      </c>
      <c r="H744" s="51" t="s">
        <v>3814</v>
      </c>
    </row>
    <row r="745" spans="1:8" x14ac:dyDescent="0.3">
      <c r="A745" s="51" t="s">
        <v>3815</v>
      </c>
      <c r="B745" s="51" t="s">
        <v>3816</v>
      </c>
      <c r="C745" s="52" t="s">
        <v>3817</v>
      </c>
      <c r="D745" s="53" t="s">
        <v>166</v>
      </c>
      <c r="E745" s="52" t="s">
        <v>167</v>
      </c>
      <c r="F745" s="53" t="s">
        <v>3818</v>
      </c>
      <c r="G745" s="52" t="s">
        <v>3817</v>
      </c>
      <c r="H745" s="51" t="s">
        <v>3819</v>
      </c>
    </row>
    <row r="746" spans="1:8" x14ac:dyDescent="0.3">
      <c r="A746" s="51" t="s">
        <v>3820</v>
      </c>
      <c r="B746" s="51" t="s">
        <v>3821</v>
      </c>
      <c r="C746" s="52" t="s">
        <v>130</v>
      </c>
      <c r="D746" s="53" t="s">
        <v>166</v>
      </c>
      <c r="E746" s="52" t="s">
        <v>167</v>
      </c>
      <c r="F746" s="53" t="s">
        <v>3822</v>
      </c>
      <c r="G746" s="52" t="s">
        <v>130</v>
      </c>
      <c r="H746" s="51" t="s">
        <v>3823</v>
      </c>
    </row>
    <row r="747" spans="1:8" x14ac:dyDescent="0.3">
      <c r="A747" s="51" t="s">
        <v>3824</v>
      </c>
      <c r="B747" s="51" t="s">
        <v>3825</v>
      </c>
      <c r="C747" s="52" t="s">
        <v>3826</v>
      </c>
      <c r="D747" s="53" t="s">
        <v>166</v>
      </c>
      <c r="E747" s="52" t="s">
        <v>167</v>
      </c>
      <c r="F747" s="53" t="s">
        <v>3827</v>
      </c>
      <c r="G747" s="52" t="s">
        <v>3826</v>
      </c>
      <c r="H747" s="51" t="s">
        <v>3828</v>
      </c>
    </row>
    <row r="748" spans="1:8" x14ac:dyDescent="0.3">
      <c r="A748" s="51" t="s">
        <v>3829</v>
      </c>
      <c r="B748" s="51" t="s">
        <v>3830</v>
      </c>
      <c r="C748" s="52" t="s">
        <v>3831</v>
      </c>
      <c r="D748" s="53" t="s">
        <v>166</v>
      </c>
      <c r="E748" s="52" t="s">
        <v>167</v>
      </c>
      <c r="F748" s="53" t="s">
        <v>3832</v>
      </c>
      <c r="G748" s="52" t="s">
        <v>3831</v>
      </c>
      <c r="H748" s="51" t="s">
        <v>3833</v>
      </c>
    </row>
    <row r="749" spans="1:8" x14ac:dyDescent="0.3">
      <c r="A749" s="51" t="s">
        <v>3834</v>
      </c>
      <c r="B749" s="51" t="s">
        <v>3835</v>
      </c>
      <c r="C749" s="52" t="s">
        <v>3836</v>
      </c>
      <c r="D749" s="53" t="s">
        <v>166</v>
      </c>
      <c r="E749" s="52" t="s">
        <v>167</v>
      </c>
      <c r="F749" s="53" t="s">
        <v>3837</v>
      </c>
      <c r="G749" s="52" t="s">
        <v>3836</v>
      </c>
      <c r="H749" s="51" t="s">
        <v>3838</v>
      </c>
    </row>
    <row r="750" spans="1:8" x14ac:dyDescent="0.3">
      <c r="A750" s="51" t="s">
        <v>3839</v>
      </c>
      <c r="B750" s="51" t="s">
        <v>3840</v>
      </c>
      <c r="C750" s="52" t="s">
        <v>3841</v>
      </c>
      <c r="D750" s="53" t="s">
        <v>879</v>
      </c>
      <c r="E750" s="52" t="s">
        <v>880</v>
      </c>
      <c r="F750" s="53" t="s">
        <v>3842</v>
      </c>
      <c r="G750" s="52" t="s">
        <v>3841</v>
      </c>
      <c r="H750" s="51" t="s">
        <v>3843</v>
      </c>
    </row>
    <row r="751" spans="1:8" x14ac:dyDescent="0.3">
      <c r="A751" s="51" t="s">
        <v>3844</v>
      </c>
      <c r="B751" s="51" t="s">
        <v>3845</v>
      </c>
      <c r="C751" s="52" t="s">
        <v>3846</v>
      </c>
      <c r="D751" s="53" t="s">
        <v>935</v>
      </c>
      <c r="E751" s="52" t="s">
        <v>936</v>
      </c>
      <c r="F751" s="53" t="s">
        <v>3847</v>
      </c>
      <c r="G751" s="52" t="s">
        <v>3846</v>
      </c>
      <c r="H751" s="51" t="s">
        <v>3848</v>
      </c>
    </row>
    <row r="752" spans="1:8" x14ac:dyDescent="0.3">
      <c r="A752" s="51" t="s">
        <v>3849</v>
      </c>
      <c r="B752" s="51" t="s">
        <v>3850</v>
      </c>
      <c r="C752" s="52" t="s">
        <v>3851</v>
      </c>
      <c r="D752" s="53" t="s">
        <v>242</v>
      </c>
      <c r="E752" s="52" t="s">
        <v>243</v>
      </c>
      <c r="F752" s="53" t="s">
        <v>3852</v>
      </c>
      <c r="G752" s="52" t="s">
        <v>3851</v>
      </c>
      <c r="H752" s="51" t="s">
        <v>3853</v>
      </c>
    </row>
    <row r="753" spans="1:8" x14ac:dyDescent="0.3">
      <c r="A753" s="51" t="s">
        <v>3854</v>
      </c>
      <c r="B753" s="51" t="s">
        <v>3855</v>
      </c>
      <c r="C753" s="52" t="s">
        <v>3856</v>
      </c>
      <c r="D753" s="53" t="s">
        <v>166</v>
      </c>
      <c r="E753" s="52" t="s">
        <v>167</v>
      </c>
      <c r="F753" s="53" t="s">
        <v>3857</v>
      </c>
      <c r="G753" s="52" t="s">
        <v>3856</v>
      </c>
      <c r="H753" s="51" t="s">
        <v>3858</v>
      </c>
    </row>
    <row r="754" spans="1:8" x14ac:dyDescent="0.3">
      <c r="A754" s="51" t="s">
        <v>3859</v>
      </c>
      <c r="B754" s="51" t="s">
        <v>3860</v>
      </c>
      <c r="C754" s="52" t="s">
        <v>3861</v>
      </c>
      <c r="D754" s="53" t="s">
        <v>879</v>
      </c>
      <c r="E754" s="52" t="s">
        <v>880</v>
      </c>
      <c r="F754" s="53" t="s">
        <v>3862</v>
      </c>
      <c r="G754" s="52" t="s">
        <v>3861</v>
      </c>
      <c r="H754" s="51" t="s">
        <v>3863</v>
      </c>
    </row>
    <row r="755" spans="1:8" x14ac:dyDescent="0.3">
      <c r="A755" s="51" t="s">
        <v>3864</v>
      </c>
      <c r="B755" s="51" t="s">
        <v>3865</v>
      </c>
      <c r="C755" s="52" t="s">
        <v>3866</v>
      </c>
      <c r="D755" s="53" t="s">
        <v>321</v>
      </c>
      <c r="E755" s="52" t="s">
        <v>322</v>
      </c>
      <c r="F755" s="53" t="s">
        <v>3867</v>
      </c>
      <c r="G755" s="52" t="s">
        <v>3866</v>
      </c>
      <c r="H755" s="51" t="s">
        <v>3868</v>
      </c>
    </row>
    <row r="756" spans="1:8" x14ac:dyDescent="0.3">
      <c r="A756" s="51" t="s">
        <v>3869</v>
      </c>
      <c r="B756" s="51" t="s">
        <v>3870</v>
      </c>
      <c r="C756" s="52" t="s">
        <v>3871</v>
      </c>
      <c r="D756" s="53" t="s">
        <v>166</v>
      </c>
      <c r="E756" s="52" t="s">
        <v>167</v>
      </c>
      <c r="F756" s="53" t="s">
        <v>3872</v>
      </c>
      <c r="G756" s="52" t="s">
        <v>3871</v>
      </c>
      <c r="H756" s="51" t="s">
        <v>3873</v>
      </c>
    </row>
    <row r="757" spans="1:8" x14ac:dyDescent="0.3">
      <c r="A757" s="51" t="s">
        <v>3874</v>
      </c>
      <c r="B757" s="51" t="s">
        <v>3875</v>
      </c>
      <c r="C757" s="52" t="s">
        <v>3876</v>
      </c>
      <c r="D757" s="53" t="s">
        <v>935</v>
      </c>
      <c r="E757" s="52" t="s">
        <v>936</v>
      </c>
      <c r="F757" s="53" t="s">
        <v>3877</v>
      </c>
      <c r="G757" s="52" t="s">
        <v>3876</v>
      </c>
      <c r="H757" s="51" t="s">
        <v>3878</v>
      </c>
    </row>
    <row r="758" spans="1:8" x14ac:dyDescent="0.3">
      <c r="A758" s="51" t="s">
        <v>3879</v>
      </c>
      <c r="B758" s="51" t="s">
        <v>3880</v>
      </c>
      <c r="C758" s="52" t="s">
        <v>3881</v>
      </c>
      <c r="D758" s="53" t="s">
        <v>242</v>
      </c>
      <c r="E758" s="52" t="s">
        <v>243</v>
      </c>
      <c r="F758" s="53" t="s">
        <v>3882</v>
      </c>
      <c r="G758" s="52" t="s">
        <v>3881</v>
      </c>
      <c r="H758" s="51" t="s">
        <v>3883</v>
      </c>
    </row>
    <row r="759" spans="1:8" x14ac:dyDescent="0.3">
      <c r="A759" s="51" t="s">
        <v>3884</v>
      </c>
      <c r="B759" s="51" t="s">
        <v>3885</v>
      </c>
      <c r="C759" s="52" t="s">
        <v>3886</v>
      </c>
      <c r="D759" s="53" t="s">
        <v>242</v>
      </c>
      <c r="E759" s="52" t="s">
        <v>243</v>
      </c>
      <c r="F759" s="53" t="s">
        <v>3887</v>
      </c>
      <c r="G759" s="52" t="s">
        <v>3886</v>
      </c>
      <c r="H759" s="51" t="s">
        <v>3888</v>
      </c>
    </row>
    <row r="760" spans="1:8" x14ac:dyDescent="0.3">
      <c r="A760" s="51" t="s">
        <v>3889</v>
      </c>
      <c r="B760" s="51" t="s">
        <v>3890</v>
      </c>
      <c r="C760" s="52" t="s">
        <v>3891</v>
      </c>
      <c r="D760" s="53" t="s">
        <v>166</v>
      </c>
      <c r="E760" s="52" t="s">
        <v>167</v>
      </c>
      <c r="F760" s="53" t="s">
        <v>3892</v>
      </c>
      <c r="G760" s="52" t="s">
        <v>3891</v>
      </c>
      <c r="H760" s="51" t="s">
        <v>3893</v>
      </c>
    </row>
    <row r="761" spans="1:8" x14ac:dyDescent="0.3">
      <c r="A761" s="51" t="s">
        <v>3894</v>
      </c>
      <c r="B761" s="51" t="s">
        <v>3895</v>
      </c>
      <c r="C761" s="52" t="s">
        <v>3896</v>
      </c>
      <c r="D761" s="53" t="s">
        <v>3456</v>
      </c>
      <c r="E761" s="52" t="s">
        <v>3457</v>
      </c>
      <c r="F761" s="53" t="s">
        <v>3897</v>
      </c>
      <c r="G761" s="52" t="s">
        <v>3896</v>
      </c>
      <c r="H761" s="51" t="s">
        <v>3898</v>
      </c>
    </row>
    <row r="762" spans="1:8" x14ac:dyDescent="0.3">
      <c r="A762" s="51" t="s">
        <v>3899</v>
      </c>
      <c r="B762" s="51" t="s">
        <v>3900</v>
      </c>
      <c r="C762" s="52" t="s">
        <v>3901</v>
      </c>
      <c r="D762" s="53" t="s">
        <v>879</v>
      </c>
      <c r="E762" s="52" t="s">
        <v>880</v>
      </c>
      <c r="F762" s="53" t="s">
        <v>3902</v>
      </c>
      <c r="G762" s="52" t="s">
        <v>3901</v>
      </c>
      <c r="H762" s="51" t="s">
        <v>3903</v>
      </c>
    </row>
    <row r="763" spans="1:8" x14ac:dyDescent="0.3">
      <c r="A763" s="51" t="s">
        <v>3904</v>
      </c>
      <c r="B763" s="51" t="s">
        <v>3905</v>
      </c>
      <c r="C763" s="52" t="s">
        <v>3906</v>
      </c>
      <c r="D763" s="53" t="s">
        <v>242</v>
      </c>
      <c r="E763" s="52" t="s">
        <v>243</v>
      </c>
      <c r="F763" s="53" t="s">
        <v>3907</v>
      </c>
      <c r="G763" s="52" t="s">
        <v>3906</v>
      </c>
      <c r="H763" s="51" t="s">
        <v>3908</v>
      </c>
    </row>
    <row r="764" spans="1:8" x14ac:dyDescent="0.3">
      <c r="A764" s="51" t="s">
        <v>3909</v>
      </c>
      <c r="B764" s="51" t="s">
        <v>3910</v>
      </c>
      <c r="C764" s="52" t="s">
        <v>3911</v>
      </c>
      <c r="D764" s="53" t="s">
        <v>166</v>
      </c>
      <c r="E764" s="52" t="s">
        <v>167</v>
      </c>
      <c r="F764" s="53" t="s">
        <v>3912</v>
      </c>
      <c r="G764" s="52" t="s">
        <v>3911</v>
      </c>
      <c r="H764" s="51" t="s">
        <v>3913</v>
      </c>
    </row>
    <row r="765" spans="1:8" x14ac:dyDescent="0.3">
      <c r="A765" s="51" t="s">
        <v>3914</v>
      </c>
      <c r="B765" s="51" t="s">
        <v>3915</v>
      </c>
      <c r="C765" s="52" t="s">
        <v>3916</v>
      </c>
      <c r="D765" s="53" t="s">
        <v>309</v>
      </c>
      <c r="E765" s="52" t="s">
        <v>310</v>
      </c>
      <c r="F765" s="53" t="s">
        <v>3917</v>
      </c>
      <c r="G765" s="52" t="s">
        <v>3916</v>
      </c>
      <c r="H765" s="51" t="s">
        <v>3918</v>
      </c>
    </row>
    <row r="766" spans="1:8" x14ac:dyDescent="0.3">
      <c r="A766" s="51" t="s">
        <v>3919</v>
      </c>
      <c r="B766" s="51" t="s">
        <v>3744</v>
      </c>
      <c r="C766" s="52" t="s">
        <v>3745</v>
      </c>
      <c r="D766" s="53" t="s">
        <v>321</v>
      </c>
      <c r="E766" s="52" t="s">
        <v>322</v>
      </c>
      <c r="F766" s="53" t="s">
        <v>3920</v>
      </c>
      <c r="G766" s="52" t="s">
        <v>3745</v>
      </c>
      <c r="H766" s="51" t="s">
        <v>3921</v>
      </c>
    </row>
    <row r="767" spans="1:8" x14ac:dyDescent="0.3">
      <c r="A767" s="51" t="s">
        <v>3922</v>
      </c>
      <c r="B767" s="51" t="s">
        <v>3923</v>
      </c>
      <c r="C767" s="52" t="s">
        <v>3924</v>
      </c>
      <c r="D767" s="53" t="s">
        <v>309</v>
      </c>
      <c r="E767" s="52" t="s">
        <v>310</v>
      </c>
      <c r="F767" s="53" t="s">
        <v>3925</v>
      </c>
      <c r="G767" s="52" t="s">
        <v>3924</v>
      </c>
      <c r="H767" s="51" t="s">
        <v>3926</v>
      </c>
    </row>
    <row r="768" spans="1:8" x14ac:dyDescent="0.3">
      <c r="A768" s="51" t="s">
        <v>3927</v>
      </c>
      <c r="B768" s="51" t="s">
        <v>3928</v>
      </c>
      <c r="C768" s="52" t="s">
        <v>3929</v>
      </c>
      <c r="D768" s="53" t="s">
        <v>321</v>
      </c>
      <c r="E768" s="52" t="s">
        <v>322</v>
      </c>
      <c r="F768" s="53" t="s">
        <v>3930</v>
      </c>
      <c r="G768" s="52" t="s">
        <v>3929</v>
      </c>
      <c r="H768" s="51" t="s">
        <v>3931</v>
      </c>
    </row>
    <row r="769" spans="1:8" x14ac:dyDescent="0.3">
      <c r="A769" s="51" t="s">
        <v>3932</v>
      </c>
      <c r="B769" s="51" t="s">
        <v>3933</v>
      </c>
      <c r="C769" s="52" t="s">
        <v>3934</v>
      </c>
      <c r="D769" s="53" t="s">
        <v>166</v>
      </c>
      <c r="E769" s="52" t="s">
        <v>167</v>
      </c>
      <c r="F769" s="53" t="s">
        <v>3935</v>
      </c>
      <c r="G769" s="52" t="s">
        <v>3934</v>
      </c>
      <c r="H769" s="51" t="s">
        <v>3936</v>
      </c>
    </row>
    <row r="770" spans="1:8" x14ac:dyDescent="0.3">
      <c r="A770" s="51" t="s">
        <v>3937</v>
      </c>
      <c r="B770" s="51" t="s">
        <v>3938</v>
      </c>
      <c r="C770" s="52" t="s">
        <v>3939</v>
      </c>
      <c r="D770" s="53" t="s">
        <v>242</v>
      </c>
      <c r="E770" s="52" t="s">
        <v>243</v>
      </c>
      <c r="F770" s="53" t="s">
        <v>3940</v>
      </c>
      <c r="G770" s="52" t="s">
        <v>3939</v>
      </c>
      <c r="H770" s="51" t="s">
        <v>3941</v>
      </c>
    </row>
    <row r="771" spans="1:8" x14ac:dyDescent="0.3">
      <c r="A771" s="51" t="s">
        <v>3942</v>
      </c>
      <c r="B771" s="51" t="s">
        <v>3943</v>
      </c>
      <c r="C771" s="52" t="s">
        <v>3944</v>
      </c>
      <c r="D771" s="53" t="s">
        <v>166</v>
      </c>
      <c r="E771" s="52" t="s">
        <v>167</v>
      </c>
      <c r="F771" s="53" t="s">
        <v>3945</v>
      </c>
      <c r="G771" s="52" t="s">
        <v>3944</v>
      </c>
      <c r="H771" s="51" t="s">
        <v>3946</v>
      </c>
    </row>
    <row r="772" spans="1:8" x14ac:dyDescent="0.3">
      <c r="A772" s="51" t="s">
        <v>3947</v>
      </c>
      <c r="B772" s="51" t="s">
        <v>3948</v>
      </c>
      <c r="C772" s="52" t="s">
        <v>3949</v>
      </c>
      <c r="D772" s="53" t="s">
        <v>166</v>
      </c>
      <c r="E772" s="52" t="s">
        <v>167</v>
      </c>
      <c r="F772" s="53" t="s">
        <v>3950</v>
      </c>
      <c r="G772" s="52" t="s">
        <v>3949</v>
      </c>
      <c r="H772" s="51" t="s">
        <v>3951</v>
      </c>
    </row>
    <row r="773" spans="1:8" x14ac:dyDescent="0.3">
      <c r="A773" s="51" t="s">
        <v>3952</v>
      </c>
      <c r="B773" s="51" t="s">
        <v>3953</v>
      </c>
      <c r="C773" s="52" t="s">
        <v>3954</v>
      </c>
      <c r="D773" s="53" t="s">
        <v>213</v>
      </c>
      <c r="E773" s="52" t="s">
        <v>214</v>
      </c>
      <c r="F773" s="53" t="s">
        <v>3955</v>
      </c>
      <c r="G773" s="52" t="s">
        <v>3954</v>
      </c>
      <c r="H773" s="51" t="s">
        <v>3956</v>
      </c>
    </row>
    <row r="774" spans="1:8" x14ac:dyDescent="0.3">
      <c r="A774" s="51" t="s">
        <v>3957</v>
      </c>
      <c r="B774" s="51" t="s">
        <v>3958</v>
      </c>
      <c r="C774" s="52" t="s">
        <v>3782</v>
      </c>
      <c r="D774" s="53" t="s">
        <v>213</v>
      </c>
      <c r="E774" s="52" t="s">
        <v>214</v>
      </c>
      <c r="F774" s="53" t="s">
        <v>3959</v>
      </c>
      <c r="G774" s="52" t="s">
        <v>3782</v>
      </c>
      <c r="H774" s="51" t="s">
        <v>3960</v>
      </c>
    </row>
    <row r="775" spans="1:8" x14ac:dyDescent="0.3">
      <c r="A775" s="51" t="s">
        <v>3961</v>
      </c>
      <c r="B775" s="51" t="s">
        <v>3962</v>
      </c>
      <c r="C775" s="52" t="s">
        <v>3963</v>
      </c>
      <c r="D775" s="53" t="s">
        <v>166</v>
      </c>
      <c r="E775" s="52" t="s">
        <v>167</v>
      </c>
      <c r="F775" s="53" t="s">
        <v>3964</v>
      </c>
      <c r="G775" s="52" t="s">
        <v>3963</v>
      </c>
      <c r="H775" s="51" t="s">
        <v>3965</v>
      </c>
    </row>
    <row r="776" spans="1:8" x14ac:dyDescent="0.3">
      <c r="A776" s="51" t="s">
        <v>3966</v>
      </c>
      <c r="B776" s="51" t="s">
        <v>3967</v>
      </c>
      <c r="C776" s="52" t="s">
        <v>3348</v>
      </c>
      <c r="D776" s="53" t="s">
        <v>166</v>
      </c>
      <c r="E776" s="52" t="s">
        <v>167</v>
      </c>
      <c r="F776" s="53" t="s">
        <v>3968</v>
      </c>
      <c r="G776" s="52" t="s">
        <v>3348</v>
      </c>
      <c r="H776" s="51" t="s">
        <v>3969</v>
      </c>
    </row>
    <row r="777" spans="1:8" x14ac:dyDescent="0.3">
      <c r="A777" s="51" t="s">
        <v>3970</v>
      </c>
      <c r="B777" s="51" t="s">
        <v>3971</v>
      </c>
      <c r="C777" s="52" t="s">
        <v>3972</v>
      </c>
      <c r="D777" s="53" t="s">
        <v>166</v>
      </c>
      <c r="E777" s="52" t="s">
        <v>167</v>
      </c>
      <c r="F777" s="53" t="s">
        <v>3973</v>
      </c>
      <c r="G777" s="52" t="s">
        <v>3972</v>
      </c>
      <c r="H777" s="51" t="s">
        <v>3974</v>
      </c>
    </row>
    <row r="778" spans="1:8" x14ac:dyDescent="0.3">
      <c r="A778" s="51" t="s">
        <v>3975</v>
      </c>
      <c r="B778" s="51" t="s">
        <v>3976</v>
      </c>
      <c r="C778" s="52" t="s">
        <v>3977</v>
      </c>
      <c r="D778" s="53" t="s">
        <v>166</v>
      </c>
      <c r="E778" s="52" t="s">
        <v>167</v>
      </c>
      <c r="F778" s="53" t="s">
        <v>3978</v>
      </c>
      <c r="G778" s="52" t="s">
        <v>3977</v>
      </c>
      <c r="H778" s="51" t="s">
        <v>3979</v>
      </c>
    </row>
    <row r="779" spans="1:8" x14ac:dyDescent="0.3">
      <c r="A779" s="51" t="s">
        <v>152</v>
      </c>
      <c r="B779" s="51" t="s">
        <v>3980</v>
      </c>
      <c r="C779" s="52" t="s">
        <v>153</v>
      </c>
      <c r="D779" s="53" t="s">
        <v>3981</v>
      </c>
      <c r="E779" s="52" t="s">
        <v>3982</v>
      </c>
      <c r="F779" s="53" t="s">
        <v>3983</v>
      </c>
      <c r="G779" s="52" t="s">
        <v>153</v>
      </c>
      <c r="H779" s="51" t="s">
        <v>3984</v>
      </c>
    </row>
    <row r="780" spans="1:8" x14ac:dyDescent="0.3">
      <c r="A780" s="51" t="s">
        <v>154</v>
      </c>
      <c r="B780" s="51" t="s">
        <v>3985</v>
      </c>
      <c r="C780" s="52" t="s">
        <v>155</v>
      </c>
      <c r="D780" s="53" t="s">
        <v>321</v>
      </c>
      <c r="E780" s="52" t="s">
        <v>322</v>
      </c>
      <c r="F780" s="53" t="s">
        <v>3986</v>
      </c>
      <c r="G780" s="52" t="s">
        <v>155</v>
      </c>
      <c r="H780" s="51" t="s">
        <v>3987</v>
      </c>
    </row>
    <row r="781" spans="1:8" x14ac:dyDescent="0.3">
      <c r="A781" s="51" t="s">
        <v>3988</v>
      </c>
      <c r="B781" s="51" t="s">
        <v>3989</v>
      </c>
      <c r="C781" s="52" t="s">
        <v>3990</v>
      </c>
      <c r="D781" s="53" t="s">
        <v>166</v>
      </c>
      <c r="E781" s="52" t="s">
        <v>167</v>
      </c>
      <c r="F781" s="53" t="s">
        <v>3991</v>
      </c>
      <c r="G781" s="52" t="s">
        <v>3990</v>
      </c>
      <c r="H781" s="51" t="s">
        <v>3992</v>
      </c>
    </row>
    <row r="782" spans="1:8" x14ac:dyDescent="0.3">
      <c r="A782" s="51" t="s">
        <v>3993</v>
      </c>
      <c r="B782" s="51" t="s">
        <v>3994</v>
      </c>
      <c r="C782" s="52" t="s">
        <v>3995</v>
      </c>
      <c r="D782" s="53" t="s">
        <v>166</v>
      </c>
      <c r="E782" s="52" t="s">
        <v>167</v>
      </c>
      <c r="F782" s="53" t="s">
        <v>3996</v>
      </c>
      <c r="G782" s="52" t="s">
        <v>3995</v>
      </c>
      <c r="H782" s="51" t="s">
        <v>3997</v>
      </c>
    </row>
    <row r="783" spans="1:8" x14ac:dyDescent="0.3">
      <c r="A783" s="51" t="s">
        <v>3998</v>
      </c>
      <c r="B783" s="51" t="s">
        <v>3999</v>
      </c>
      <c r="C783" s="52" t="s">
        <v>4000</v>
      </c>
      <c r="D783" s="53" t="s">
        <v>321</v>
      </c>
      <c r="E783" s="52" t="s">
        <v>322</v>
      </c>
      <c r="F783" s="53" t="s">
        <v>4001</v>
      </c>
      <c r="G783" s="52" t="s">
        <v>4000</v>
      </c>
      <c r="H783" s="51" t="s">
        <v>4002</v>
      </c>
    </row>
    <row r="784" spans="1:8" x14ac:dyDescent="0.3">
      <c r="A784" s="51" t="s">
        <v>4003</v>
      </c>
      <c r="B784" s="51" t="s">
        <v>4004</v>
      </c>
      <c r="C784" s="52" t="s">
        <v>4005</v>
      </c>
      <c r="D784" s="53" t="s">
        <v>166</v>
      </c>
      <c r="E784" s="52" t="s">
        <v>167</v>
      </c>
      <c r="F784" s="53" t="s">
        <v>4006</v>
      </c>
      <c r="G784" s="52" t="s">
        <v>4005</v>
      </c>
      <c r="H784" s="51" t="s">
        <v>4007</v>
      </c>
    </row>
    <row r="785" spans="1:8" x14ac:dyDescent="0.3">
      <c r="A785" s="51" t="s">
        <v>4008</v>
      </c>
      <c r="B785" s="51" t="s">
        <v>4009</v>
      </c>
      <c r="C785" s="52" t="s">
        <v>4010</v>
      </c>
      <c r="D785" s="53" t="s">
        <v>242</v>
      </c>
      <c r="E785" s="52" t="s">
        <v>243</v>
      </c>
      <c r="F785" s="53" t="s">
        <v>4011</v>
      </c>
      <c r="G785" s="52" t="s">
        <v>4010</v>
      </c>
      <c r="H785" s="51" t="s">
        <v>4012</v>
      </c>
    </row>
    <row r="786" spans="1:8" x14ac:dyDescent="0.3">
      <c r="A786" s="51" t="s">
        <v>4013</v>
      </c>
      <c r="B786" s="51" t="s">
        <v>4014</v>
      </c>
      <c r="C786" s="52" t="s">
        <v>4015</v>
      </c>
      <c r="D786" s="53" t="s">
        <v>166</v>
      </c>
      <c r="E786" s="52" t="s">
        <v>167</v>
      </c>
      <c r="F786" s="53" t="s">
        <v>4016</v>
      </c>
      <c r="G786" s="52" t="s">
        <v>4015</v>
      </c>
      <c r="H786" s="51" t="s">
        <v>4017</v>
      </c>
    </row>
    <row r="787" spans="1:8" x14ac:dyDescent="0.3">
      <c r="A787" s="51" t="s">
        <v>4018</v>
      </c>
      <c r="B787" s="51" t="s">
        <v>4019</v>
      </c>
      <c r="C787" s="52" t="s">
        <v>4020</v>
      </c>
      <c r="D787" s="53" t="s">
        <v>166</v>
      </c>
      <c r="E787" s="52" t="s">
        <v>167</v>
      </c>
      <c r="F787" s="53" t="s">
        <v>4021</v>
      </c>
      <c r="G787" s="52" t="s">
        <v>4020</v>
      </c>
      <c r="H787" s="51" t="s">
        <v>4022</v>
      </c>
    </row>
    <row r="788" spans="1:8" x14ac:dyDescent="0.3">
      <c r="A788" s="51" t="s">
        <v>4023</v>
      </c>
      <c r="B788" s="51" t="s">
        <v>4024</v>
      </c>
      <c r="C788" s="52" t="s">
        <v>4025</v>
      </c>
      <c r="D788" s="53" t="s">
        <v>213</v>
      </c>
      <c r="E788" s="52" t="s">
        <v>214</v>
      </c>
      <c r="F788" s="53" t="s">
        <v>4026</v>
      </c>
      <c r="G788" s="52" t="s">
        <v>4025</v>
      </c>
      <c r="H788" s="51" t="s">
        <v>4027</v>
      </c>
    </row>
    <row r="789" spans="1:8" x14ac:dyDescent="0.3">
      <c r="A789" s="51" t="s">
        <v>4028</v>
      </c>
      <c r="B789" s="51" t="s">
        <v>4029</v>
      </c>
      <c r="C789" s="52" t="s">
        <v>4030</v>
      </c>
      <c r="D789" s="53" t="s">
        <v>166</v>
      </c>
      <c r="E789" s="52" t="s">
        <v>167</v>
      </c>
      <c r="F789" s="53" t="s">
        <v>4031</v>
      </c>
      <c r="G789" s="52" t="s">
        <v>4030</v>
      </c>
      <c r="H789" s="51" t="s">
        <v>4032</v>
      </c>
    </row>
    <row r="790" spans="1:8" x14ac:dyDescent="0.3">
      <c r="A790" s="51" t="s">
        <v>4033</v>
      </c>
      <c r="B790" s="51" t="s">
        <v>4034</v>
      </c>
      <c r="C790" s="52" t="s">
        <v>4035</v>
      </c>
      <c r="D790" s="53" t="s">
        <v>166</v>
      </c>
      <c r="E790" s="52" t="s">
        <v>167</v>
      </c>
      <c r="F790" s="53" t="s">
        <v>4036</v>
      </c>
      <c r="G790" s="52" t="s">
        <v>4035</v>
      </c>
      <c r="H790" s="51" t="s">
        <v>4037</v>
      </c>
    </row>
    <row r="791" spans="1:8" x14ac:dyDescent="0.3">
      <c r="A791" s="51" t="s">
        <v>4038</v>
      </c>
      <c r="B791" s="51" t="s">
        <v>4039</v>
      </c>
      <c r="C791" s="52" t="s">
        <v>4040</v>
      </c>
      <c r="D791" s="53" t="s">
        <v>166</v>
      </c>
      <c r="E791" s="52" t="s">
        <v>167</v>
      </c>
      <c r="F791" s="53" t="s">
        <v>4041</v>
      </c>
      <c r="G791" s="52" t="s">
        <v>4040</v>
      </c>
      <c r="H791" s="51" t="s">
        <v>4042</v>
      </c>
    </row>
    <row r="792" spans="1:8" x14ac:dyDescent="0.3">
      <c r="A792" s="51" t="s">
        <v>4043</v>
      </c>
      <c r="B792" s="51" t="s">
        <v>4044</v>
      </c>
      <c r="C792" s="52" t="s">
        <v>4045</v>
      </c>
      <c r="D792" s="53" t="s">
        <v>166</v>
      </c>
      <c r="E792" s="52" t="s">
        <v>167</v>
      </c>
      <c r="F792" s="53" t="s">
        <v>4046</v>
      </c>
      <c r="G792" s="52" t="s">
        <v>4045</v>
      </c>
      <c r="H792" s="51" t="s">
        <v>4047</v>
      </c>
    </row>
    <row r="793" spans="1:8" x14ac:dyDescent="0.3">
      <c r="A793" s="51" t="s">
        <v>4048</v>
      </c>
      <c r="B793" s="51" t="s">
        <v>4049</v>
      </c>
      <c r="C793" s="52" t="s">
        <v>4050</v>
      </c>
      <c r="D793" s="53" t="s">
        <v>166</v>
      </c>
      <c r="E793" s="52" t="s">
        <v>167</v>
      </c>
      <c r="F793" s="53" t="s">
        <v>4051</v>
      </c>
      <c r="G793" s="52" t="s">
        <v>4050</v>
      </c>
      <c r="H793" s="51" t="s">
        <v>4052</v>
      </c>
    </row>
    <row r="794" spans="1:8" x14ac:dyDescent="0.3">
      <c r="A794" s="51" t="s">
        <v>4053</v>
      </c>
      <c r="B794" s="51" t="s">
        <v>4054</v>
      </c>
      <c r="C794" s="52" t="s">
        <v>4055</v>
      </c>
      <c r="D794" s="53" t="s">
        <v>166</v>
      </c>
      <c r="E794" s="52" t="s">
        <v>167</v>
      </c>
      <c r="F794" s="53" t="s">
        <v>4056</v>
      </c>
      <c r="G794" s="52" t="s">
        <v>4055</v>
      </c>
      <c r="H794" s="51" t="s">
        <v>4057</v>
      </c>
    </row>
    <row r="795" spans="1:8" x14ac:dyDescent="0.3">
      <c r="A795" s="51" t="s">
        <v>4058</v>
      </c>
      <c r="B795" s="51" t="s">
        <v>4059</v>
      </c>
      <c r="C795" s="52" t="s">
        <v>4060</v>
      </c>
      <c r="D795" s="53" t="s">
        <v>220</v>
      </c>
      <c r="E795" s="52" t="s">
        <v>221</v>
      </c>
      <c r="F795" s="53" t="s">
        <v>4061</v>
      </c>
      <c r="G795" s="52" t="s">
        <v>4060</v>
      </c>
      <c r="H795" s="51" t="s">
        <v>4062</v>
      </c>
    </row>
    <row r="796" spans="1:8" x14ac:dyDescent="0.3">
      <c r="A796" s="51" t="s">
        <v>4063</v>
      </c>
      <c r="B796" s="51" t="s">
        <v>4064</v>
      </c>
      <c r="C796" s="52" t="s">
        <v>4065</v>
      </c>
      <c r="D796" s="53" t="s">
        <v>166</v>
      </c>
      <c r="E796" s="52" t="s">
        <v>167</v>
      </c>
      <c r="F796" s="53" t="s">
        <v>4066</v>
      </c>
      <c r="G796" s="52" t="s">
        <v>4065</v>
      </c>
      <c r="H796" s="51" t="s">
        <v>4067</v>
      </c>
    </row>
    <row r="797" spans="1:8" x14ac:dyDescent="0.3">
      <c r="A797" s="51" t="s">
        <v>4068</v>
      </c>
      <c r="B797" s="51" t="s">
        <v>4069</v>
      </c>
      <c r="C797" s="52" t="s">
        <v>4070</v>
      </c>
      <c r="D797" s="53" t="s">
        <v>523</v>
      </c>
      <c r="E797" s="52" t="s">
        <v>524</v>
      </c>
      <c r="F797" s="53" t="s">
        <v>4071</v>
      </c>
      <c r="G797" s="52" t="s">
        <v>4070</v>
      </c>
      <c r="H797" s="51" t="s">
        <v>4072</v>
      </c>
    </row>
    <row r="798" spans="1:8" x14ac:dyDescent="0.3">
      <c r="A798" s="51" t="s">
        <v>4073</v>
      </c>
      <c r="B798" s="51" t="s">
        <v>4074</v>
      </c>
      <c r="C798" s="52" t="s">
        <v>4075</v>
      </c>
      <c r="D798" s="53" t="s">
        <v>321</v>
      </c>
      <c r="E798" s="52" t="s">
        <v>322</v>
      </c>
      <c r="F798" s="53" t="s">
        <v>4076</v>
      </c>
      <c r="G798" s="52" t="s">
        <v>4075</v>
      </c>
      <c r="H798" s="51" t="s">
        <v>4077</v>
      </c>
    </row>
    <row r="799" spans="1:8" x14ac:dyDescent="0.3">
      <c r="A799" s="51" t="s">
        <v>4078</v>
      </c>
      <c r="B799" s="51" t="s">
        <v>4079</v>
      </c>
      <c r="C799" s="52" t="s">
        <v>4080</v>
      </c>
      <c r="D799" s="53" t="s">
        <v>321</v>
      </c>
      <c r="E799" s="52" t="s">
        <v>322</v>
      </c>
      <c r="F799" s="53" t="s">
        <v>4081</v>
      </c>
      <c r="G799" s="52" t="s">
        <v>4080</v>
      </c>
      <c r="H799" s="51" t="s">
        <v>4082</v>
      </c>
    </row>
    <row r="800" spans="1:8" x14ac:dyDescent="0.3">
      <c r="A800" s="51" t="s">
        <v>4083</v>
      </c>
      <c r="B800" s="51" t="s">
        <v>4084</v>
      </c>
      <c r="C800" s="52" t="s">
        <v>4085</v>
      </c>
      <c r="D800" s="53" t="s">
        <v>213</v>
      </c>
      <c r="E800" s="52" t="s">
        <v>214</v>
      </c>
      <c r="F800" s="53" t="s">
        <v>4086</v>
      </c>
      <c r="G800" s="52" t="s">
        <v>4085</v>
      </c>
      <c r="H800" s="51" t="s">
        <v>4087</v>
      </c>
    </row>
    <row r="801" spans="1:8" x14ac:dyDescent="0.3">
      <c r="A801" s="51" t="s">
        <v>4088</v>
      </c>
      <c r="B801" s="51" t="s">
        <v>4089</v>
      </c>
      <c r="C801" s="52" t="s">
        <v>4090</v>
      </c>
      <c r="D801" s="53" t="s">
        <v>321</v>
      </c>
      <c r="E801" s="52" t="s">
        <v>322</v>
      </c>
      <c r="F801" s="53" t="s">
        <v>4091</v>
      </c>
      <c r="G801" s="52" t="s">
        <v>4090</v>
      </c>
      <c r="H801" s="51" t="s">
        <v>4092</v>
      </c>
    </row>
    <row r="802" spans="1:8" x14ac:dyDescent="0.3">
      <c r="A802" s="51" t="s">
        <v>4093</v>
      </c>
      <c r="B802" s="51" t="s">
        <v>4094</v>
      </c>
      <c r="C802" s="52" t="s">
        <v>4095</v>
      </c>
      <c r="D802" s="53" t="s">
        <v>242</v>
      </c>
      <c r="E802" s="52" t="s">
        <v>243</v>
      </c>
      <c r="F802" s="53" t="s">
        <v>4096</v>
      </c>
      <c r="G802" s="52" t="s">
        <v>4095</v>
      </c>
      <c r="H802" s="51" t="s">
        <v>4097</v>
      </c>
    </row>
    <row r="803" spans="1:8" x14ac:dyDescent="0.3">
      <c r="A803" s="51" t="s">
        <v>4098</v>
      </c>
      <c r="B803" s="51" t="s">
        <v>4099</v>
      </c>
      <c r="C803" s="52" t="s">
        <v>4100</v>
      </c>
      <c r="D803" s="53" t="s">
        <v>242</v>
      </c>
      <c r="E803" s="52" t="s">
        <v>243</v>
      </c>
      <c r="F803" s="53" t="s">
        <v>4101</v>
      </c>
      <c r="G803" s="52" t="s">
        <v>4100</v>
      </c>
      <c r="H803" s="51" t="s">
        <v>4102</v>
      </c>
    </row>
    <row r="804" spans="1:8" x14ac:dyDescent="0.3">
      <c r="A804" s="51" t="s">
        <v>4103</v>
      </c>
      <c r="B804" s="51" t="s">
        <v>4104</v>
      </c>
      <c r="C804" s="52" t="s">
        <v>4105</v>
      </c>
      <c r="D804" s="53" t="s">
        <v>166</v>
      </c>
      <c r="E804" s="52" t="s">
        <v>167</v>
      </c>
      <c r="F804" s="53" t="s">
        <v>4106</v>
      </c>
      <c r="G804" s="52" t="s">
        <v>4105</v>
      </c>
      <c r="H804" s="51" t="s">
        <v>4107</v>
      </c>
    </row>
    <row r="805" spans="1:8" x14ac:dyDescent="0.3">
      <c r="A805" s="51" t="s">
        <v>4108</v>
      </c>
      <c r="B805" s="51" t="s">
        <v>4109</v>
      </c>
      <c r="C805" s="52" t="s">
        <v>4110</v>
      </c>
      <c r="D805" s="53" t="s">
        <v>935</v>
      </c>
      <c r="E805" s="52" t="s">
        <v>936</v>
      </c>
      <c r="F805" s="53" t="s">
        <v>4111</v>
      </c>
      <c r="G805" s="52" t="s">
        <v>4110</v>
      </c>
      <c r="H805" s="51" t="s">
        <v>4112</v>
      </c>
    </row>
    <row r="806" spans="1:8" x14ac:dyDescent="0.3">
      <c r="A806" s="51" t="s">
        <v>4113</v>
      </c>
      <c r="B806" s="51" t="s">
        <v>4114</v>
      </c>
      <c r="C806" s="52" t="s">
        <v>4115</v>
      </c>
      <c r="D806" s="53" t="s">
        <v>321</v>
      </c>
      <c r="E806" s="52" t="s">
        <v>322</v>
      </c>
      <c r="F806" s="53" t="s">
        <v>4116</v>
      </c>
      <c r="G806" s="52" t="s">
        <v>4115</v>
      </c>
      <c r="H806" s="51" t="s">
        <v>4117</v>
      </c>
    </row>
    <row r="807" spans="1:8" x14ac:dyDescent="0.3">
      <c r="A807" s="51" t="s">
        <v>4118</v>
      </c>
      <c r="B807" s="51" t="s">
        <v>4119</v>
      </c>
      <c r="C807" s="52" t="s">
        <v>4120</v>
      </c>
      <c r="D807" s="53" t="s">
        <v>242</v>
      </c>
      <c r="E807" s="52" t="s">
        <v>243</v>
      </c>
      <c r="F807" s="53" t="s">
        <v>4121</v>
      </c>
      <c r="G807" s="52" t="s">
        <v>4120</v>
      </c>
      <c r="H807" s="51" t="s">
        <v>4122</v>
      </c>
    </row>
    <row r="808" spans="1:8" x14ac:dyDescent="0.3">
      <c r="A808" s="51" t="s">
        <v>4123</v>
      </c>
      <c r="B808" s="51" t="s">
        <v>4124</v>
      </c>
      <c r="C808" s="52" t="s">
        <v>4125</v>
      </c>
      <c r="D808" s="53" t="s">
        <v>166</v>
      </c>
      <c r="E808" s="52" t="s">
        <v>167</v>
      </c>
      <c r="F808" s="53" t="s">
        <v>4126</v>
      </c>
      <c r="G808" s="52" t="s">
        <v>4125</v>
      </c>
      <c r="H808" s="51" t="s">
        <v>4127</v>
      </c>
    </row>
    <row r="809" spans="1:8" x14ac:dyDescent="0.3">
      <c r="A809" s="51" t="s">
        <v>4128</v>
      </c>
      <c r="B809" s="51" t="s">
        <v>4129</v>
      </c>
      <c r="C809" s="52" t="s">
        <v>2857</v>
      </c>
      <c r="D809" s="53" t="s">
        <v>166</v>
      </c>
      <c r="E809" s="52" t="s">
        <v>167</v>
      </c>
      <c r="F809" s="53" t="s">
        <v>4130</v>
      </c>
      <c r="G809" s="52" t="s">
        <v>2857</v>
      </c>
      <c r="H809" s="51" t="s">
        <v>4131</v>
      </c>
    </row>
    <row r="810" spans="1:8" x14ac:dyDescent="0.3">
      <c r="A810" s="51" t="s">
        <v>4132</v>
      </c>
      <c r="B810" s="51" t="s">
        <v>4133</v>
      </c>
      <c r="C810" s="52" t="s">
        <v>4134</v>
      </c>
      <c r="D810" s="53" t="s">
        <v>166</v>
      </c>
      <c r="E810" s="52" t="s">
        <v>167</v>
      </c>
      <c r="F810" s="53" t="s">
        <v>4135</v>
      </c>
      <c r="G810" s="52" t="s">
        <v>4134</v>
      </c>
      <c r="H810" s="51" t="s">
        <v>4136</v>
      </c>
    </row>
    <row r="811" spans="1:8" x14ac:dyDescent="0.3">
      <c r="A811" s="51" t="s">
        <v>4137</v>
      </c>
      <c r="B811" s="51" t="s">
        <v>4138</v>
      </c>
      <c r="C811" s="52" t="s">
        <v>4139</v>
      </c>
      <c r="D811" s="53" t="s">
        <v>242</v>
      </c>
      <c r="E811" s="52" t="s">
        <v>243</v>
      </c>
      <c r="F811" s="53" t="s">
        <v>4140</v>
      </c>
      <c r="G811" s="52" t="s">
        <v>4139</v>
      </c>
      <c r="H811" s="51" t="s">
        <v>4141</v>
      </c>
    </row>
    <row r="812" spans="1:8" x14ac:dyDescent="0.3">
      <c r="A812" s="51" t="s">
        <v>4142</v>
      </c>
      <c r="B812" s="51" t="s">
        <v>4143</v>
      </c>
      <c r="C812" s="52" t="s">
        <v>4144</v>
      </c>
      <c r="D812" s="53" t="s">
        <v>321</v>
      </c>
      <c r="E812" s="52" t="s">
        <v>322</v>
      </c>
      <c r="F812" s="53" t="s">
        <v>4145</v>
      </c>
      <c r="G812" s="52" t="s">
        <v>4144</v>
      </c>
      <c r="H812" s="51" t="s">
        <v>4146</v>
      </c>
    </row>
    <row r="813" spans="1:8" x14ac:dyDescent="0.3">
      <c r="A813" s="51" t="s">
        <v>4147</v>
      </c>
      <c r="B813" s="51" t="s">
        <v>4148</v>
      </c>
      <c r="C813" s="52" t="s">
        <v>4149</v>
      </c>
      <c r="D813" s="53" t="s">
        <v>166</v>
      </c>
      <c r="E813" s="52" t="s">
        <v>167</v>
      </c>
      <c r="F813" s="53" t="s">
        <v>4150</v>
      </c>
      <c r="G813" s="52" t="s">
        <v>4149</v>
      </c>
      <c r="H813" s="51" t="s">
        <v>4151</v>
      </c>
    </row>
    <row r="814" spans="1:8" x14ac:dyDescent="0.3">
      <c r="A814" s="51" t="s">
        <v>4152</v>
      </c>
      <c r="B814" s="51" t="s">
        <v>4153</v>
      </c>
      <c r="C814" s="52" t="s">
        <v>4154</v>
      </c>
      <c r="D814" s="53" t="s">
        <v>242</v>
      </c>
      <c r="E814" s="52" t="s">
        <v>243</v>
      </c>
      <c r="F814" s="53" t="s">
        <v>4155</v>
      </c>
      <c r="G814" s="52" t="s">
        <v>4154</v>
      </c>
      <c r="H814" s="51" t="s">
        <v>4156</v>
      </c>
    </row>
    <row r="815" spans="1:8" x14ac:dyDescent="0.3">
      <c r="A815" s="51" t="s">
        <v>4157</v>
      </c>
      <c r="B815" s="51" t="s">
        <v>4158</v>
      </c>
      <c r="C815" s="52" t="s">
        <v>4159</v>
      </c>
      <c r="D815" s="53" t="s">
        <v>242</v>
      </c>
      <c r="E815" s="52" t="s">
        <v>243</v>
      </c>
      <c r="F815" s="53" t="s">
        <v>4160</v>
      </c>
      <c r="G815" s="52" t="s">
        <v>4159</v>
      </c>
      <c r="H815" s="51" t="s">
        <v>4161</v>
      </c>
    </row>
    <row r="816" spans="1:8" x14ac:dyDescent="0.3">
      <c r="A816" s="51" t="s">
        <v>4162</v>
      </c>
      <c r="B816" s="51" t="s">
        <v>4163</v>
      </c>
      <c r="C816" s="52" t="s">
        <v>4164</v>
      </c>
      <c r="D816" s="53" t="s">
        <v>166</v>
      </c>
      <c r="E816" s="52" t="s">
        <v>167</v>
      </c>
      <c r="F816" s="53" t="s">
        <v>4165</v>
      </c>
      <c r="G816" s="52" t="s">
        <v>4164</v>
      </c>
      <c r="H816" s="51" t="s">
        <v>4166</v>
      </c>
    </row>
    <row r="817" spans="1:8" x14ac:dyDescent="0.3">
      <c r="A817" s="51" t="s">
        <v>4167</v>
      </c>
      <c r="B817" s="51" t="s">
        <v>4168</v>
      </c>
      <c r="C817" s="52" t="s">
        <v>4169</v>
      </c>
      <c r="D817" s="53" t="s">
        <v>166</v>
      </c>
      <c r="E817" s="52" t="s">
        <v>167</v>
      </c>
      <c r="F817" s="53" t="s">
        <v>4170</v>
      </c>
      <c r="G817" s="52" t="s">
        <v>4169</v>
      </c>
      <c r="H817" s="51" t="s">
        <v>4171</v>
      </c>
    </row>
    <row r="818" spans="1:8" x14ac:dyDescent="0.3">
      <c r="A818" s="51" t="s">
        <v>4172</v>
      </c>
      <c r="B818" s="51" t="s">
        <v>4173</v>
      </c>
      <c r="C818" s="52" t="s">
        <v>4174</v>
      </c>
      <c r="D818" s="53" t="s">
        <v>166</v>
      </c>
      <c r="E818" s="52" t="s">
        <v>167</v>
      </c>
      <c r="F818" s="53" t="s">
        <v>4175</v>
      </c>
      <c r="G818" s="52" t="s">
        <v>4174</v>
      </c>
      <c r="H818" s="51" t="s">
        <v>4176</v>
      </c>
    </row>
    <row r="819" spans="1:8" x14ac:dyDescent="0.3">
      <c r="A819" s="51" t="s">
        <v>4177</v>
      </c>
      <c r="B819" s="51" t="s">
        <v>4178</v>
      </c>
      <c r="C819" s="52" t="s">
        <v>4179</v>
      </c>
      <c r="D819" s="53" t="s">
        <v>879</v>
      </c>
      <c r="E819" s="52" t="s">
        <v>880</v>
      </c>
      <c r="F819" s="53" t="s">
        <v>4180</v>
      </c>
      <c r="G819" s="52" t="s">
        <v>4179</v>
      </c>
      <c r="H819" s="51" t="s">
        <v>4181</v>
      </c>
    </row>
    <row r="820" spans="1:8" x14ac:dyDescent="0.3">
      <c r="A820" s="51" t="s">
        <v>4182</v>
      </c>
      <c r="B820" s="51" t="s">
        <v>4183</v>
      </c>
      <c r="C820" s="52" t="s">
        <v>4184</v>
      </c>
      <c r="D820" s="53" t="s">
        <v>321</v>
      </c>
      <c r="E820" s="52" t="s">
        <v>322</v>
      </c>
      <c r="F820" s="53" t="s">
        <v>4185</v>
      </c>
      <c r="G820" s="52" t="s">
        <v>4184</v>
      </c>
      <c r="H820" s="51" t="s">
        <v>4186</v>
      </c>
    </row>
    <row r="821" spans="1:8" x14ac:dyDescent="0.3">
      <c r="A821" s="51" t="s">
        <v>4187</v>
      </c>
      <c r="B821" s="51" t="s">
        <v>4188</v>
      </c>
      <c r="C821" s="52" t="s">
        <v>4189</v>
      </c>
      <c r="D821" s="53" t="s">
        <v>242</v>
      </c>
      <c r="E821" s="52" t="s">
        <v>243</v>
      </c>
      <c r="F821" s="53" t="s">
        <v>4190</v>
      </c>
      <c r="G821" s="52" t="s">
        <v>4189</v>
      </c>
      <c r="H821" s="51" t="s">
        <v>4191</v>
      </c>
    </row>
    <row r="822" spans="1:8" x14ac:dyDescent="0.3">
      <c r="A822" s="51" t="s">
        <v>4192</v>
      </c>
      <c r="B822" s="51" t="s">
        <v>4193</v>
      </c>
      <c r="C822" s="52" t="s">
        <v>4194</v>
      </c>
      <c r="D822" s="53" t="s">
        <v>166</v>
      </c>
      <c r="E822" s="52" t="s">
        <v>167</v>
      </c>
      <c r="F822" s="53" t="s">
        <v>4195</v>
      </c>
      <c r="G822" s="52" t="s">
        <v>4194</v>
      </c>
      <c r="H822" s="51" t="s">
        <v>4196</v>
      </c>
    </row>
    <row r="823" spans="1:8" x14ac:dyDescent="0.3">
      <c r="A823" s="51" t="s">
        <v>4197</v>
      </c>
      <c r="B823" s="51" t="s">
        <v>4198</v>
      </c>
      <c r="C823" s="52" t="s">
        <v>4199</v>
      </c>
      <c r="D823" s="53" t="s">
        <v>213</v>
      </c>
      <c r="E823" s="52" t="s">
        <v>214</v>
      </c>
      <c r="F823" s="53" t="s">
        <v>4200</v>
      </c>
      <c r="G823" s="52" t="s">
        <v>4199</v>
      </c>
      <c r="H823" s="51" t="s">
        <v>4201</v>
      </c>
    </row>
    <row r="824" spans="1:8" x14ac:dyDescent="0.3">
      <c r="A824" s="51" t="s">
        <v>4202</v>
      </c>
      <c r="B824" s="51" t="s">
        <v>4203</v>
      </c>
      <c r="C824" s="52" t="s">
        <v>4204</v>
      </c>
      <c r="D824" s="53" t="s">
        <v>242</v>
      </c>
      <c r="E824" s="52" t="s">
        <v>243</v>
      </c>
      <c r="F824" s="53" t="s">
        <v>4205</v>
      </c>
      <c r="G824" s="52" t="s">
        <v>4204</v>
      </c>
      <c r="H824" s="51" t="s">
        <v>4206</v>
      </c>
    </row>
    <row r="825" spans="1:8" x14ac:dyDescent="0.3">
      <c r="A825" s="51" t="s">
        <v>4207</v>
      </c>
      <c r="B825" s="51" t="s">
        <v>4208</v>
      </c>
      <c r="C825" s="52" t="s">
        <v>4209</v>
      </c>
      <c r="D825" s="53" t="s">
        <v>166</v>
      </c>
      <c r="E825" s="52" t="s">
        <v>167</v>
      </c>
      <c r="F825" s="53" t="s">
        <v>4210</v>
      </c>
      <c r="G825" s="52" t="s">
        <v>4209</v>
      </c>
      <c r="H825" s="51" t="s">
        <v>4211</v>
      </c>
    </row>
    <row r="826" spans="1:8" x14ac:dyDescent="0.3">
      <c r="A826" s="51" t="s">
        <v>4212</v>
      </c>
      <c r="B826" s="51" t="s">
        <v>4213</v>
      </c>
      <c r="C826" s="52" t="s">
        <v>4214</v>
      </c>
      <c r="D826" s="53" t="s">
        <v>166</v>
      </c>
      <c r="E826" s="52" t="s">
        <v>167</v>
      </c>
      <c r="F826" s="53" t="s">
        <v>4215</v>
      </c>
      <c r="G826" s="52" t="s">
        <v>4214</v>
      </c>
      <c r="H826" s="51" t="s">
        <v>4216</v>
      </c>
    </row>
    <row r="827" spans="1:8" x14ac:dyDescent="0.3">
      <c r="A827" s="51" t="s">
        <v>4217</v>
      </c>
      <c r="B827" s="51" t="s">
        <v>4218</v>
      </c>
      <c r="C827" s="52" t="s">
        <v>2659</v>
      </c>
      <c r="D827" s="53" t="s">
        <v>1653</v>
      </c>
      <c r="E827" s="52" t="s">
        <v>1654</v>
      </c>
      <c r="F827" s="53" t="s">
        <v>4219</v>
      </c>
      <c r="G827" s="52" t="s">
        <v>2659</v>
      </c>
      <c r="H827" s="51" t="s">
        <v>4220</v>
      </c>
    </row>
    <row r="828" spans="1:8" x14ac:dyDescent="0.3">
      <c r="A828" s="51" t="s">
        <v>4221</v>
      </c>
      <c r="B828" s="51" t="s">
        <v>4222</v>
      </c>
      <c r="C828" s="52" t="s">
        <v>4223</v>
      </c>
      <c r="D828" s="53" t="s">
        <v>166</v>
      </c>
      <c r="E828" s="52" t="s">
        <v>167</v>
      </c>
      <c r="F828" s="53" t="s">
        <v>4224</v>
      </c>
      <c r="G828" s="52" t="s">
        <v>4223</v>
      </c>
      <c r="H828" s="51" t="s">
        <v>4225</v>
      </c>
    </row>
    <row r="829" spans="1:8" x14ac:dyDescent="0.3">
      <c r="A829" s="51" t="s">
        <v>4226</v>
      </c>
      <c r="B829" s="51" t="s">
        <v>4227</v>
      </c>
      <c r="C829" s="52" t="s">
        <v>4228</v>
      </c>
      <c r="D829" s="53" t="s">
        <v>321</v>
      </c>
      <c r="E829" s="52" t="s">
        <v>322</v>
      </c>
      <c r="F829" s="53" t="s">
        <v>4229</v>
      </c>
      <c r="G829" s="52" t="s">
        <v>4228</v>
      </c>
      <c r="H829" s="51" t="s">
        <v>4230</v>
      </c>
    </row>
    <row r="830" spans="1:8" x14ac:dyDescent="0.3">
      <c r="A830" s="51" t="s">
        <v>4231</v>
      </c>
      <c r="B830" s="51" t="s">
        <v>4232</v>
      </c>
      <c r="C830" s="52" t="s">
        <v>4233</v>
      </c>
      <c r="D830" s="53" t="s">
        <v>321</v>
      </c>
      <c r="E830" s="52" t="s">
        <v>322</v>
      </c>
      <c r="F830" s="53" t="s">
        <v>4234</v>
      </c>
      <c r="G830" s="52" t="s">
        <v>4233</v>
      </c>
      <c r="H830" s="51" t="s">
        <v>4235</v>
      </c>
    </row>
    <row r="831" spans="1:8" x14ac:dyDescent="0.3">
      <c r="A831" s="51" t="s">
        <v>4236</v>
      </c>
      <c r="B831" s="51" t="s">
        <v>4237</v>
      </c>
      <c r="C831" s="52" t="s">
        <v>4238</v>
      </c>
      <c r="D831" s="53" t="s">
        <v>321</v>
      </c>
      <c r="E831" s="52" t="s">
        <v>322</v>
      </c>
      <c r="F831" s="53" t="s">
        <v>4239</v>
      </c>
      <c r="G831" s="52" t="s">
        <v>4238</v>
      </c>
      <c r="H831" s="51" t="s">
        <v>4240</v>
      </c>
    </row>
    <row r="832" spans="1:8" x14ac:dyDescent="0.3">
      <c r="A832" s="51" t="s">
        <v>4241</v>
      </c>
      <c r="B832" s="51" t="s">
        <v>4242</v>
      </c>
      <c r="C832" s="52" t="s">
        <v>4243</v>
      </c>
      <c r="D832" s="53" t="s">
        <v>879</v>
      </c>
      <c r="E832" s="52" t="s">
        <v>880</v>
      </c>
      <c r="F832" s="53" t="s">
        <v>4244</v>
      </c>
      <c r="G832" s="52" t="s">
        <v>4243</v>
      </c>
      <c r="H832" s="51" t="s">
        <v>4245</v>
      </c>
    </row>
    <row r="833" spans="1:8" x14ac:dyDescent="0.3">
      <c r="A833" s="51" t="s">
        <v>4246</v>
      </c>
      <c r="B833" s="51" t="s">
        <v>4247</v>
      </c>
      <c r="C833" s="52" t="s">
        <v>4248</v>
      </c>
      <c r="D833" s="53" t="s">
        <v>321</v>
      </c>
      <c r="E833" s="52" t="s">
        <v>322</v>
      </c>
      <c r="F833" s="53" t="s">
        <v>4249</v>
      </c>
      <c r="G833" s="52" t="s">
        <v>4248</v>
      </c>
      <c r="H833" s="51" t="s">
        <v>4250</v>
      </c>
    </row>
    <row r="834" spans="1:8" x14ac:dyDescent="0.3">
      <c r="A834" s="51" t="s">
        <v>4251</v>
      </c>
      <c r="B834" s="51" t="s">
        <v>4252</v>
      </c>
      <c r="C834" s="52" t="s">
        <v>4253</v>
      </c>
      <c r="D834" s="53" t="s">
        <v>166</v>
      </c>
      <c r="E834" s="52" t="s">
        <v>167</v>
      </c>
      <c r="F834" s="53" t="s">
        <v>4254</v>
      </c>
      <c r="G834" s="52" t="s">
        <v>4253</v>
      </c>
      <c r="H834" s="51" t="s">
        <v>4255</v>
      </c>
    </row>
    <row r="835" spans="1:8" x14ac:dyDescent="0.3">
      <c r="A835" s="51" t="s">
        <v>4256</v>
      </c>
      <c r="B835" s="51" t="s">
        <v>4257</v>
      </c>
      <c r="C835" s="52" t="s">
        <v>4258</v>
      </c>
      <c r="D835" s="53" t="s">
        <v>523</v>
      </c>
      <c r="E835" s="52" t="s">
        <v>524</v>
      </c>
      <c r="F835" s="53" t="s">
        <v>4259</v>
      </c>
      <c r="G835" s="52" t="s">
        <v>4258</v>
      </c>
      <c r="H835" s="51" t="s">
        <v>4260</v>
      </c>
    </row>
    <row r="836" spans="1:8" x14ac:dyDescent="0.3">
      <c r="A836" s="51" t="s">
        <v>4261</v>
      </c>
      <c r="B836" s="51" t="s">
        <v>4262</v>
      </c>
      <c r="C836" s="52" t="s">
        <v>4263</v>
      </c>
      <c r="D836" s="53" t="s">
        <v>166</v>
      </c>
      <c r="E836" s="52" t="s">
        <v>167</v>
      </c>
      <c r="F836" s="53" t="s">
        <v>4264</v>
      </c>
      <c r="G836" s="52" t="s">
        <v>4263</v>
      </c>
      <c r="H836" s="51" t="s">
        <v>4265</v>
      </c>
    </row>
    <row r="837" spans="1:8" x14ac:dyDescent="0.3">
      <c r="A837" s="51" t="s">
        <v>4266</v>
      </c>
      <c r="B837" s="51" t="s">
        <v>4267</v>
      </c>
      <c r="C837" s="52" t="s">
        <v>4268</v>
      </c>
      <c r="D837" s="53" t="s">
        <v>523</v>
      </c>
      <c r="E837" s="52" t="s">
        <v>524</v>
      </c>
      <c r="F837" s="53" t="s">
        <v>4269</v>
      </c>
      <c r="G837" s="52" t="s">
        <v>4268</v>
      </c>
      <c r="H837" s="51" t="s">
        <v>4270</v>
      </c>
    </row>
    <row r="838" spans="1:8" x14ac:dyDescent="0.3">
      <c r="A838" s="51" t="s">
        <v>4271</v>
      </c>
      <c r="B838" s="51" t="s">
        <v>4272</v>
      </c>
      <c r="C838" s="52" t="s">
        <v>4273</v>
      </c>
      <c r="D838" s="53" t="s">
        <v>321</v>
      </c>
      <c r="E838" s="52" t="s">
        <v>322</v>
      </c>
      <c r="F838" s="53" t="s">
        <v>4274</v>
      </c>
      <c r="G838" s="52" t="s">
        <v>4273</v>
      </c>
      <c r="H838" s="51" t="s">
        <v>4275</v>
      </c>
    </row>
    <row r="839" spans="1:8" x14ac:dyDescent="0.3">
      <c r="A839" s="51" t="s">
        <v>4276</v>
      </c>
      <c r="B839" s="51" t="s">
        <v>4277</v>
      </c>
      <c r="C839" s="52" t="s">
        <v>4278</v>
      </c>
      <c r="D839" s="53" t="s">
        <v>4279</v>
      </c>
      <c r="E839" s="52" t="s">
        <v>4280</v>
      </c>
      <c r="F839" s="53" t="s">
        <v>4281</v>
      </c>
      <c r="G839" s="52" t="s">
        <v>4278</v>
      </c>
      <c r="H839" s="51" t="s">
        <v>4282</v>
      </c>
    </row>
    <row r="840" spans="1:8" x14ac:dyDescent="0.3">
      <c r="A840" s="51" t="s">
        <v>4283</v>
      </c>
      <c r="B840" s="51" t="s">
        <v>4284</v>
      </c>
      <c r="C840" s="52" t="s">
        <v>4285</v>
      </c>
      <c r="D840" s="53" t="s">
        <v>166</v>
      </c>
      <c r="E840" s="52" t="s">
        <v>167</v>
      </c>
      <c r="F840" s="53" t="s">
        <v>4286</v>
      </c>
      <c r="G840" s="52" t="s">
        <v>4285</v>
      </c>
      <c r="H840" s="51" t="s">
        <v>4287</v>
      </c>
    </row>
    <row r="841" spans="1:8" x14ac:dyDescent="0.3">
      <c r="A841" s="51" t="s">
        <v>4288</v>
      </c>
      <c r="B841" s="51" t="s">
        <v>4289</v>
      </c>
      <c r="C841" s="52" t="s">
        <v>4290</v>
      </c>
      <c r="D841" s="53" t="s">
        <v>166</v>
      </c>
      <c r="E841" s="52" t="s">
        <v>167</v>
      </c>
      <c r="F841" s="53" t="s">
        <v>4291</v>
      </c>
      <c r="G841" s="52" t="s">
        <v>4290</v>
      </c>
      <c r="H841" s="51" t="s">
        <v>4292</v>
      </c>
    </row>
    <row r="842" spans="1:8" x14ac:dyDescent="0.3">
      <c r="A842" s="51" t="s">
        <v>4293</v>
      </c>
      <c r="B842" s="51" t="s">
        <v>4294</v>
      </c>
      <c r="C842" s="52" t="s">
        <v>4295</v>
      </c>
      <c r="D842" s="53" t="s">
        <v>166</v>
      </c>
      <c r="E842" s="52" t="s">
        <v>167</v>
      </c>
      <c r="F842" s="53" t="s">
        <v>4296</v>
      </c>
      <c r="G842" s="52" t="s">
        <v>4295</v>
      </c>
      <c r="H842" s="51" t="s">
        <v>4297</v>
      </c>
    </row>
    <row r="843" spans="1:8" x14ac:dyDescent="0.3">
      <c r="A843" s="51" t="s">
        <v>4298</v>
      </c>
      <c r="B843" s="51" t="s">
        <v>4299</v>
      </c>
      <c r="C843" s="52" t="s">
        <v>4300</v>
      </c>
      <c r="D843" s="53" t="s">
        <v>166</v>
      </c>
      <c r="E843" s="52" t="s">
        <v>167</v>
      </c>
      <c r="F843" s="53" t="s">
        <v>4301</v>
      </c>
      <c r="G843" s="52" t="s">
        <v>4300</v>
      </c>
      <c r="H843" s="51" t="s">
        <v>4302</v>
      </c>
    </row>
    <row r="844" spans="1:8" x14ac:dyDescent="0.3">
      <c r="A844" s="51" t="s">
        <v>4303</v>
      </c>
      <c r="B844" s="51" t="s">
        <v>4304</v>
      </c>
      <c r="C844" s="52" t="s">
        <v>4305</v>
      </c>
      <c r="D844" s="53" t="s">
        <v>309</v>
      </c>
      <c r="E844" s="52" t="s">
        <v>310</v>
      </c>
      <c r="F844" s="53" t="s">
        <v>4306</v>
      </c>
      <c r="G844" s="52" t="s">
        <v>4305</v>
      </c>
      <c r="H844" s="51" t="s">
        <v>4307</v>
      </c>
    </row>
    <row r="845" spans="1:8" x14ac:dyDescent="0.3">
      <c r="A845" s="51" t="s">
        <v>4308</v>
      </c>
      <c r="B845" s="51" t="s">
        <v>4309</v>
      </c>
      <c r="C845" s="52" t="s">
        <v>4310</v>
      </c>
      <c r="D845" s="53" t="s">
        <v>213</v>
      </c>
      <c r="E845" s="52" t="s">
        <v>214</v>
      </c>
      <c r="F845" s="53" t="s">
        <v>4311</v>
      </c>
      <c r="G845" s="52" t="s">
        <v>4310</v>
      </c>
      <c r="H845" s="51" t="s">
        <v>4312</v>
      </c>
    </row>
    <row r="846" spans="1:8" x14ac:dyDescent="0.3">
      <c r="A846" s="51" t="s">
        <v>4313</v>
      </c>
      <c r="B846" s="51" t="s">
        <v>4314</v>
      </c>
      <c r="C846" s="52" t="s">
        <v>4315</v>
      </c>
      <c r="D846" s="53" t="s">
        <v>1685</v>
      </c>
      <c r="E846" s="52" t="s">
        <v>1686</v>
      </c>
      <c r="F846" s="53" t="s">
        <v>4316</v>
      </c>
      <c r="G846" s="52" t="s">
        <v>4315</v>
      </c>
      <c r="H846" s="51" t="s">
        <v>4317</v>
      </c>
    </row>
    <row r="847" spans="1:8" x14ac:dyDescent="0.3">
      <c r="A847" s="51" t="s">
        <v>4318</v>
      </c>
      <c r="B847" s="51" t="s">
        <v>4319</v>
      </c>
      <c r="C847" s="52" t="s">
        <v>1423</v>
      </c>
      <c r="D847" s="53" t="s">
        <v>321</v>
      </c>
      <c r="E847" s="52" t="s">
        <v>322</v>
      </c>
      <c r="F847" s="53" t="s">
        <v>4320</v>
      </c>
      <c r="G847" s="52" t="s">
        <v>1423</v>
      </c>
      <c r="H847" s="51" t="s">
        <v>4321</v>
      </c>
    </row>
    <row r="848" spans="1:8" x14ac:dyDescent="0.3">
      <c r="A848" s="51" t="s">
        <v>4322</v>
      </c>
      <c r="B848" s="51" t="s">
        <v>4323</v>
      </c>
      <c r="C848" s="52" t="s">
        <v>534</v>
      </c>
      <c r="D848" s="53" t="s">
        <v>1653</v>
      </c>
      <c r="E848" s="52" t="s">
        <v>1654</v>
      </c>
      <c r="F848" s="53" t="s">
        <v>4324</v>
      </c>
      <c r="G848" s="52" t="s">
        <v>534</v>
      </c>
      <c r="H848" s="51" t="s">
        <v>4325</v>
      </c>
    </row>
    <row r="849" spans="1:8" x14ac:dyDescent="0.3">
      <c r="A849" s="51" t="s">
        <v>4326</v>
      </c>
      <c r="B849" s="51" t="s">
        <v>4327</v>
      </c>
      <c r="C849" s="52" t="s">
        <v>4328</v>
      </c>
      <c r="D849" s="53" t="s">
        <v>1653</v>
      </c>
      <c r="E849" s="52" t="s">
        <v>1654</v>
      </c>
      <c r="F849" s="53" t="s">
        <v>4329</v>
      </c>
      <c r="G849" s="52" t="s">
        <v>4328</v>
      </c>
      <c r="H849" s="51" t="s">
        <v>4330</v>
      </c>
    </row>
    <row r="850" spans="1:8" x14ac:dyDescent="0.3">
      <c r="A850" s="51" t="s">
        <v>4331</v>
      </c>
      <c r="B850" s="51" t="s">
        <v>4332</v>
      </c>
      <c r="C850" s="52" t="s">
        <v>4333</v>
      </c>
      <c r="D850" s="53" t="s">
        <v>166</v>
      </c>
      <c r="E850" s="52" t="s">
        <v>167</v>
      </c>
      <c r="F850" s="53" t="s">
        <v>4334</v>
      </c>
      <c r="G850" s="52" t="s">
        <v>4333</v>
      </c>
      <c r="H850" s="51" t="s">
        <v>4335</v>
      </c>
    </row>
    <row r="851" spans="1:8" x14ac:dyDescent="0.3">
      <c r="A851" s="51" t="s">
        <v>4336</v>
      </c>
      <c r="B851" s="51" t="s">
        <v>4337</v>
      </c>
      <c r="C851" s="52" t="s">
        <v>4338</v>
      </c>
      <c r="D851" s="53" t="s">
        <v>166</v>
      </c>
      <c r="E851" s="52" t="s">
        <v>167</v>
      </c>
      <c r="F851" s="53" t="s">
        <v>4339</v>
      </c>
      <c r="G851" s="52" t="s">
        <v>4338</v>
      </c>
      <c r="H851" s="51" t="s">
        <v>4340</v>
      </c>
    </row>
    <row r="852" spans="1:8" x14ac:dyDescent="0.3">
      <c r="A852" s="51" t="s">
        <v>4341</v>
      </c>
      <c r="B852" s="51" t="s">
        <v>4342</v>
      </c>
      <c r="C852" s="52" t="s">
        <v>3697</v>
      </c>
      <c r="D852" s="53" t="s">
        <v>220</v>
      </c>
      <c r="E852" s="52" t="s">
        <v>221</v>
      </c>
      <c r="F852" s="53" t="s">
        <v>4343</v>
      </c>
      <c r="G852" s="52" t="s">
        <v>3697</v>
      </c>
      <c r="H852" s="51" t="s">
        <v>4344</v>
      </c>
    </row>
    <row r="853" spans="1:8" x14ac:dyDescent="0.3">
      <c r="A853" s="51" t="s">
        <v>4345</v>
      </c>
      <c r="B853" s="51" t="s">
        <v>4346</v>
      </c>
      <c r="C853" s="52" t="s">
        <v>4347</v>
      </c>
      <c r="D853" s="53" t="s">
        <v>166</v>
      </c>
      <c r="E853" s="52" t="s">
        <v>167</v>
      </c>
      <c r="F853" s="53" t="s">
        <v>4348</v>
      </c>
      <c r="G853" s="52" t="s">
        <v>4347</v>
      </c>
      <c r="H853" s="51" t="s">
        <v>4349</v>
      </c>
    </row>
    <row r="854" spans="1:8" x14ac:dyDescent="0.3">
      <c r="A854" s="51" t="s">
        <v>4350</v>
      </c>
      <c r="B854" s="51" t="s">
        <v>4351</v>
      </c>
      <c r="C854" s="52" t="s">
        <v>4352</v>
      </c>
      <c r="D854" s="53" t="s">
        <v>879</v>
      </c>
      <c r="E854" s="52" t="s">
        <v>880</v>
      </c>
      <c r="F854" s="53" t="s">
        <v>4353</v>
      </c>
      <c r="G854" s="52" t="s">
        <v>4352</v>
      </c>
      <c r="H854" s="51" t="s">
        <v>4354</v>
      </c>
    </row>
    <row r="855" spans="1:8" x14ac:dyDescent="0.3">
      <c r="A855" s="51" t="s">
        <v>4355</v>
      </c>
      <c r="B855" s="51" t="s">
        <v>4356</v>
      </c>
      <c r="C855" s="52" t="s">
        <v>155</v>
      </c>
      <c r="D855" s="53" t="s">
        <v>879</v>
      </c>
      <c r="E855" s="52" t="s">
        <v>880</v>
      </c>
      <c r="F855" s="53" t="s">
        <v>4357</v>
      </c>
      <c r="G855" s="52" t="s">
        <v>155</v>
      </c>
      <c r="H855" s="51" t="s">
        <v>4358</v>
      </c>
    </row>
    <row r="856" spans="1:8" x14ac:dyDescent="0.3">
      <c r="A856" s="51" t="s">
        <v>4359</v>
      </c>
      <c r="B856" s="51" t="s">
        <v>4360</v>
      </c>
      <c r="C856" s="52" t="s">
        <v>4361</v>
      </c>
      <c r="D856" s="53" t="s">
        <v>321</v>
      </c>
      <c r="E856" s="52" t="s">
        <v>322</v>
      </c>
      <c r="F856" s="53" t="s">
        <v>4362</v>
      </c>
      <c r="G856" s="52" t="s">
        <v>4361</v>
      </c>
      <c r="H856" s="51" t="s">
        <v>4363</v>
      </c>
    </row>
    <row r="857" spans="1:8" x14ac:dyDescent="0.3">
      <c r="A857" s="51" t="s">
        <v>4364</v>
      </c>
      <c r="B857" s="51" t="s">
        <v>4365</v>
      </c>
      <c r="C857" s="52" t="s">
        <v>4366</v>
      </c>
      <c r="D857" s="53" t="s">
        <v>166</v>
      </c>
      <c r="E857" s="52" t="s">
        <v>167</v>
      </c>
      <c r="F857" s="53" t="s">
        <v>4367</v>
      </c>
      <c r="G857" s="52" t="s">
        <v>4366</v>
      </c>
      <c r="H857" s="51" t="s">
        <v>4368</v>
      </c>
    </row>
    <row r="858" spans="1:8" x14ac:dyDescent="0.3">
      <c r="A858" s="51" t="s">
        <v>4369</v>
      </c>
      <c r="B858" s="51" t="s">
        <v>4370</v>
      </c>
      <c r="C858" s="52" t="s">
        <v>4371</v>
      </c>
      <c r="D858" s="53" t="s">
        <v>166</v>
      </c>
      <c r="E858" s="52" t="s">
        <v>167</v>
      </c>
      <c r="F858" s="53" t="s">
        <v>4372</v>
      </c>
      <c r="G858" s="52" t="s">
        <v>4371</v>
      </c>
      <c r="H858" s="51" t="s">
        <v>4373</v>
      </c>
    </row>
    <row r="859" spans="1:8" x14ac:dyDescent="0.3">
      <c r="A859" s="51" t="s">
        <v>4374</v>
      </c>
      <c r="B859" s="51" t="s">
        <v>4375</v>
      </c>
      <c r="C859" s="52" t="s">
        <v>4376</v>
      </c>
      <c r="D859" s="53" t="s">
        <v>213</v>
      </c>
      <c r="E859" s="52" t="s">
        <v>214</v>
      </c>
      <c r="F859" s="53" t="s">
        <v>4377</v>
      </c>
      <c r="G859" s="52" t="s">
        <v>4376</v>
      </c>
      <c r="H859" s="51" t="s">
        <v>4378</v>
      </c>
    </row>
    <row r="860" spans="1:8" x14ac:dyDescent="0.3">
      <c r="A860" s="51" t="s">
        <v>4379</v>
      </c>
      <c r="B860" s="51" t="s">
        <v>4380</v>
      </c>
      <c r="C860" s="52" t="s">
        <v>4381</v>
      </c>
      <c r="D860" s="53" t="s">
        <v>321</v>
      </c>
      <c r="E860" s="52" t="s">
        <v>322</v>
      </c>
      <c r="F860" s="53" t="s">
        <v>4382</v>
      </c>
      <c r="G860" s="52" t="s">
        <v>4381</v>
      </c>
      <c r="H860" s="51" t="s">
        <v>4383</v>
      </c>
    </row>
    <row r="861" spans="1:8" x14ac:dyDescent="0.3">
      <c r="A861" s="51" t="s">
        <v>4384</v>
      </c>
      <c r="B861" s="51" t="s">
        <v>4385</v>
      </c>
      <c r="C861" s="52" t="s">
        <v>4386</v>
      </c>
      <c r="D861" s="53" t="s">
        <v>1532</v>
      </c>
      <c r="E861" s="52" t="s">
        <v>1533</v>
      </c>
      <c r="F861" s="53" t="s">
        <v>4387</v>
      </c>
      <c r="G861" s="52" t="s">
        <v>4386</v>
      </c>
      <c r="H861" s="51" t="s">
        <v>4388</v>
      </c>
    </row>
    <row r="862" spans="1:8" x14ac:dyDescent="0.3">
      <c r="A862" s="51" t="s">
        <v>4389</v>
      </c>
      <c r="B862" s="51" t="s">
        <v>4390</v>
      </c>
      <c r="C862" s="52" t="s">
        <v>4391</v>
      </c>
      <c r="D862" s="53" t="s">
        <v>1685</v>
      </c>
      <c r="E862" s="52" t="s">
        <v>1686</v>
      </c>
      <c r="F862" s="53" t="s">
        <v>4392</v>
      </c>
      <c r="G862" s="52" t="s">
        <v>4391</v>
      </c>
      <c r="H862" s="51" t="s">
        <v>4393</v>
      </c>
    </row>
    <row r="863" spans="1:8" x14ac:dyDescent="0.3">
      <c r="A863" s="51" t="s">
        <v>4394</v>
      </c>
      <c r="B863" s="51" t="s">
        <v>4395</v>
      </c>
      <c r="C863" s="52" t="s">
        <v>4396</v>
      </c>
      <c r="D863" s="53" t="s">
        <v>879</v>
      </c>
      <c r="E863" s="52" t="s">
        <v>880</v>
      </c>
      <c r="F863" s="53" t="s">
        <v>4397</v>
      </c>
      <c r="G863" s="52" t="s">
        <v>4396</v>
      </c>
      <c r="H863" s="51" t="s">
        <v>4398</v>
      </c>
    </row>
    <row r="864" spans="1:8" x14ac:dyDescent="0.3">
      <c r="A864" s="51" t="s">
        <v>4399</v>
      </c>
      <c r="B864" s="51" t="s">
        <v>4400</v>
      </c>
      <c r="C864" s="52" t="s">
        <v>4401</v>
      </c>
      <c r="D864" s="53" t="s">
        <v>166</v>
      </c>
      <c r="E864" s="52" t="s">
        <v>167</v>
      </c>
      <c r="F864" s="53" t="s">
        <v>4402</v>
      </c>
      <c r="G864" s="52" t="s">
        <v>4401</v>
      </c>
      <c r="H864" s="51" t="s">
        <v>4403</v>
      </c>
    </row>
    <row r="865" spans="1:8" x14ac:dyDescent="0.3">
      <c r="A865" s="51" t="s">
        <v>4404</v>
      </c>
      <c r="B865" s="51" t="s">
        <v>4405</v>
      </c>
      <c r="C865" s="52" t="s">
        <v>4406</v>
      </c>
      <c r="D865" s="53" t="s">
        <v>321</v>
      </c>
      <c r="E865" s="52" t="s">
        <v>322</v>
      </c>
      <c r="F865" s="53" t="s">
        <v>4407</v>
      </c>
      <c r="G865" s="52" t="s">
        <v>4406</v>
      </c>
      <c r="H865" s="51" t="s">
        <v>4408</v>
      </c>
    </row>
    <row r="866" spans="1:8" x14ac:dyDescent="0.3">
      <c r="A866" s="51" t="s">
        <v>4409</v>
      </c>
      <c r="B866" s="51" t="s">
        <v>4410</v>
      </c>
      <c r="C866" s="52" t="s">
        <v>4411</v>
      </c>
      <c r="D866" s="53" t="s">
        <v>321</v>
      </c>
      <c r="E866" s="52" t="s">
        <v>322</v>
      </c>
      <c r="F866" s="53" t="s">
        <v>4412</v>
      </c>
      <c r="G866" s="52" t="s">
        <v>4411</v>
      </c>
      <c r="H866" s="51" t="s">
        <v>4413</v>
      </c>
    </row>
    <row r="867" spans="1:8" x14ac:dyDescent="0.3">
      <c r="A867" s="51" t="s">
        <v>4414</v>
      </c>
      <c r="B867" s="51" t="s">
        <v>4415</v>
      </c>
      <c r="C867" s="52" t="s">
        <v>4416</v>
      </c>
      <c r="D867" s="53" t="s">
        <v>321</v>
      </c>
      <c r="E867" s="52" t="s">
        <v>322</v>
      </c>
      <c r="F867" s="53" t="s">
        <v>4417</v>
      </c>
      <c r="G867" s="52" t="s">
        <v>4416</v>
      </c>
      <c r="H867" s="51" t="s">
        <v>4418</v>
      </c>
    </row>
    <row r="868" spans="1:8" x14ac:dyDescent="0.3">
      <c r="A868" s="51" t="s">
        <v>4419</v>
      </c>
      <c r="B868" s="51" t="s">
        <v>4420</v>
      </c>
      <c r="C868" s="52" t="s">
        <v>4421</v>
      </c>
      <c r="D868" s="53" t="s">
        <v>166</v>
      </c>
      <c r="E868" s="52" t="s">
        <v>167</v>
      </c>
      <c r="F868" s="53" t="s">
        <v>4422</v>
      </c>
      <c r="G868" s="52" t="s">
        <v>4421</v>
      </c>
      <c r="H868" s="51" t="s">
        <v>4423</v>
      </c>
    </row>
    <row r="869" spans="1:8" x14ac:dyDescent="0.3">
      <c r="A869" s="51" t="s">
        <v>4424</v>
      </c>
      <c r="B869" s="51" t="s">
        <v>4425</v>
      </c>
      <c r="C869" s="52" t="s">
        <v>4426</v>
      </c>
      <c r="D869" s="53" t="s">
        <v>523</v>
      </c>
      <c r="E869" s="52" t="s">
        <v>524</v>
      </c>
      <c r="F869" s="53" t="s">
        <v>4427</v>
      </c>
      <c r="G869" s="52" t="s">
        <v>4426</v>
      </c>
      <c r="H869" s="51" t="s">
        <v>4428</v>
      </c>
    </row>
    <row r="870" spans="1:8" x14ac:dyDescent="0.3">
      <c r="A870" s="51" t="s">
        <v>4429</v>
      </c>
      <c r="B870" s="51" t="s">
        <v>4430</v>
      </c>
      <c r="C870" s="52" t="s">
        <v>4431</v>
      </c>
      <c r="D870" s="53" t="s">
        <v>166</v>
      </c>
      <c r="E870" s="52" t="s">
        <v>167</v>
      </c>
      <c r="F870" s="53" t="s">
        <v>4432</v>
      </c>
      <c r="G870" s="52" t="s">
        <v>4431</v>
      </c>
      <c r="H870" s="51" t="s">
        <v>4433</v>
      </c>
    </row>
    <row r="871" spans="1:8" x14ac:dyDescent="0.3">
      <c r="A871" s="51" t="s">
        <v>4434</v>
      </c>
      <c r="B871" s="51" t="s">
        <v>4435</v>
      </c>
      <c r="C871" s="52" t="s">
        <v>4436</v>
      </c>
      <c r="D871" s="53" t="s">
        <v>879</v>
      </c>
      <c r="E871" s="52" t="s">
        <v>880</v>
      </c>
      <c r="F871" s="53" t="s">
        <v>4437</v>
      </c>
      <c r="G871" s="52" t="s">
        <v>4436</v>
      </c>
      <c r="H871" s="51" t="s">
        <v>4438</v>
      </c>
    </row>
    <row r="872" spans="1:8" x14ac:dyDescent="0.3">
      <c r="A872" s="51" t="s">
        <v>4439</v>
      </c>
      <c r="B872" s="51" t="s">
        <v>4440</v>
      </c>
      <c r="C872" s="52" t="s">
        <v>4441</v>
      </c>
      <c r="D872" s="53" t="s">
        <v>166</v>
      </c>
      <c r="E872" s="52" t="s">
        <v>167</v>
      </c>
      <c r="F872" s="53" t="s">
        <v>4442</v>
      </c>
      <c r="G872" s="52" t="s">
        <v>4441</v>
      </c>
      <c r="H872" s="51" t="s">
        <v>4443</v>
      </c>
    </row>
    <row r="873" spans="1:8" x14ac:dyDescent="0.3">
      <c r="A873" s="51" t="s">
        <v>4444</v>
      </c>
      <c r="B873" s="51" t="s">
        <v>4445</v>
      </c>
      <c r="C873" s="52" t="s">
        <v>4446</v>
      </c>
      <c r="D873" s="53" t="s">
        <v>166</v>
      </c>
      <c r="E873" s="52" t="s">
        <v>167</v>
      </c>
      <c r="F873" s="53" t="s">
        <v>4447</v>
      </c>
      <c r="G873" s="52" t="s">
        <v>4446</v>
      </c>
      <c r="H873" s="51" t="s">
        <v>4448</v>
      </c>
    </row>
    <row r="874" spans="1:8" x14ac:dyDescent="0.3">
      <c r="A874" s="51" t="s">
        <v>4449</v>
      </c>
      <c r="B874" s="51" t="s">
        <v>4450</v>
      </c>
      <c r="C874" s="52" t="s">
        <v>4451</v>
      </c>
      <c r="D874" s="53" t="s">
        <v>242</v>
      </c>
      <c r="E874" s="52" t="s">
        <v>243</v>
      </c>
      <c r="F874" s="53" t="s">
        <v>4452</v>
      </c>
      <c r="G874" s="52" t="s">
        <v>4451</v>
      </c>
      <c r="H874" s="51" t="s">
        <v>4453</v>
      </c>
    </row>
    <row r="875" spans="1:8" x14ac:dyDescent="0.3">
      <c r="A875" s="51" t="s">
        <v>4454</v>
      </c>
      <c r="B875" s="51" t="s">
        <v>4455</v>
      </c>
      <c r="C875" s="52" t="s">
        <v>4456</v>
      </c>
      <c r="D875" s="53" t="s">
        <v>166</v>
      </c>
      <c r="E875" s="52" t="s">
        <v>167</v>
      </c>
      <c r="F875" s="53" t="s">
        <v>4457</v>
      </c>
      <c r="G875" s="52" t="s">
        <v>4456</v>
      </c>
      <c r="H875" s="51" t="s">
        <v>4458</v>
      </c>
    </row>
    <row r="876" spans="1:8" x14ac:dyDescent="0.3">
      <c r="A876" s="51" t="s">
        <v>4459</v>
      </c>
      <c r="B876" s="51" t="s">
        <v>4460</v>
      </c>
      <c r="C876" s="52" t="s">
        <v>4461</v>
      </c>
      <c r="D876" s="53" t="s">
        <v>166</v>
      </c>
      <c r="E876" s="52" t="s">
        <v>167</v>
      </c>
      <c r="F876" s="53" t="s">
        <v>4462</v>
      </c>
      <c r="G876" s="52" t="s">
        <v>4461</v>
      </c>
      <c r="H876" s="51" t="s">
        <v>4463</v>
      </c>
    </row>
    <row r="877" spans="1:8" x14ac:dyDescent="0.3">
      <c r="A877" s="51" t="s">
        <v>4464</v>
      </c>
      <c r="B877" s="51" t="s">
        <v>4465</v>
      </c>
      <c r="C877" s="52" t="s">
        <v>4466</v>
      </c>
      <c r="D877" s="53" t="s">
        <v>166</v>
      </c>
      <c r="E877" s="52" t="s">
        <v>167</v>
      </c>
      <c r="F877" s="53" t="s">
        <v>4467</v>
      </c>
      <c r="G877" s="52" t="s">
        <v>4466</v>
      </c>
      <c r="H877" s="51" t="s">
        <v>4468</v>
      </c>
    </row>
    <row r="878" spans="1:8" x14ac:dyDescent="0.3">
      <c r="A878" s="51" t="s">
        <v>4469</v>
      </c>
      <c r="B878" s="51" t="s">
        <v>4470</v>
      </c>
      <c r="C878" s="52" t="s">
        <v>4471</v>
      </c>
      <c r="D878" s="53" t="s">
        <v>523</v>
      </c>
      <c r="E878" s="52" t="s">
        <v>524</v>
      </c>
      <c r="F878" s="53" t="s">
        <v>4472</v>
      </c>
      <c r="G878" s="52" t="s">
        <v>4471</v>
      </c>
      <c r="H878" s="51" t="s">
        <v>4473</v>
      </c>
    </row>
    <row r="879" spans="1:8" x14ac:dyDescent="0.3">
      <c r="A879" s="51" t="s">
        <v>4474</v>
      </c>
      <c r="B879" s="51" t="s">
        <v>4475</v>
      </c>
      <c r="C879" s="52" t="s">
        <v>4476</v>
      </c>
      <c r="D879" s="53" t="s">
        <v>879</v>
      </c>
      <c r="E879" s="52" t="s">
        <v>880</v>
      </c>
      <c r="F879" s="53" t="s">
        <v>4477</v>
      </c>
      <c r="G879" s="52" t="s">
        <v>4476</v>
      </c>
      <c r="H879" s="51" t="s">
        <v>4478</v>
      </c>
    </row>
    <row r="880" spans="1:8" x14ac:dyDescent="0.3">
      <c r="A880" s="51" t="s">
        <v>4479</v>
      </c>
      <c r="B880" s="51" t="s">
        <v>4480</v>
      </c>
      <c r="C880" s="52" t="s">
        <v>3735</v>
      </c>
      <c r="D880" s="53" t="s">
        <v>166</v>
      </c>
      <c r="E880" s="52" t="s">
        <v>167</v>
      </c>
      <c r="F880" s="53" t="s">
        <v>4481</v>
      </c>
      <c r="G880" s="52" t="s">
        <v>3735</v>
      </c>
      <c r="H880" s="51" t="s">
        <v>4482</v>
      </c>
    </row>
    <row r="881" spans="1:8" x14ac:dyDescent="0.3">
      <c r="A881" s="51" t="s">
        <v>4483</v>
      </c>
      <c r="B881" s="51" t="s">
        <v>4484</v>
      </c>
      <c r="C881" s="52" t="s">
        <v>4485</v>
      </c>
      <c r="D881" s="53" t="s">
        <v>220</v>
      </c>
      <c r="E881" s="52" t="s">
        <v>221</v>
      </c>
      <c r="F881" s="53" t="s">
        <v>4486</v>
      </c>
      <c r="G881" s="52" t="s">
        <v>4485</v>
      </c>
      <c r="H881" s="51" t="s">
        <v>4487</v>
      </c>
    </row>
    <row r="882" spans="1:8" x14ac:dyDescent="0.3">
      <c r="A882" s="51" t="s">
        <v>4488</v>
      </c>
      <c r="B882" s="51" t="s">
        <v>4489</v>
      </c>
      <c r="C882" s="52" t="s">
        <v>4490</v>
      </c>
      <c r="D882" s="53" t="s">
        <v>166</v>
      </c>
      <c r="E882" s="52" t="s">
        <v>167</v>
      </c>
      <c r="F882" s="53" t="s">
        <v>4491</v>
      </c>
      <c r="G882" s="52" t="s">
        <v>4490</v>
      </c>
      <c r="H882" s="51" t="s">
        <v>4492</v>
      </c>
    </row>
    <row r="883" spans="1:8" x14ac:dyDescent="0.3">
      <c r="A883" s="51" t="s">
        <v>4493</v>
      </c>
      <c r="B883" s="51" t="s">
        <v>4494</v>
      </c>
      <c r="C883" s="52" t="s">
        <v>4495</v>
      </c>
      <c r="D883" s="53" t="s">
        <v>321</v>
      </c>
      <c r="E883" s="52" t="s">
        <v>322</v>
      </c>
      <c r="F883" s="53" t="s">
        <v>4496</v>
      </c>
      <c r="G883" s="52" t="s">
        <v>4495</v>
      </c>
      <c r="H883" s="51" t="s">
        <v>4497</v>
      </c>
    </row>
    <row r="884" spans="1:8" x14ac:dyDescent="0.3">
      <c r="A884" s="51" t="s">
        <v>4498</v>
      </c>
      <c r="B884" s="51" t="s">
        <v>4499</v>
      </c>
      <c r="C884" s="52" t="s">
        <v>4500</v>
      </c>
      <c r="D884" s="53" t="s">
        <v>166</v>
      </c>
      <c r="E884" s="52" t="s">
        <v>167</v>
      </c>
      <c r="F884" s="53" t="s">
        <v>4501</v>
      </c>
      <c r="G884" s="52" t="s">
        <v>4500</v>
      </c>
      <c r="H884" s="51" t="s">
        <v>4502</v>
      </c>
    </row>
    <row r="885" spans="1:8" x14ac:dyDescent="0.3">
      <c r="A885" s="51" t="s">
        <v>4503</v>
      </c>
      <c r="B885" s="51" t="s">
        <v>4504</v>
      </c>
      <c r="C885" s="52" t="s">
        <v>4505</v>
      </c>
      <c r="D885" s="53" t="s">
        <v>1653</v>
      </c>
      <c r="E885" s="52" t="s">
        <v>1654</v>
      </c>
      <c r="F885" s="53" t="s">
        <v>4506</v>
      </c>
      <c r="G885" s="52" t="s">
        <v>4505</v>
      </c>
      <c r="H885" s="51" t="s">
        <v>4507</v>
      </c>
    </row>
    <row r="886" spans="1:8" x14ac:dyDescent="0.3">
      <c r="A886" s="51" t="s">
        <v>4508</v>
      </c>
      <c r="B886" s="51" t="s">
        <v>4509</v>
      </c>
      <c r="C886" s="52" t="s">
        <v>4510</v>
      </c>
      <c r="D886" s="53" t="s">
        <v>166</v>
      </c>
      <c r="E886" s="52" t="s">
        <v>167</v>
      </c>
      <c r="F886" s="53" t="s">
        <v>4511</v>
      </c>
      <c r="G886" s="52" t="s">
        <v>4510</v>
      </c>
      <c r="H886" s="51" t="s">
        <v>4512</v>
      </c>
    </row>
    <row r="887" spans="1:8" x14ac:dyDescent="0.3">
      <c r="A887" s="51" t="s">
        <v>4513</v>
      </c>
      <c r="B887" s="51" t="s">
        <v>4514</v>
      </c>
      <c r="C887" s="52" t="s">
        <v>4515</v>
      </c>
      <c r="D887" s="53" t="s">
        <v>321</v>
      </c>
      <c r="E887" s="52" t="s">
        <v>322</v>
      </c>
      <c r="F887" s="53" t="s">
        <v>4516</v>
      </c>
      <c r="G887" s="52" t="s">
        <v>4515</v>
      </c>
      <c r="H887" s="51" t="s">
        <v>4517</v>
      </c>
    </row>
    <row r="888" spans="1:8" x14ac:dyDescent="0.3">
      <c r="A888" s="51" t="s">
        <v>4518</v>
      </c>
      <c r="B888" s="51" t="s">
        <v>4519</v>
      </c>
      <c r="C888" s="52" t="s">
        <v>4520</v>
      </c>
      <c r="D888" s="53" t="s">
        <v>523</v>
      </c>
      <c r="E888" s="52" t="s">
        <v>524</v>
      </c>
      <c r="F888" s="53" t="s">
        <v>4521</v>
      </c>
      <c r="G888" s="52" t="s">
        <v>4520</v>
      </c>
      <c r="H888" s="51" t="s">
        <v>4522</v>
      </c>
    </row>
    <row r="889" spans="1:8" x14ac:dyDescent="0.3">
      <c r="A889" s="51" t="s">
        <v>4523</v>
      </c>
      <c r="B889" s="51" t="s">
        <v>4524</v>
      </c>
      <c r="C889" s="52" t="s">
        <v>4525</v>
      </c>
      <c r="D889" s="53" t="s">
        <v>166</v>
      </c>
      <c r="E889" s="52" t="s">
        <v>167</v>
      </c>
      <c r="F889" s="53" t="s">
        <v>4526</v>
      </c>
      <c r="G889" s="52" t="s">
        <v>4525</v>
      </c>
      <c r="H889" s="51" t="s">
        <v>4527</v>
      </c>
    </row>
    <row r="890" spans="1:8" x14ac:dyDescent="0.3">
      <c r="A890" s="51" t="s">
        <v>4528</v>
      </c>
      <c r="B890" s="51" t="s">
        <v>4529</v>
      </c>
      <c r="C890" s="52" t="s">
        <v>4530</v>
      </c>
      <c r="D890" s="53" t="s">
        <v>166</v>
      </c>
      <c r="E890" s="52" t="s">
        <v>167</v>
      </c>
      <c r="F890" s="53" t="s">
        <v>4531</v>
      </c>
      <c r="G890" s="52" t="s">
        <v>4530</v>
      </c>
      <c r="H890" s="51" t="s">
        <v>4532</v>
      </c>
    </row>
    <row r="891" spans="1:8" x14ac:dyDescent="0.3">
      <c r="A891" s="51" t="s">
        <v>4533</v>
      </c>
      <c r="B891" s="51" t="s">
        <v>4534</v>
      </c>
      <c r="C891" s="52" t="s">
        <v>4535</v>
      </c>
      <c r="D891" s="53" t="s">
        <v>166</v>
      </c>
      <c r="E891" s="52" t="s">
        <v>167</v>
      </c>
      <c r="F891" s="53" t="s">
        <v>4536</v>
      </c>
      <c r="G891" s="52" t="s">
        <v>4535</v>
      </c>
      <c r="H891" s="51" t="s">
        <v>4537</v>
      </c>
    </row>
    <row r="892" spans="1:8" x14ac:dyDescent="0.3">
      <c r="A892" s="51" t="s">
        <v>4538</v>
      </c>
      <c r="B892" s="51" t="s">
        <v>4539</v>
      </c>
      <c r="C892" s="52" t="s">
        <v>4540</v>
      </c>
      <c r="D892" s="53" t="s">
        <v>166</v>
      </c>
      <c r="E892" s="52" t="s">
        <v>167</v>
      </c>
      <c r="F892" s="53" t="s">
        <v>4541</v>
      </c>
      <c r="G892" s="52" t="s">
        <v>4540</v>
      </c>
      <c r="H892" s="51" t="s">
        <v>4542</v>
      </c>
    </row>
    <row r="893" spans="1:8" x14ac:dyDescent="0.3">
      <c r="A893" s="51" t="s">
        <v>4543</v>
      </c>
      <c r="B893" s="51" t="s">
        <v>4544</v>
      </c>
      <c r="C893" s="52" t="s">
        <v>4545</v>
      </c>
      <c r="D893" s="53" t="s">
        <v>523</v>
      </c>
      <c r="E893" s="52" t="s">
        <v>524</v>
      </c>
      <c r="F893" s="53" t="s">
        <v>4546</v>
      </c>
      <c r="G893" s="52" t="s">
        <v>4545</v>
      </c>
      <c r="H893" s="51" t="s">
        <v>4547</v>
      </c>
    </row>
    <row r="894" spans="1:8" x14ac:dyDescent="0.3">
      <c r="A894" s="51" t="s">
        <v>4548</v>
      </c>
      <c r="B894" s="51" t="s">
        <v>4549</v>
      </c>
      <c r="C894" s="52" t="s">
        <v>4550</v>
      </c>
      <c r="D894" s="53" t="s">
        <v>166</v>
      </c>
      <c r="E894" s="52" t="s">
        <v>167</v>
      </c>
      <c r="F894" s="53" t="s">
        <v>4551</v>
      </c>
      <c r="G894" s="52" t="s">
        <v>4550</v>
      </c>
      <c r="H894" s="51" t="s">
        <v>4552</v>
      </c>
    </row>
    <row r="895" spans="1:8" x14ac:dyDescent="0.3">
      <c r="A895" s="51" t="s">
        <v>4553</v>
      </c>
      <c r="B895" s="51" t="s">
        <v>4554</v>
      </c>
      <c r="C895" s="52" t="s">
        <v>4555</v>
      </c>
      <c r="D895" s="53" t="s">
        <v>166</v>
      </c>
      <c r="E895" s="52" t="s">
        <v>167</v>
      </c>
      <c r="F895" s="53" t="s">
        <v>4556</v>
      </c>
      <c r="G895" s="52" t="s">
        <v>4555</v>
      </c>
      <c r="H895" s="51" t="s">
        <v>4557</v>
      </c>
    </row>
    <row r="896" spans="1:8" x14ac:dyDescent="0.3">
      <c r="A896" s="51" t="s">
        <v>4558</v>
      </c>
      <c r="B896" s="51" t="s">
        <v>4559</v>
      </c>
      <c r="C896" s="52" t="s">
        <v>4560</v>
      </c>
      <c r="D896" s="53" t="s">
        <v>166</v>
      </c>
      <c r="E896" s="52" t="s">
        <v>167</v>
      </c>
      <c r="F896" s="53" t="s">
        <v>4561</v>
      </c>
      <c r="G896" s="52" t="s">
        <v>4560</v>
      </c>
      <c r="H896" s="51" t="s">
        <v>4562</v>
      </c>
    </row>
    <row r="897" spans="1:8" x14ac:dyDescent="0.3">
      <c r="A897" s="51" t="s">
        <v>4563</v>
      </c>
      <c r="B897" s="51" t="s">
        <v>4564</v>
      </c>
      <c r="C897" s="52" t="s">
        <v>4565</v>
      </c>
      <c r="D897" s="53" t="s">
        <v>166</v>
      </c>
      <c r="E897" s="52" t="s">
        <v>167</v>
      </c>
      <c r="F897" s="53" t="s">
        <v>4566</v>
      </c>
      <c r="G897" s="52" t="s">
        <v>4565</v>
      </c>
      <c r="H897" s="51" t="s">
        <v>4567</v>
      </c>
    </row>
    <row r="898" spans="1:8" x14ac:dyDescent="0.3">
      <c r="A898" s="51" t="s">
        <v>4568</v>
      </c>
      <c r="B898" s="51" t="s">
        <v>4569</v>
      </c>
      <c r="C898" s="52" t="s">
        <v>4570</v>
      </c>
      <c r="D898" s="53" t="s">
        <v>879</v>
      </c>
      <c r="E898" s="52" t="s">
        <v>880</v>
      </c>
      <c r="F898" s="53" t="s">
        <v>4571</v>
      </c>
      <c r="G898" s="52" t="s">
        <v>4570</v>
      </c>
      <c r="H898" s="51" t="s">
        <v>4572</v>
      </c>
    </row>
    <row r="899" spans="1:8" x14ac:dyDescent="0.3">
      <c r="A899" s="51" t="s">
        <v>4573</v>
      </c>
      <c r="B899" s="51" t="s">
        <v>4574</v>
      </c>
      <c r="C899" s="52" t="s">
        <v>4575</v>
      </c>
      <c r="D899" s="53" t="s">
        <v>321</v>
      </c>
      <c r="E899" s="52" t="s">
        <v>322</v>
      </c>
      <c r="F899" s="53" t="s">
        <v>4576</v>
      </c>
      <c r="G899" s="52" t="s">
        <v>4575</v>
      </c>
      <c r="H899" s="51" t="s">
        <v>4577</v>
      </c>
    </row>
    <row r="900" spans="1:8" x14ac:dyDescent="0.3">
      <c r="A900" s="51" t="s">
        <v>4578</v>
      </c>
      <c r="B900" s="51" t="s">
        <v>4579</v>
      </c>
      <c r="C900" s="52" t="s">
        <v>4580</v>
      </c>
      <c r="D900" s="53" t="s">
        <v>166</v>
      </c>
      <c r="E900" s="52" t="s">
        <v>167</v>
      </c>
      <c r="F900" s="53" t="s">
        <v>4581</v>
      </c>
      <c r="G900" s="52" t="s">
        <v>4580</v>
      </c>
      <c r="H900" s="51" t="s">
        <v>4582</v>
      </c>
    </row>
    <row r="901" spans="1:8" x14ac:dyDescent="0.3">
      <c r="A901" s="51" t="s">
        <v>4583</v>
      </c>
      <c r="B901" s="51" t="s">
        <v>4584</v>
      </c>
      <c r="C901" s="52" t="s">
        <v>4585</v>
      </c>
      <c r="D901" s="53" t="s">
        <v>523</v>
      </c>
      <c r="E901" s="52" t="s">
        <v>524</v>
      </c>
      <c r="F901" s="53" t="s">
        <v>4586</v>
      </c>
      <c r="G901" s="52" t="s">
        <v>4585</v>
      </c>
      <c r="H901" s="51" t="s">
        <v>4587</v>
      </c>
    </row>
    <row r="902" spans="1:8" x14ac:dyDescent="0.3">
      <c r="A902" s="51" t="s">
        <v>4588</v>
      </c>
      <c r="B902" s="51" t="s">
        <v>4589</v>
      </c>
      <c r="C902" s="52" t="s">
        <v>4590</v>
      </c>
      <c r="D902" s="53" t="s">
        <v>242</v>
      </c>
      <c r="E902" s="52" t="s">
        <v>243</v>
      </c>
      <c r="F902" s="53" t="s">
        <v>4591</v>
      </c>
      <c r="G902" s="52" t="s">
        <v>4590</v>
      </c>
      <c r="H902" s="51" t="s">
        <v>4592</v>
      </c>
    </row>
    <row r="903" spans="1:8" x14ac:dyDescent="0.3">
      <c r="A903" s="51" t="s">
        <v>4593</v>
      </c>
      <c r="B903" s="51" t="s">
        <v>4594</v>
      </c>
      <c r="C903" s="52" t="s">
        <v>4595</v>
      </c>
      <c r="D903" s="53" t="s">
        <v>879</v>
      </c>
      <c r="E903" s="52" t="s">
        <v>880</v>
      </c>
      <c r="F903" s="53" t="s">
        <v>4596</v>
      </c>
      <c r="G903" s="52" t="s">
        <v>4595</v>
      </c>
      <c r="H903" s="51" t="s">
        <v>4597</v>
      </c>
    </row>
    <row r="904" spans="1:8" x14ac:dyDescent="0.3">
      <c r="A904" s="51" t="s">
        <v>4598</v>
      </c>
      <c r="B904" s="51" t="s">
        <v>4599</v>
      </c>
      <c r="C904" s="52" t="s">
        <v>4600</v>
      </c>
      <c r="D904" s="53" t="s">
        <v>220</v>
      </c>
      <c r="E904" s="52" t="s">
        <v>221</v>
      </c>
      <c r="F904" s="53" t="s">
        <v>4601</v>
      </c>
      <c r="G904" s="52" t="s">
        <v>4600</v>
      </c>
      <c r="H904" s="51" t="s">
        <v>4602</v>
      </c>
    </row>
    <row r="905" spans="1:8" x14ac:dyDescent="0.3">
      <c r="A905" s="51" t="s">
        <v>4603</v>
      </c>
      <c r="B905" s="51" t="s">
        <v>4604</v>
      </c>
      <c r="C905" s="52" t="s">
        <v>4605</v>
      </c>
      <c r="D905" s="53" t="s">
        <v>213</v>
      </c>
      <c r="E905" s="52" t="s">
        <v>214</v>
      </c>
      <c r="F905" s="53" t="s">
        <v>4606</v>
      </c>
      <c r="G905" s="52" t="s">
        <v>4605</v>
      </c>
      <c r="H905" s="51" t="s">
        <v>4607</v>
      </c>
    </row>
    <row r="906" spans="1:8" x14ac:dyDescent="0.3">
      <c r="A906" s="51" t="s">
        <v>4608</v>
      </c>
      <c r="B906" s="51" t="s">
        <v>4609</v>
      </c>
      <c r="C906" s="52" t="s">
        <v>4610</v>
      </c>
      <c r="D906" s="53" t="s">
        <v>242</v>
      </c>
      <c r="E906" s="52" t="s">
        <v>243</v>
      </c>
      <c r="F906" s="53" t="s">
        <v>4611</v>
      </c>
      <c r="G906" s="52" t="s">
        <v>4610</v>
      </c>
      <c r="H906" s="51" t="s">
        <v>4612</v>
      </c>
    </row>
    <row r="907" spans="1:8" x14ac:dyDescent="0.3">
      <c r="A907" s="51" t="s">
        <v>4613</v>
      </c>
      <c r="B907" s="51" t="s">
        <v>4614</v>
      </c>
      <c r="C907" s="52" t="s">
        <v>1021</v>
      </c>
      <c r="D907" s="53" t="s">
        <v>321</v>
      </c>
      <c r="E907" s="52" t="s">
        <v>322</v>
      </c>
      <c r="F907" s="53" t="s">
        <v>4615</v>
      </c>
      <c r="G907" s="52" t="s">
        <v>1021</v>
      </c>
      <c r="H907" s="51" t="s">
        <v>4616</v>
      </c>
    </row>
    <row r="908" spans="1:8" x14ac:dyDescent="0.3">
      <c r="A908" s="51" t="s">
        <v>4617</v>
      </c>
      <c r="B908" s="51" t="s">
        <v>4618</v>
      </c>
      <c r="C908" s="52" t="s">
        <v>4619</v>
      </c>
      <c r="D908" s="53" t="s">
        <v>166</v>
      </c>
      <c r="E908" s="52" t="s">
        <v>167</v>
      </c>
      <c r="F908" s="53" t="s">
        <v>4620</v>
      </c>
      <c r="G908" s="52" t="s">
        <v>4619</v>
      </c>
      <c r="H908" s="51" t="s">
        <v>4621</v>
      </c>
    </row>
    <row r="909" spans="1:8" x14ac:dyDescent="0.3">
      <c r="A909" s="51" t="s">
        <v>4622</v>
      </c>
      <c r="B909" s="51" t="s">
        <v>4623</v>
      </c>
      <c r="C909" s="52" t="s">
        <v>2857</v>
      </c>
      <c r="D909" s="53" t="s">
        <v>321</v>
      </c>
      <c r="E909" s="52" t="s">
        <v>322</v>
      </c>
      <c r="F909" s="53" t="s">
        <v>4624</v>
      </c>
      <c r="G909" s="52" t="s">
        <v>2857</v>
      </c>
      <c r="H909" s="51" t="s">
        <v>4625</v>
      </c>
    </row>
    <row r="910" spans="1:8" x14ac:dyDescent="0.3">
      <c r="A910" s="51" t="s">
        <v>4626</v>
      </c>
      <c r="B910" s="51" t="s">
        <v>4627</v>
      </c>
      <c r="C910" s="52" t="s">
        <v>4628</v>
      </c>
      <c r="D910" s="53" t="s">
        <v>213</v>
      </c>
      <c r="E910" s="52" t="s">
        <v>214</v>
      </c>
      <c r="F910" s="53" t="s">
        <v>4629</v>
      </c>
      <c r="G910" s="52" t="s">
        <v>4628</v>
      </c>
      <c r="H910" s="51" t="s">
        <v>4630</v>
      </c>
    </row>
    <row r="911" spans="1:8" x14ac:dyDescent="0.3">
      <c r="A911" s="51" t="s">
        <v>4631</v>
      </c>
      <c r="B911" s="51" t="s">
        <v>4632</v>
      </c>
      <c r="C911" s="52" t="s">
        <v>1339</v>
      </c>
      <c r="D911" s="53" t="s">
        <v>166</v>
      </c>
      <c r="E911" s="52" t="s">
        <v>167</v>
      </c>
      <c r="F911" s="53" t="s">
        <v>4633</v>
      </c>
      <c r="G911" s="52" t="s">
        <v>1339</v>
      </c>
      <c r="H911" s="51" t="s">
        <v>4634</v>
      </c>
    </row>
    <row r="912" spans="1:8" x14ac:dyDescent="0.3">
      <c r="A912" s="51" t="s">
        <v>4635</v>
      </c>
      <c r="B912" s="51" t="s">
        <v>4636</v>
      </c>
      <c r="C912" s="52" t="s">
        <v>1156</v>
      </c>
      <c r="D912" s="53" t="s">
        <v>166</v>
      </c>
      <c r="E912" s="52" t="s">
        <v>167</v>
      </c>
      <c r="F912" s="53" t="s">
        <v>4637</v>
      </c>
      <c r="G912" s="52" t="s">
        <v>1156</v>
      </c>
      <c r="H912" s="51" t="s">
        <v>4638</v>
      </c>
    </row>
    <row r="913" spans="1:8" x14ac:dyDescent="0.3">
      <c r="A913" s="51" t="s">
        <v>4639</v>
      </c>
      <c r="B913" s="51" t="s">
        <v>4640</v>
      </c>
      <c r="C913" s="52" t="s">
        <v>4641</v>
      </c>
      <c r="D913" s="53" t="s">
        <v>1653</v>
      </c>
      <c r="E913" s="52" t="s">
        <v>1654</v>
      </c>
      <c r="F913" s="53" t="s">
        <v>4642</v>
      </c>
      <c r="G913" s="52" t="s">
        <v>4641</v>
      </c>
      <c r="H913" s="51" t="s">
        <v>4643</v>
      </c>
    </row>
    <row r="914" spans="1:8" x14ac:dyDescent="0.3">
      <c r="A914" s="51" t="s">
        <v>4644</v>
      </c>
      <c r="B914" s="51" t="s">
        <v>4645</v>
      </c>
      <c r="C914" s="52" t="s">
        <v>4646</v>
      </c>
      <c r="D914" s="53" t="s">
        <v>1653</v>
      </c>
      <c r="E914" s="52" t="s">
        <v>1654</v>
      </c>
      <c r="F914" s="53" t="s">
        <v>4647</v>
      </c>
      <c r="G914" s="52" t="s">
        <v>4646</v>
      </c>
      <c r="H914" s="51" t="s">
        <v>4648</v>
      </c>
    </row>
    <row r="915" spans="1:8" x14ac:dyDescent="0.3">
      <c r="A915" s="51" t="s">
        <v>4649</v>
      </c>
      <c r="B915" s="51" t="s">
        <v>4650</v>
      </c>
      <c r="C915" s="52" t="s">
        <v>4651</v>
      </c>
      <c r="D915" s="53" t="s">
        <v>166</v>
      </c>
      <c r="E915" s="52" t="s">
        <v>167</v>
      </c>
      <c r="F915" s="53" t="s">
        <v>4652</v>
      </c>
      <c r="G915" s="52" t="s">
        <v>4651</v>
      </c>
      <c r="H915" s="51" t="s">
        <v>4653</v>
      </c>
    </row>
    <row r="916" spans="1:8" x14ac:dyDescent="0.3">
      <c r="A916" s="51" t="s">
        <v>4654</v>
      </c>
      <c r="B916" s="51" t="s">
        <v>4655</v>
      </c>
      <c r="C916" s="52" t="s">
        <v>4656</v>
      </c>
      <c r="D916" s="53" t="s">
        <v>166</v>
      </c>
      <c r="E916" s="52" t="s">
        <v>167</v>
      </c>
      <c r="F916" s="53" t="s">
        <v>4657</v>
      </c>
      <c r="G916" s="52" t="s">
        <v>4656</v>
      </c>
      <c r="H916" s="51" t="s">
        <v>4658</v>
      </c>
    </row>
    <row r="917" spans="1:8" x14ac:dyDescent="0.3">
      <c r="A917" s="51" t="s">
        <v>4659</v>
      </c>
      <c r="B917" s="51" t="s">
        <v>4660</v>
      </c>
      <c r="C917" s="52" t="s">
        <v>4661</v>
      </c>
      <c r="D917" s="53" t="s">
        <v>166</v>
      </c>
      <c r="E917" s="52" t="s">
        <v>167</v>
      </c>
      <c r="F917" s="53" t="s">
        <v>4662</v>
      </c>
      <c r="G917" s="52" t="s">
        <v>4661</v>
      </c>
      <c r="H917" s="51" t="s">
        <v>4663</v>
      </c>
    </row>
    <row r="918" spans="1:8" x14ac:dyDescent="0.3">
      <c r="A918" s="51" t="s">
        <v>4664</v>
      </c>
      <c r="B918" s="51" t="s">
        <v>4665</v>
      </c>
      <c r="C918" s="52" t="s">
        <v>4666</v>
      </c>
      <c r="D918" s="53" t="s">
        <v>166</v>
      </c>
      <c r="E918" s="52" t="s">
        <v>167</v>
      </c>
      <c r="F918" s="53" t="s">
        <v>4667</v>
      </c>
      <c r="G918" s="52" t="s">
        <v>4666</v>
      </c>
      <c r="H918" s="51" t="s">
        <v>4668</v>
      </c>
    </row>
    <row r="919" spans="1:8" x14ac:dyDescent="0.3">
      <c r="A919" s="51" t="s">
        <v>4669</v>
      </c>
      <c r="B919" s="51" t="s">
        <v>4670</v>
      </c>
      <c r="C919" s="52" t="s">
        <v>4671</v>
      </c>
      <c r="D919" s="53" t="s">
        <v>166</v>
      </c>
      <c r="E919" s="52" t="s">
        <v>167</v>
      </c>
      <c r="F919" s="53" t="s">
        <v>4672</v>
      </c>
      <c r="G919" s="52" t="s">
        <v>4671</v>
      </c>
      <c r="H919" s="51" t="s">
        <v>4673</v>
      </c>
    </row>
    <row r="920" spans="1:8" x14ac:dyDescent="0.3">
      <c r="A920" s="51" t="s">
        <v>4674</v>
      </c>
      <c r="B920" s="51" t="s">
        <v>4675</v>
      </c>
      <c r="C920" s="52" t="s">
        <v>4676</v>
      </c>
      <c r="D920" s="53" t="s">
        <v>166</v>
      </c>
      <c r="E920" s="52" t="s">
        <v>167</v>
      </c>
      <c r="F920" s="53" t="s">
        <v>4677</v>
      </c>
      <c r="G920" s="52" t="s">
        <v>4676</v>
      </c>
      <c r="H920" s="51" t="s">
        <v>4678</v>
      </c>
    </row>
    <row r="921" spans="1:8" x14ac:dyDescent="0.3">
      <c r="A921" s="51" t="s">
        <v>4679</v>
      </c>
      <c r="B921" s="51" t="s">
        <v>4680</v>
      </c>
      <c r="C921" s="52" t="s">
        <v>4681</v>
      </c>
      <c r="D921" s="53" t="s">
        <v>309</v>
      </c>
      <c r="E921" s="52" t="s">
        <v>310</v>
      </c>
      <c r="F921" s="53" t="s">
        <v>4682</v>
      </c>
      <c r="G921" s="52" t="s">
        <v>4681</v>
      </c>
      <c r="H921" s="51" t="s">
        <v>4683</v>
      </c>
    </row>
    <row r="922" spans="1:8" x14ac:dyDescent="0.3">
      <c r="A922" s="51" t="s">
        <v>4684</v>
      </c>
      <c r="B922" s="51" t="s">
        <v>4685</v>
      </c>
      <c r="C922" s="52" t="s">
        <v>4686</v>
      </c>
      <c r="D922" s="53" t="s">
        <v>166</v>
      </c>
      <c r="E922" s="52" t="s">
        <v>167</v>
      </c>
      <c r="F922" s="53" t="s">
        <v>4687</v>
      </c>
      <c r="G922" s="52" t="s">
        <v>4686</v>
      </c>
      <c r="H922" s="51" t="s">
        <v>4688</v>
      </c>
    </row>
    <row r="923" spans="1:8" x14ac:dyDescent="0.3">
      <c r="A923" s="51" t="s">
        <v>4689</v>
      </c>
      <c r="B923" s="51" t="s">
        <v>4690</v>
      </c>
      <c r="C923" s="52" t="s">
        <v>4691</v>
      </c>
      <c r="D923" s="53" t="s">
        <v>166</v>
      </c>
      <c r="E923" s="52" t="s">
        <v>167</v>
      </c>
      <c r="F923" s="53" t="s">
        <v>4692</v>
      </c>
      <c r="G923" s="52" t="s">
        <v>4691</v>
      </c>
      <c r="H923" s="51" t="s">
        <v>4693</v>
      </c>
    </row>
    <row r="924" spans="1:8" x14ac:dyDescent="0.3">
      <c r="A924" s="51" t="s">
        <v>4694</v>
      </c>
      <c r="B924" s="51" t="s">
        <v>4695</v>
      </c>
      <c r="C924" s="52" t="s">
        <v>4696</v>
      </c>
      <c r="D924" s="53" t="s">
        <v>166</v>
      </c>
      <c r="E924" s="52" t="s">
        <v>167</v>
      </c>
      <c r="F924" s="53" t="s">
        <v>4697</v>
      </c>
      <c r="G924" s="52" t="s">
        <v>4696</v>
      </c>
      <c r="H924" s="51" t="s">
        <v>4698</v>
      </c>
    </row>
    <row r="925" spans="1:8" x14ac:dyDescent="0.3">
      <c r="A925" s="51" t="s">
        <v>4699</v>
      </c>
      <c r="B925" s="51" t="s">
        <v>4700</v>
      </c>
      <c r="C925" s="52" t="s">
        <v>4701</v>
      </c>
      <c r="D925" s="53" t="s">
        <v>166</v>
      </c>
      <c r="E925" s="52" t="s">
        <v>167</v>
      </c>
      <c r="F925" s="53" t="s">
        <v>4702</v>
      </c>
      <c r="G925" s="52" t="s">
        <v>4701</v>
      </c>
      <c r="H925" s="51" t="s">
        <v>4703</v>
      </c>
    </row>
    <row r="926" spans="1:8" x14ac:dyDescent="0.3">
      <c r="A926" s="51" t="s">
        <v>4704</v>
      </c>
      <c r="B926" s="51" t="s">
        <v>4705</v>
      </c>
      <c r="C926" s="52" t="s">
        <v>4706</v>
      </c>
      <c r="D926" s="53" t="s">
        <v>166</v>
      </c>
      <c r="E926" s="52" t="s">
        <v>167</v>
      </c>
      <c r="F926" s="53" t="s">
        <v>4707</v>
      </c>
      <c r="G926" s="52" t="s">
        <v>4706</v>
      </c>
      <c r="H926" s="51" t="s">
        <v>4708</v>
      </c>
    </row>
    <row r="927" spans="1:8" x14ac:dyDescent="0.3">
      <c r="A927" s="51" t="s">
        <v>4709</v>
      </c>
      <c r="B927" s="51" t="s">
        <v>4710</v>
      </c>
      <c r="C927" s="52" t="s">
        <v>4711</v>
      </c>
      <c r="D927" s="53" t="s">
        <v>166</v>
      </c>
      <c r="E927" s="52" t="s">
        <v>167</v>
      </c>
      <c r="F927" s="53" t="s">
        <v>4712</v>
      </c>
      <c r="G927" s="52" t="s">
        <v>4711</v>
      </c>
      <c r="H927" s="51" t="s">
        <v>4713</v>
      </c>
    </row>
    <row r="928" spans="1:8" x14ac:dyDescent="0.3">
      <c r="A928" s="51" t="s">
        <v>4714</v>
      </c>
      <c r="B928" s="51" t="s">
        <v>4715</v>
      </c>
      <c r="C928" s="52" t="s">
        <v>1170</v>
      </c>
      <c r="D928" s="53" t="s">
        <v>166</v>
      </c>
      <c r="E928" s="52" t="s">
        <v>167</v>
      </c>
      <c r="F928" s="53" t="s">
        <v>4716</v>
      </c>
      <c r="G928" s="52" t="s">
        <v>1170</v>
      </c>
      <c r="H928" s="51" t="s">
        <v>4717</v>
      </c>
    </row>
    <row r="929" spans="1:8" x14ac:dyDescent="0.3">
      <c r="A929" s="51" t="s">
        <v>4718</v>
      </c>
      <c r="B929" s="51" t="s">
        <v>4719</v>
      </c>
      <c r="C929" s="52" t="s">
        <v>4720</v>
      </c>
      <c r="D929" s="53" t="s">
        <v>166</v>
      </c>
      <c r="E929" s="52" t="s">
        <v>167</v>
      </c>
      <c r="F929" s="53" t="s">
        <v>4721</v>
      </c>
      <c r="G929" s="52" t="s">
        <v>4720</v>
      </c>
      <c r="H929" s="51" t="s">
        <v>4722</v>
      </c>
    </row>
    <row r="930" spans="1:8" x14ac:dyDescent="0.3">
      <c r="A930" s="51" t="s">
        <v>4723</v>
      </c>
      <c r="B930" s="51" t="s">
        <v>4724</v>
      </c>
      <c r="C930" s="52" t="s">
        <v>4725</v>
      </c>
      <c r="D930" s="53" t="s">
        <v>166</v>
      </c>
      <c r="E930" s="52" t="s">
        <v>167</v>
      </c>
      <c r="F930" s="53" t="s">
        <v>4726</v>
      </c>
      <c r="G930" s="52" t="s">
        <v>4725</v>
      </c>
      <c r="H930" s="51" t="s">
        <v>4727</v>
      </c>
    </row>
    <row r="931" spans="1:8" x14ac:dyDescent="0.3">
      <c r="A931" s="51" t="s">
        <v>4728</v>
      </c>
      <c r="B931" s="51" t="s">
        <v>4729</v>
      </c>
      <c r="C931" s="52" t="s">
        <v>4730</v>
      </c>
      <c r="D931" s="53" t="s">
        <v>166</v>
      </c>
      <c r="E931" s="52" t="s">
        <v>167</v>
      </c>
      <c r="F931" s="53" t="s">
        <v>4731</v>
      </c>
      <c r="G931" s="52" t="s">
        <v>4730</v>
      </c>
      <c r="H931" s="51" t="s">
        <v>4732</v>
      </c>
    </row>
    <row r="932" spans="1:8" x14ac:dyDescent="0.3">
      <c r="A932" s="51" t="s">
        <v>4733</v>
      </c>
      <c r="B932" s="51" t="s">
        <v>4734</v>
      </c>
      <c r="C932" s="52" t="s">
        <v>4735</v>
      </c>
      <c r="D932" s="53" t="s">
        <v>166</v>
      </c>
      <c r="E932" s="52" t="s">
        <v>167</v>
      </c>
      <c r="F932" s="53" t="s">
        <v>4736</v>
      </c>
      <c r="G932" s="52" t="s">
        <v>4735</v>
      </c>
      <c r="H932" s="51" t="s">
        <v>4737</v>
      </c>
    </row>
    <row r="933" spans="1:8" x14ac:dyDescent="0.3">
      <c r="A933" s="51" t="s">
        <v>4738</v>
      </c>
      <c r="B933" s="51" t="s">
        <v>4739</v>
      </c>
      <c r="C933" s="52" t="s">
        <v>4740</v>
      </c>
      <c r="D933" s="53" t="s">
        <v>166</v>
      </c>
      <c r="E933" s="52" t="s">
        <v>167</v>
      </c>
      <c r="F933" s="53" t="s">
        <v>4741</v>
      </c>
      <c r="G933" s="52" t="s">
        <v>4740</v>
      </c>
      <c r="H933" s="51" t="s">
        <v>4742</v>
      </c>
    </row>
    <row r="934" spans="1:8" x14ac:dyDescent="0.3">
      <c r="A934" s="51" t="s">
        <v>4743</v>
      </c>
      <c r="B934" s="51" t="s">
        <v>4744</v>
      </c>
      <c r="C934" s="52" t="s">
        <v>4745</v>
      </c>
      <c r="D934" s="53" t="s">
        <v>1641</v>
      </c>
      <c r="E934" s="52" t="s">
        <v>1642</v>
      </c>
      <c r="F934" s="53" t="s">
        <v>4746</v>
      </c>
      <c r="G934" s="52" t="s">
        <v>4745</v>
      </c>
      <c r="H934" s="51" t="s">
        <v>4747</v>
      </c>
    </row>
    <row r="935" spans="1:8" x14ac:dyDescent="0.3">
      <c r="A935" s="51" t="s">
        <v>4748</v>
      </c>
      <c r="B935" s="51" t="s">
        <v>4749</v>
      </c>
      <c r="C935" s="52" t="s">
        <v>4750</v>
      </c>
      <c r="D935" s="53" t="s">
        <v>166</v>
      </c>
      <c r="E935" s="52" t="s">
        <v>167</v>
      </c>
      <c r="F935" s="53" t="s">
        <v>4751</v>
      </c>
      <c r="G935" s="52" t="s">
        <v>4750</v>
      </c>
      <c r="H935" s="51" t="s">
        <v>4752</v>
      </c>
    </row>
    <row r="936" spans="1:8" x14ac:dyDescent="0.3">
      <c r="A936" s="51" t="s">
        <v>4753</v>
      </c>
      <c r="B936" s="51" t="s">
        <v>4754</v>
      </c>
      <c r="C936" s="52" t="s">
        <v>4755</v>
      </c>
      <c r="D936" s="53" t="s">
        <v>321</v>
      </c>
      <c r="E936" s="52" t="s">
        <v>322</v>
      </c>
      <c r="F936" s="53" t="s">
        <v>4756</v>
      </c>
      <c r="G936" s="52" t="s">
        <v>4755</v>
      </c>
      <c r="H936" s="51" t="s">
        <v>4757</v>
      </c>
    </row>
    <row r="937" spans="1:8" x14ac:dyDescent="0.3">
      <c r="A937" s="51" t="s">
        <v>4758</v>
      </c>
      <c r="B937" s="51" t="s">
        <v>4759</v>
      </c>
      <c r="C937" s="52" t="s">
        <v>4760</v>
      </c>
      <c r="D937" s="53" t="s">
        <v>166</v>
      </c>
      <c r="E937" s="52" t="s">
        <v>167</v>
      </c>
      <c r="F937" s="53" t="s">
        <v>4761</v>
      </c>
      <c r="G937" s="52" t="s">
        <v>4760</v>
      </c>
      <c r="H937" s="51" t="s">
        <v>4762</v>
      </c>
    </row>
    <row r="938" spans="1:8" x14ac:dyDescent="0.3">
      <c r="A938" s="51" t="s">
        <v>4763</v>
      </c>
      <c r="B938" s="51" t="s">
        <v>4764</v>
      </c>
      <c r="C938" s="52" t="s">
        <v>4765</v>
      </c>
      <c r="D938" s="53" t="s">
        <v>166</v>
      </c>
      <c r="E938" s="52" t="s">
        <v>167</v>
      </c>
      <c r="F938" s="53" t="s">
        <v>4766</v>
      </c>
      <c r="G938" s="52" t="s">
        <v>4765</v>
      </c>
      <c r="H938" s="51" t="s">
        <v>4767</v>
      </c>
    </row>
    <row r="939" spans="1:8" x14ac:dyDescent="0.3">
      <c r="A939" s="51" t="s">
        <v>4768</v>
      </c>
      <c r="B939" s="51" t="s">
        <v>4769</v>
      </c>
      <c r="C939" s="52" t="s">
        <v>4770</v>
      </c>
      <c r="D939" s="53" t="s">
        <v>523</v>
      </c>
      <c r="E939" s="52" t="s">
        <v>524</v>
      </c>
      <c r="F939" s="53" t="s">
        <v>4771</v>
      </c>
      <c r="G939" s="52" t="s">
        <v>4770</v>
      </c>
      <c r="H939" s="51" t="s">
        <v>4772</v>
      </c>
    </row>
    <row r="940" spans="1:8" x14ac:dyDescent="0.3">
      <c r="A940" s="51" t="s">
        <v>4773</v>
      </c>
      <c r="B940" s="51" t="s">
        <v>4774</v>
      </c>
      <c r="C940" s="52" t="s">
        <v>4775</v>
      </c>
      <c r="D940" s="53" t="s">
        <v>166</v>
      </c>
      <c r="E940" s="52" t="s">
        <v>167</v>
      </c>
      <c r="F940" s="53" t="s">
        <v>4776</v>
      </c>
      <c r="G940" s="52" t="s">
        <v>4775</v>
      </c>
      <c r="H940" s="51" t="s">
        <v>4777</v>
      </c>
    </row>
    <row r="941" spans="1:8" x14ac:dyDescent="0.3">
      <c r="A941" s="51" t="s">
        <v>4778</v>
      </c>
      <c r="B941" s="51" t="s">
        <v>4779</v>
      </c>
      <c r="C941" s="52" t="s">
        <v>4780</v>
      </c>
      <c r="D941" s="53" t="s">
        <v>4781</v>
      </c>
      <c r="E941" s="52" t="s">
        <v>4782</v>
      </c>
      <c r="F941" s="53" t="s">
        <v>4783</v>
      </c>
      <c r="G941" s="52" t="s">
        <v>4780</v>
      </c>
      <c r="H941" s="51" t="s">
        <v>4784</v>
      </c>
    </row>
    <row r="942" spans="1:8" x14ac:dyDescent="0.3">
      <c r="A942" s="51" t="s">
        <v>4785</v>
      </c>
      <c r="B942" s="51" t="s">
        <v>4786</v>
      </c>
      <c r="C942" s="52" t="s">
        <v>4787</v>
      </c>
      <c r="D942" s="53" t="s">
        <v>166</v>
      </c>
      <c r="E942" s="52" t="s">
        <v>167</v>
      </c>
      <c r="F942" s="53" t="s">
        <v>4788</v>
      </c>
      <c r="G942" s="52" t="s">
        <v>4787</v>
      </c>
      <c r="H942" s="51" t="s">
        <v>861</v>
      </c>
    </row>
    <row r="943" spans="1:8" x14ac:dyDescent="0.3">
      <c r="A943" s="51" t="s">
        <v>4789</v>
      </c>
      <c r="B943" s="51" t="s">
        <v>4790</v>
      </c>
      <c r="C943" s="52" t="s">
        <v>1721</v>
      </c>
      <c r="D943" s="53" t="s">
        <v>166</v>
      </c>
      <c r="E943" s="52" t="s">
        <v>167</v>
      </c>
      <c r="F943" s="53" t="s">
        <v>4791</v>
      </c>
      <c r="G943" s="52" t="s">
        <v>1721</v>
      </c>
      <c r="H943" s="51" t="s">
        <v>4792</v>
      </c>
    </row>
    <row r="944" spans="1:8" x14ac:dyDescent="0.3">
      <c r="A944" s="51" t="s">
        <v>4793</v>
      </c>
      <c r="B944" s="51" t="s">
        <v>4794</v>
      </c>
      <c r="C944" s="52" t="s">
        <v>4795</v>
      </c>
      <c r="D944" s="53" t="s">
        <v>523</v>
      </c>
      <c r="E944" s="52" t="s">
        <v>524</v>
      </c>
      <c r="F944" s="53" t="s">
        <v>4796</v>
      </c>
      <c r="G944" s="52" t="s">
        <v>4795</v>
      </c>
      <c r="H944" s="51" t="s">
        <v>4797</v>
      </c>
    </row>
    <row r="945" spans="1:8" x14ac:dyDescent="0.3">
      <c r="A945" s="51" t="s">
        <v>4798</v>
      </c>
      <c r="B945" s="51" t="s">
        <v>4799</v>
      </c>
      <c r="C945" s="52" t="s">
        <v>4800</v>
      </c>
      <c r="D945" s="53" t="s">
        <v>166</v>
      </c>
      <c r="E945" s="52" t="s">
        <v>167</v>
      </c>
      <c r="F945" s="53" t="s">
        <v>4801</v>
      </c>
      <c r="G945" s="52" t="s">
        <v>4800</v>
      </c>
      <c r="H945" s="51" t="s">
        <v>4802</v>
      </c>
    </row>
    <row r="946" spans="1:8" x14ac:dyDescent="0.3">
      <c r="A946" s="51" t="s">
        <v>4803</v>
      </c>
      <c r="B946" s="51" t="s">
        <v>4804</v>
      </c>
      <c r="C946" s="52" t="s">
        <v>4805</v>
      </c>
      <c r="D946" s="53" t="s">
        <v>166</v>
      </c>
      <c r="E946" s="52" t="s">
        <v>167</v>
      </c>
      <c r="F946" s="53" t="s">
        <v>4806</v>
      </c>
      <c r="G946" s="52" t="s">
        <v>4805</v>
      </c>
      <c r="H946" s="51" t="s">
        <v>4807</v>
      </c>
    </row>
    <row r="947" spans="1:8" x14ac:dyDescent="0.3">
      <c r="A947" s="51" t="s">
        <v>4808</v>
      </c>
      <c r="B947" s="51" t="s">
        <v>4809</v>
      </c>
      <c r="C947" s="52" t="s">
        <v>4810</v>
      </c>
      <c r="D947" s="53" t="s">
        <v>166</v>
      </c>
      <c r="E947" s="52" t="s">
        <v>167</v>
      </c>
      <c r="F947" s="53" t="s">
        <v>4811</v>
      </c>
      <c r="G947" s="52" t="s">
        <v>4810</v>
      </c>
      <c r="H947" s="51" t="s">
        <v>4812</v>
      </c>
    </row>
    <row r="948" spans="1:8" x14ac:dyDescent="0.3">
      <c r="A948" s="51" t="s">
        <v>4813</v>
      </c>
      <c r="B948" s="51" t="s">
        <v>4814</v>
      </c>
      <c r="C948" s="52" t="s">
        <v>4815</v>
      </c>
      <c r="D948" s="53" t="s">
        <v>166</v>
      </c>
      <c r="E948" s="52" t="s">
        <v>167</v>
      </c>
      <c r="F948" s="53" t="s">
        <v>4816</v>
      </c>
      <c r="G948" s="52" t="s">
        <v>4815</v>
      </c>
      <c r="H948" s="51" t="s">
        <v>4817</v>
      </c>
    </row>
    <row r="949" spans="1:8" x14ac:dyDescent="0.3">
      <c r="A949" s="51" t="s">
        <v>4818</v>
      </c>
      <c r="B949" s="51" t="s">
        <v>4819</v>
      </c>
      <c r="C949" s="52" t="s">
        <v>4820</v>
      </c>
      <c r="D949" s="53" t="s">
        <v>166</v>
      </c>
      <c r="E949" s="52" t="s">
        <v>167</v>
      </c>
      <c r="F949" s="53" t="s">
        <v>4821</v>
      </c>
      <c r="G949" s="52" t="s">
        <v>4820</v>
      </c>
      <c r="H949" s="51" t="s">
        <v>4822</v>
      </c>
    </row>
    <row r="950" spans="1:8" x14ac:dyDescent="0.3">
      <c r="A950" s="51" t="s">
        <v>4823</v>
      </c>
      <c r="B950" s="51" t="s">
        <v>4824</v>
      </c>
      <c r="C950" s="52" t="s">
        <v>4825</v>
      </c>
      <c r="D950" s="53" t="s">
        <v>166</v>
      </c>
      <c r="E950" s="52" t="s">
        <v>167</v>
      </c>
      <c r="F950" s="53" t="s">
        <v>4826</v>
      </c>
      <c r="G950" s="52" t="s">
        <v>4825</v>
      </c>
      <c r="H950" s="51" t="s">
        <v>4827</v>
      </c>
    </row>
    <row r="951" spans="1:8" x14ac:dyDescent="0.3">
      <c r="A951" s="51" t="s">
        <v>4828</v>
      </c>
      <c r="B951" s="51" t="s">
        <v>4829</v>
      </c>
      <c r="C951" s="52" t="s">
        <v>4830</v>
      </c>
      <c r="D951" s="53" t="s">
        <v>166</v>
      </c>
      <c r="E951" s="52" t="s">
        <v>167</v>
      </c>
      <c r="F951" s="53" t="s">
        <v>4831</v>
      </c>
      <c r="G951" s="52" t="s">
        <v>4830</v>
      </c>
      <c r="H951" s="51" t="s">
        <v>4832</v>
      </c>
    </row>
    <row r="952" spans="1:8" x14ac:dyDescent="0.3">
      <c r="A952" s="51" t="s">
        <v>4833</v>
      </c>
      <c r="B952" s="51" t="s">
        <v>4834</v>
      </c>
      <c r="C952" s="52" t="s">
        <v>4835</v>
      </c>
      <c r="D952" s="53" t="s">
        <v>321</v>
      </c>
      <c r="E952" s="52" t="s">
        <v>322</v>
      </c>
      <c r="F952" s="53" t="s">
        <v>4836</v>
      </c>
      <c r="G952" s="52" t="s">
        <v>4835</v>
      </c>
      <c r="H952" s="51" t="s">
        <v>4837</v>
      </c>
    </row>
    <row r="953" spans="1:8" x14ac:dyDescent="0.3">
      <c r="A953" s="51" t="s">
        <v>4838</v>
      </c>
      <c r="B953" s="51" t="s">
        <v>4839</v>
      </c>
      <c r="C953" s="52" t="s">
        <v>4840</v>
      </c>
      <c r="D953" s="53" t="s">
        <v>166</v>
      </c>
      <c r="E953" s="52" t="s">
        <v>167</v>
      </c>
      <c r="F953" s="53" t="s">
        <v>4841</v>
      </c>
      <c r="G953" s="52" t="s">
        <v>4840</v>
      </c>
      <c r="H953" s="51" t="s">
        <v>4842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6C6F0-A162-4EC5-B377-2E2DA57A6F20}">
  <sheetPr codeName="Sheet3">
    <tabColor theme="4" tint="0.39997558519241921"/>
  </sheetPr>
  <dimension ref="A1:D1"/>
  <sheetViews>
    <sheetView workbookViewId="0">
      <selection activeCell="D2" sqref="D2"/>
    </sheetView>
  </sheetViews>
  <sheetFormatPr defaultRowHeight="16.5" x14ac:dyDescent="0.3"/>
  <cols>
    <col min="2" max="2" width="10.25" customWidth="1"/>
    <col min="3" max="3" width="17.25" style="3" customWidth="1"/>
    <col min="4" max="4" width="32.75" customWidth="1"/>
  </cols>
  <sheetData>
    <row r="1" spans="1:4" x14ac:dyDescent="0.3">
      <c r="A1" s="1" t="s">
        <v>11</v>
      </c>
      <c r="B1" s="1" t="s">
        <v>12</v>
      </c>
      <c r="C1" s="1" t="s">
        <v>70</v>
      </c>
      <c r="D1" s="1" t="s">
        <v>71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8AE6B-59B7-47DA-8C3F-6C40A4B12DC5}">
  <sheetPr codeName="Sheet4">
    <tabColor theme="4" tint="0.39997558519241921"/>
  </sheetPr>
  <dimension ref="A1:D1"/>
  <sheetViews>
    <sheetView workbookViewId="0">
      <selection activeCell="C2" sqref="C2"/>
    </sheetView>
  </sheetViews>
  <sheetFormatPr defaultRowHeight="16.5" x14ac:dyDescent="0.3"/>
  <cols>
    <col min="2" max="2" width="9.125" customWidth="1"/>
    <col min="4" max="4" width="13" style="3" customWidth="1"/>
    <col min="5" max="5" width="9.25" bestFit="1" customWidth="1"/>
  </cols>
  <sheetData>
    <row r="1" spans="1:4" x14ac:dyDescent="0.3">
      <c r="A1" s="1" t="s">
        <v>22</v>
      </c>
      <c r="B1" s="1" t="s">
        <v>23</v>
      </c>
      <c r="C1" s="1" t="s">
        <v>24</v>
      </c>
      <c r="D1" s="2" t="s">
        <v>25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39986-9691-4D3B-B348-BEAB829C8392}">
  <sheetPr codeName="Sheet5">
    <tabColor theme="4" tint="0.39997558519241921"/>
  </sheetPr>
  <dimension ref="A1:E4"/>
  <sheetViews>
    <sheetView workbookViewId="0">
      <selection activeCell="D12" sqref="D12"/>
    </sheetView>
  </sheetViews>
  <sheetFormatPr defaultRowHeight="16.5" x14ac:dyDescent="0.3"/>
  <cols>
    <col min="2" max="2" width="9.125" customWidth="1"/>
    <col min="3" max="3" width="9.25" style="3" bestFit="1" customWidth="1"/>
  </cols>
  <sheetData>
    <row r="1" spans="1:5" x14ac:dyDescent="0.3">
      <c r="A1" s="1" t="s">
        <v>22</v>
      </c>
      <c r="B1" s="1" t="s">
        <v>23</v>
      </c>
      <c r="C1" s="2" t="s">
        <v>65</v>
      </c>
      <c r="D1" t="s">
        <v>82</v>
      </c>
    </row>
    <row r="4" spans="1:5" x14ac:dyDescent="0.3">
      <c r="D4" s="48"/>
      <c r="E4" s="3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AF1A8-1839-480F-B0B7-37D06CAA6264}">
  <sheetPr codeName="Sheet6">
    <tabColor theme="4" tint="0.39997558519241921"/>
  </sheetPr>
  <dimension ref="A1:Q1"/>
  <sheetViews>
    <sheetView workbookViewId="0">
      <selection activeCell="C3" sqref="C3"/>
    </sheetView>
  </sheetViews>
  <sheetFormatPr defaultRowHeight="16.5" x14ac:dyDescent="0.3"/>
  <cols>
    <col min="1" max="1" width="10.5" customWidth="1"/>
    <col min="3" max="3" width="24.375" customWidth="1"/>
    <col min="6" max="6" width="6.5" customWidth="1"/>
    <col min="7" max="7" width="10.25" customWidth="1"/>
    <col min="8" max="8" width="12.125" customWidth="1"/>
    <col min="9" max="9" width="10.25" customWidth="1"/>
    <col min="10" max="10" width="8.375" customWidth="1"/>
    <col min="11" max="11" width="10.25" customWidth="1"/>
    <col min="12" max="12" width="7.875" bestFit="1" customWidth="1"/>
    <col min="14" max="14" width="10.25" customWidth="1"/>
    <col min="15" max="15" width="46.375" bestFit="1" customWidth="1"/>
    <col min="16" max="16" width="13.75" style="5" customWidth="1"/>
    <col min="17" max="17" width="6.25" customWidth="1"/>
  </cols>
  <sheetData>
    <row r="1" spans="1:17" x14ac:dyDescent="0.3">
      <c r="A1" s="43" t="s">
        <v>0</v>
      </c>
      <c r="B1" s="43" t="s">
        <v>1</v>
      </c>
      <c r="C1" s="43" t="s">
        <v>13</v>
      </c>
      <c r="D1" s="43" t="s">
        <v>2</v>
      </c>
      <c r="E1" s="43" t="s">
        <v>3</v>
      </c>
      <c r="F1" s="43" t="s">
        <v>9</v>
      </c>
      <c r="G1" s="43" t="s">
        <v>4</v>
      </c>
      <c r="H1" s="43" t="s">
        <v>5</v>
      </c>
      <c r="I1" s="43" t="s">
        <v>8</v>
      </c>
      <c r="J1" s="43" t="s">
        <v>6</v>
      </c>
      <c r="K1" s="43" t="s">
        <v>7</v>
      </c>
      <c r="L1" s="43" t="s">
        <v>10</v>
      </c>
      <c r="M1" s="43" t="s">
        <v>11</v>
      </c>
      <c r="N1" s="43" t="s">
        <v>12</v>
      </c>
      <c r="O1" s="43" t="s">
        <v>29</v>
      </c>
      <c r="P1" s="44" t="s">
        <v>30</v>
      </c>
      <c r="Q1" s="43" t="s">
        <v>31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D4608-DE86-4848-949F-AFD882FE05DE}">
  <sheetPr codeName="Sheet7">
    <tabColor theme="4" tint="0.39997558519241921"/>
  </sheetPr>
  <dimension ref="A1:N3"/>
  <sheetViews>
    <sheetView workbookViewId="0">
      <selection activeCell="I11" sqref="I11"/>
    </sheetView>
  </sheetViews>
  <sheetFormatPr defaultRowHeight="16.5" x14ac:dyDescent="0.3"/>
  <cols>
    <col min="1" max="1" width="9" customWidth="1"/>
    <col min="2" max="2" width="10.25" customWidth="1"/>
    <col min="3" max="3" width="9.875" customWidth="1"/>
    <col min="4" max="4" width="14" style="3" customWidth="1"/>
    <col min="5" max="5" width="12.125" style="3" customWidth="1"/>
    <col min="6" max="6" width="6.5" style="10" customWidth="1"/>
    <col min="7" max="7" width="13.75" style="3" customWidth="1"/>
    <col min="8" max="8" width="14.625" style="3" customWidth="1"/>
    <col min="9" max="9" width="10.375" style="10" customWidth="1"/>
    <col min="10" max="10" width="15" customWidth="1"/>
    <col min="11" max="11" width="14.25" bestFit="1" customWidth="1"/>
    <col min="14" max="14" width="15.625" style="3" customWidth="1"/>
  </cols>
  <sheetData>
    <row r="1" spans="1:14" x14ac:dyDescent="0.3">
      <c r="A1" s="8" t="s">
        <v>11</v>
      </c>
      <c r="B1" s="8" t="s">
        <v>12</v>
      </c>
      <c r="C1" s="8" t="s">
        <v>27</v>
      </c>
      <c r="D1" s="24" t="s">
        <v>61</v>
      </c>
      <c r="E1" s="24" t="s">
        <v>34</v>
      </c>
      <c r="F1" s="25" t="s">
        <v>33</v>
      </c>
      <c r="G1" s="24" t="s">
        <v>28</v>
      </c>
      <c r="H1" s="24" t="s">
        <v>77</v>
      </c>
      <c r="I1" s="24" t="s">
        <v>31</v>
      </c>
      <c r="J1" s="24" t="s">
        <v>76</v>
      </c>
      <c r="L1" s="8" t="s">
        <v>26</v>
      </c>
      <c r="M1" s="8" t="s">
        <v>11</v>
      </c>
      <c r="N1" s="8" t="s">
        <v>69</v>
      </c>
    </row>
    <row r="2" spans="1:14" x14ac:dyDescent="0.3">
      <c r="J2" s="3"/>
    </row>
    <row r="3" spans="1:14" x14ac:dyDescent="0.3">
      <c r="J3" s="3"/>
    </row>
  </sheetData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4</vt:i4>
      </vt:variant>
    </vt:vector>
  </HeadingPairs>
  <TitlesOfParts>
    <vt:vector size="17" baseType="lpstr">
      <vt:lpstr>setting</vt:lpstr>
      <vt:lpstr>종합</vt:lpstr>
      <vt:lpstr>csv</vt:lpstr>
      <vt:lpstr>개인</vt:lpstr>
      <vt:lpstr>팀</vt:lpstr>
      <vt:lpstr>이체</vt:lpstr>
      <vt:lpstr>mailsend</vt:lpstr>
      <vt:lpstr>members</vt:lpstr>
      <vt:lpstr>unsettled</vt:lpstr>
      <vt:lpstr>training_fee</vt:lpstr>
      <vt:lpstr>bonus</vt:lpstr>
      <vt:lpstr>data</vt:lpstr>
      <vt:lpstr>override</vt:lpstr>
      <vt:lpstr>개인!Print_Area</vt:lpstr>
      <vt:lpstr>팀!Print_Area</vt:lpstr>
      <vt:lpstr>개인!Print_Titles</vt:lpstr>
      <vt:lpstr>팀!Print_Titles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Wonjin Park</dc:creator>
  <cp:lastModifiedBy>Wonjin Park</cp:lastModifiedBy>
  <cp:lastPrinted>2022-03-14T05:55:03Z</cp:lastPrinted>
  <dcterms:created xsi:type="dcterms:W3CDTF">2020-12-01T05:25:13Z</dcterms:created>
  <dcterms:modified xsi:type="dcterms:W3CDTF">2024-04-08T06:35:29Z</dcterms:modified>
</cp:coreProperties>
</file>